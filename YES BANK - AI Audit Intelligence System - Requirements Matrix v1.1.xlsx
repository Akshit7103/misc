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kshit.mahajan\Downloads\"/>
    </mc:Choice>
  </mc:AlternateContent>
  <xr:revisionPtr revIDLastSave="0" documentId="8_{3457BFC7-D24C-461B-9425-DC5D8E457CD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mpletion Summary" sheetId="2" r:id="rId1"/>
    <sheet name="Functional Requirements" sheetId="1" r:id="rId2"/>
  </sheets>
  <definedNames>
    <definedName name="_xlnm._FilterDatabase" localSheetId="1" hidden="1">'Functional Requirements'!$A$4:$H$232</definedName>
    <definedName name="_xlnm.Print_Titles" localSheetId="1">'Functional Requirements'!$4:$4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2" l="1"/>
  <c r="G13" i="2"/>
  <c r="I13" i="2" s="1"/>
  <c r="D13" i="2"/>
  <c r="C13" i="2"/>
  <c r="H12" i="2"/>
  <c r="G12" i="2"/>
  <c r="I12" i="2" s="1"/>
  <c r="D12" i="2"/>
  <c r="C12" i="2"/>
  <c r="H11" i="2"/>
  <c r="G11" i="2"/>
  <c r="I11" i="2" s="1"/>
  <c r="F11" i="2"/>
  <c r="D11" i="2"/>
  <c r="C11" i="2"/>
  <c r="E11" i="2" s="1"/>
  <c r="H10" i="2"/>
  <c r="I10" i="2" s="1"/>
  <c r="G10" i="2"/>
  <c r="D10" i="2"/>
  <c r="C10" i="2"/>
  <c r="H9" i="2"/>
  <c r="G9" i="2"/>
  <c r="I9" i="2" s="1"/>
  <c r="D9" i="2"/>
  <c r="C9" i="2"/>
  <c r="H8" i="2"/>
  <c r="G8" i="2"/>
  <c r="I8" i="2" s="1"/>
  <c r="D8" i="2"/>
  <c r="C8" i="2"/>
  <c r="H7" i="2"/>
  <c r="G7" i="2"/>
  <c r="I7" i="2" s="1"/>
  <c r="D7" i="2"/>
  <c r="C7" i="2"/>
  <c r="H6" i="2"/>
  <c r="G6" i="2"/>
  <c r="I6" i="2" s="1"/>
  <c r="F6" i="2"/>
  <c r="D6" i="2"/>
  <c r="C6" i="2"/>
  <c r="E6" i="2" s="1"/>
  <c r="H5" i="2"/>
  <c r="H14" i="2" s="1"/>
  <c r="G5" i="2"/>
  <c r="D5" i="2"/>
  <c r="D14" i="2" s="1"/>
  <c r="C5" i="2"/>
  <c r="F13" i="2" l="1"/>
  <c r="E13" i="2"/>
  <c r="F12" i="2"/>
  <c r="E12" i="2"/>
  <c r="F10" i="2"/>
  <c r="E10" i="2"/>
  <c r="F9" i="2"/>
  <c r="E9" i="2"/>
  <c r="F8" i="2"/>
  <c r="E8" i="2"/>
  <c r="F7" i="2"/>
  <c r="E7" i="2"/>
  <c r="G14" i="2"/>
  <c r="I14" i="2" s="1"/>
  <c r="I5" i="2"/>
  <c r="C14" i="2"/>
  <c r="F14" i="2" s="1"/>
  <c r="F5" i="2"/>
  <c r="E5" i="2"/>
  <c r="E14" i="2" l="1"/>
</calcChain>
</file>

<file path=xl/sharedStrings.xml><?xml version="1.0" encoding="utf-8"?>
<sst xmlns="http://schemas.openxmlformats.org/spreadsheetml/2006/main" count="1865" uniqueCount="803">
  <si>
    <t>FUNCTIONAL REQUIREMENTS - MASTER TRACEABILITY MATRIX</t>
  </si>
  <si>
    <t>Source: RFI - AI Powered Audit Intelligence System v1.2, Section 3.1 Scope of Work. 228 requirements across the 9 in-scope solutions. Priority, Complexity and Completion are drop-downs. Filter or sort on any column.</t>
  </si>
  <si>
    <t>Req ID</t>
  </si>
  <si>
    <t>Module / Solution</t>
  </si>
  <si>
    <t>Sub-Module / Category</t>
  </si>
  <si>
    <t>Requirement</t>
  </si>
  <si>
    <t>Detailed Description</t>
  </si>
  <si>
    <t>Priority</t>
  </si>
  <si>
    <t>Complexity</t>
  </si>
  <si>
    <t>Completion</t>
  </si>
  <si>
    <t>CCM-001</t>
  </si>
  <si>
    <t>Continuous Control Monitoring (CCM)</t>
  </si>
  <si>
    <t>Control Evaluation</t>
  </si>
  <si>
    <t>Automated and Continuous Control Evaluation</t>
  </si>
  <si>
    <t>The solution must be capable of performing automated, periodic, and continuous evaluation of key controls, ensuring timely identification of control deficiencies.</t>
  </si>
  <si>
    <t>Must-Have</t>
  </si>
  <si>
    <t>High</t>
  </si>
  <si>
    <t>Yes</t>
  </si>
  <si>
    <t>CCM-002</t>
  </si>
  <si>
    <t>Data Ingestion</t>
  </si>
  <si>
    <t>Real-Time and Flexible Data Ingestion</t>
  </si>
  <si>
    <t>The system should support near real-time ingestion of data from the Data Warehouse or source systems, including API-based, modular ingestion mechanisms and other integration methods.</t>
  </si>
  <si>
    <t>Should-Have</t>
  </si>
  <si>
    <t>No</t>
  </si>
  <si>
    <t>CCM-003</t>
  </si>
  <si>
    <t>Exception Management</t>
  </si>
  <si>
    <t>Exception Management and Risk Analytics</t>
  </si>
  <si>
    <t>The platform must provide exception flagging, automated alerting, risk scoring, and trend analysis to enable proactive monitoring and timely intervention.</t>
  </si>
  <si>
    <t>Medium</t>
  </si>
  <si>
    <t>CCM-004</t>
  </si>
  <si>
    <t>Rules Engine</t>
  </si>
  <si>
    <t>Configurable Rules and Thresholds</t>
  </si>
  <si>
    <t>Users must be able to configure rules, thresholds, control logic, and risk indicators through a no-code or low-code interface.</t>
  </si>
  <si>
    <t>CCM-005</t>
  </si>
  <si>
    <t>Alerting</t>
  </si>
  <si>
    <t>Automated Alerting for Control Breaches</t>
  </si>
  <si>
    <t>The workflow must automatically trigger alerts for threshold breaches, anomalous behaviour, and non-compliance with defined controls.</t>
  </si>
  <si>
    <t>CCM-006</t>
  </si>
  <si>
    <t>Workflow</t>
  </si>
  <si>
    <t>Workflow-Driven Analytics and Remediation</t>
  </si>
  <si>
    <t>The system should offer workflows that enable correlation analysis, root-cause identification, assignment to auditees for action, and end-to-end remediation tracking.</t>
  </si>
  <si>
    <t>CCM-007</t>
  </si>
  <si>
    <t>Orchestration</t>
  </si>
  <si>
    <t>Automated Response and Orchestration</t>
  </si>
  <si>
    <t>The solution must support automated response actions and orchestration hooks that can initiate remediation workflows or downstream processes.</t>
  </si>
  <si>
    <t>CCM-008</t>
  </si>
  <si>
    <t>Monitoring</t>
  </si>
  <si>
    <t>Advanced Monitoring and Anomaly Detection</t>
  </si>
  <si>
    <t>The system must provide automated alerting, correlation, anomaly detection, and intelligence-aligned monitoring capabilities for enhanced risk visibility.</t>
  </si>
  <si>
    <t>CCM-009</t>
  </si>
  <si>
    <t>Drift Detection</t>
  </si>
  <si>
    <t>Change and Configuration Drift Detection</t>
  </si>
  <si>
    <t>The platform should detect unauthorised changes, baseline deviations, and control drift automatically.</t>
  </si>
  <si>
    <t>CCM-010</t>
  </si>
  <si>
    <t>Dashboards</t>
  </si>
  <si>
    <t>Real-Time Dashboards and Visualisation</t>
  </si>
  <si>
    <t>The system must generate real-time dashboards for continuous visibility into control performance, risk indicators, and remediation status.</t>
  </si>
  <si>
    <t>CCM-011</t>
  </si>
  <si>
    <t>Architecture</t>
  </si>
  <si>
    <t>API-Driven, Modular Architecture</t>
  </si>
  <si>
    <t>The platform should follow an API-driven, modular, microservices-friendly architecture, enabling seamless ingestion and export of monitoring data, audit logs, and continuous assessment results.</t>
  </si>
  <si>
    <t>CCM-012</t>
  </si>
  <si>
    <t>Evidence</t>
  </si>
  <si>
    <t>Regulatory Evidence Generation</t>
  </si>
  <si>
    <t>The system should support automated evidence generation aligned with regulatory expectations for continuous monitoring.</t>
  </si>
  <si>
    <t>CCM-013</t>
  </si>
  <si>
    <t>Integration</t>
  </si>
  <si>
    <t>Integration with Audit Management Application</t>
  </si>
  <si>
    <t>The CCM solution must integrate with the Audit Management Application to generate CCM Audit Reports for presentation to the Audit Committee Board (ACB).</t>
  </si>
  <si>
    <t>CCM-014</t>
  </si>
  <si>
    <t>Reporting</t>
  </si>
  <si>
    <t>Customisable Reporting</t>
  </si>
  <si>
    <t>The application must support customisation of reports to meet audit, risk, regulatory, and management requirements.</t>
  </si>
  <si>
    <t>PAC-001</t>
  </si>
  <si>
    <t>Pre-Audit Checks Automation</t>
  </si>
  <si>
    <t>Data Ingestion &amp; Connectivity</t>
  </si>
  <si>
    <t>Multi-System Secure Data Ingestion</t>
  </si>
  <si>
    <t>The solution must support secure ingestion of data from multiple internal systems (Core Banking, LMS, GL, CBS extracts, HRMS, LOS, CRM, etc.).</t>
  </si>
  <si>
    <t>PAC-002</t>
  </si>
  <si>
    <t>Scheduled and On-Demand Data Pulls</t>
  </si>
  <si>
    <t>The solution must support scheduled and on-demand data pulls based on configurable frequency.</t>
  </si>
  <si>
    <t>PAC-003</t>
  </si>
  <si>
    <t>Audit-Trail Enabled Integration Channels</t>
  </si>
  <si>
    <t>All integrations must support audit-trail-enabled APIs / SFTP mechanisms and comply with bank security standards.</t>
  </si>
  <si>
    <t>PAC-004</t>
  </si>
  <si>
    <t>File-Based Ingestion with Schema Validation</t>
  </si>
  <si>
    <t>Must allow file-based ingestion (Excel, CSV, PDF, text) with automated schema validation and error reporting.</t>
  </si>
  <si>
    <t>PAC-005</t>
  </si>
  <si>
    <t>Automated Validations</t>
  </si>
  <si>
    <t>Audit-Program Driven Validations</t>
  </si>
  <si>
    <t>System must perform automated validations based on audit program requirements (e.g. completeness, accuracy, ageing, threshold breaches, duplicates, parameter mismatches).</t>
  </si>
  <si>
    <t>PAC-006</t>
  </si>
  <si>
    <t>Rule-Based and Exception-Based Validation Coverage</t>
  </si>
  <si>
    <t>Must support rule-based and exception-based validations for: Regulatory controls; Branch operations; Credit underwriting and monitoring; Financial reporting and reconciliations; AML / KYC checks.</t>
  </si>
  <si>
    <t>PAC-007</t>
  </si>
  <si>
    <t>Custom Rule Creation without Vendor Dependency</t>
  </si>
  <si>
    <t>Solution must support creation of custom validation rules without vendor dependency (e.g. rule builder interface).</t>
  </si>
  <si>
    <t>PAC-008</t>
  </si>
  <si>
    <t>High-Risk Deviation Scoring</t>
  </si>
  <si>
    <t>Must highlight high-risk deviations with scoring, prioritisation and categorisation.</t>
  </si>
  <si>
    <t>PAC-009</t>
  </si>
  <si>
    <t>Sample Selection</t>
  </si>
  <si>
    <t>Automated Sample Generation</t>
  </si>
  <si>
    <t>Ability to auto-generate samples based on predefined sampling logic (risk-based, random, stratified, judgmental).</t>
  </si>
  <si>
    <t>PAC-010</t>
  </si>
  <si>
    <t>Auditor Override with Justification</t>
  </si>
  <si>
    <t>Must allow auditors to override sampling logic with justification capture.</t>
  </si>
  <si>
    <t>Low</t>
  </si>
  <si>
    <t>PAC-011</t>
  </si>
  <si>
    <t>Configurable Sample Size per Audit Type</t>
  </si>
  <si>
    <t>Must provide configurable sample size settings per audit type (branch, credit, operations, etc.).</t>
  </si>
  <si>
    <t>PAC-012</t>
  </si>
  <si>
    <t>Sampling Audit Trail</t>
  </si>
  <si>
    <t>Must generate a complete audit trail of sampling decisions.</t>
  </si>
  <si>
    <t>PAC-013</t>
  </si>
  <si>
    <t>Checklist &amp; Documentation</t>
  </si>
  <si>
    <t>Dynamic Pre-Audit Checklist Generation</t>
  </si>
  <si>
    <t>System must generate pre-audit checklists dynamically based on entity, branch type, process, and risk category.</t>
  </si>
  <si>
    <t>PAC-014</t>
  </si>
  <si>
    <t>Auto-Population of Checklist Fields</t>
  </si>
  <si>
    <t>Must auto-populate checklist fields using ingested system data, reducing manual tasks.</t>
  </si>
  <si>
    <t>PAC-015</t>
  </si>
  <si>
    <t>Document Upload with Metadata Tagging</t>
  </si>
  <si>
    <t>Must support uploading and linking of supporting documents with metadata tagging.</t>
  </si>
  <si>
    <t>PAC-016</t>
  </si>
  <si>
    <t>Checklist Version Control and Approval</t>
  </si>
  <si>
    <t>Checklists must be version-controlled and approval-enabled.</t>
  </si>
  <si>
    <t>PAC-017</t>
  </si>
  <si>
    <t>Exception Reporting</t>
  </si>
  <si>
    <t>Exception Dashboard with Severity and Ownership</t>
  </si>
  <si>
    <t>Automated dashboard for exception identification, severity tagging, owner assignment, and status tracking.</t>
  </si>
  <si>
    <t>PAC-018</t>
  </si>
  <si>
    <t>Configurable Exception Thresholds</t>
  </si>
  <si>
    <t>Ability to configure exception thresholds (financial, operational, compliance).</t>
  </si>
  <si>
    <t>PAC-019</t>
  </si>
  <si>
    <t>Exception Outputs</t>
  </si>
  <si>
    <t>Must generate exception summaries, detailed exception logs, and trend analysis over periods.</t>
  </si>
  <si>
    <t>PAC-020</t>
  </si>
  <si>
    <t>Exception Export</t>
  </si>
  <si>
    <t>Solution must allow export of exceptions to standard formats (Excel / PDF / CSV).</t>
  </si>
  <si>
    <t>PAC-021</t>
  </si>
  <si>
    <t>Workflow &amp; Collaboration</t>
  </si>
  <si>
    <t>End-to-End Pre-Audit Workflow</t>
  </si>
  <si>
    <t>Must support end-to-end workflow from data ingestion to validation to sampling to exception clearance.</t>
  </si>
  <si>
    <t>PAC-022</t>
  </si>
  <si>
    <t>Configurable Roles and Segregation of Duties</t>
  </si>
  <si>
    <t>Configurable user roles (IA, Vertical Heads, approvers) with rights and segregation of duties.</t>
  </si>
  <si>
    <t>PAC-023</t>
  </si>
  <si>
    <t>Auditee Query Management</t>
  </si>
  <si>
    <t>Ability to raise queries to auditees and track responses with audit trails.</t>
  </si>
  <si>
    <t>PAC-024</t>
  </si>
  <si>
    <t>Collaboration Features</t>
  </si>
  <si>
    <t>Must support comments, tagging, and internal collaboration features.</t>
  </si>
  <si>
    <t>PAC-025</t>
  </si>
  <si>
    <t>Dashboards &amp; Analytics</t>
  </si>
  <si>
    <t>Audit Readiness Dashboards</t>
  </si>
  <si>
    <t>Real-time dashboards for audit readiness, high-risk areas, branch-wise exceptions, and control maturity.</t>
  </si>
  <si>
    <t>PAC-026</t>
  </si>
  <si>
    <t>Drill-Down Capability</t>
  </si>
  <si>
    <t>Drill-down capabilities to entity / branch / transaction level.</t>
  </si>
  <si>
    <t>PAC-027</t>
  </si>
  <si>
    <t>Dashboard and Raw Data Export</t>
  </si>
  <si>
    <t>Support for exporting dashboards and raw data.</t>
  </si>
  <si>
    <t>PAC-028</t>
  </si>
  <si>
    <t>Predictive Insights and Risk Scoring</t>
  </si>
  <si>
    <t>Capability for trends, patterns, predictive insights, and risk scoring.</t>
  </si>
  <si>
    <t>PAC-029</t>
  </si>
  <si>
    <t>Rule Governance</t>
  </si>
  <si>
    <t>Centralised Rule Engine with Version Control</t>
  </si>
  <si>
    <t>A centralised rule engine with independent creation / editing of rules and version control.</t>
  </si>
  <si>
    <t>PAC-030</t>
  </si>
  <si>
    <t>AI-Based Data Analytics</t>
  </si>
  <si>
    <t>AI-based data analytics including trend analysis and cluster analysis.</t>
  </si>
  <si>
    <t>PAC-031</t>
  </si>
  <si>
    <t>What-If Scenario Simulation</t>
  </si>
  <si>
    <t>Capability to run What-If scenarios before new rule deployment.</t>
  </si>
  <si>
    <t>PAC-032</t>
  </si>
  <si>
    <t>Rule Change Logging</t>
  </si>
  <si>
    <t>Must maintain detailed logs of rule changes: who changed, what changed, and why.</t>
  </si>
  <si>
    <t>PAC-033</t>
  </si>
  <si>
    <t>Audit Trail &amp; Compliance</t>
  </si>
  <si>
    <t>Comprehensive Action Logging</t>
  </si>
  <si>
    <t>Every action must be logged (view, edit, approval, rule change, report generation).</t>
  </si>
  <si>
    <t>PAC-034</t>
  </si>
  <si>
    <t>Security, Privacy and Regulatory Compliance</t>
  </si>
  <si>
    <t>Must comply with internal IT security, data privacy, and regulatory guidelines.</t>
  </si>
  <si>
    <t>PAC-035</t>
  </si>
  <si>
    <t>Configurable Retention and Archival</t>
  </si>
  <si>
    <t>Data retention and archival policies must be configurable.</t>
  </si>
  <si>
    <t>PAC-036</t>
  </si>
  <si>
    <t>Reporting &amp; Export</t>
  </si>
  <si>
    <t>Automated Pre-Audit Report Suite</t>
  </si>
  <si>
    <t>Automated generation of pre-audit reports: pre-audit exception report; high-risk observation summary; sample lists; audit preparedness score.</t>
  </si>
  <si>
    <t>PAC-037</t>
  </si>
  <si>
    <t>Customised Reports without Coding</t>
  </si>
  <si>
    <t>Ability to generate customised reports without coding.</t>
  </si>
  <si>
    <t>PAC-038</t>
  </si>
  <si>
    <t>Export Formats</t>
  </si>
  <si>
    <t>Export to PDF, Excel, and Word formats.</t>
  </si>
  <si>
    <t>VKY-001</t>
  </si>
  <si>
    <t>VKYC Audit Automation</t>
  </si>
  <si>
    <t>Speech &amp; Text Analytics</t>
  </si>
  <si>
    <t>Cognitive Text and Speech Analytics</t>
  </si>
  <si>
    <t>Cognitive text and speech analytics for VKYC validation.</t>
  </si>
  <si>
    <t>VKY-002</t>
  </si>
  <si>
    <t>Artifact Extraction</t>
  </si>
  <si>
    <t>Automated VKYC Artifact Extraction</t>
  </si>
  <si>
    <t>Automated extraction of VKYC artifacts (video, audio, form data).</t>
  </si>
  <si>
    <t>VKY-003</t>
  </si>
  <si>
    <t>Rule Evaluation</t>
  </si>
  <si>
    <t>Rule-Driven Non-Compliance Evaluation</t>
  </si>
  <si>
    <t>Rule-driven evaluation to identify non-compliance.</t>
  </si>
  <si>
    <t>VKY-004</t>
  </si>
  <si>
    <t>Evidencing</t>
  </si>
  <si>
    <t>Audit Trail and Evidencing</t>
  </si>
  <si>
    <t>Audit trail generation and evidencing capability.</t>
  </si>
  <si>
    <t>KYC-001</t>
  </si>
  <si>
    <t>KYC Audit Automation</t>
  </si>
  <si>
    <t>Core Capability</t>
  </si>
  <si>
    <t>OCR / AI Document Screening</t>
  </si>
  <si>
    <t>Automated screening of KYC documents via OCR / AI.</t>
  </si>
  <si>
    <t>KYC-002</t>
  </si>
  <si>
    <t>Extracted Data vs System Record Comparison</t>
  </si>
  <si>
    <t>Comparison of extracted data against system records.</t>
  </si>
  <si>
    <t>KYC-003</t>
  </si>
  <si>
    <t>Incomplete or Incorrect Documentation Identification</t>
  </si>
  <si>
    <t>Identification of incomplete / incorrect documentation.</t>
  </si>
  <si>
    <t>KYC-004</t>
  </si>
  <si>
    <t>KYC Repository Integration</t>
  </si>
  <si>
    <t>Integration with the Bank's KYC repository.</t>
  </si>
  <si>
    <t>KYC-005</t>
  </si>
  <si>
    <t>Data Ingestion &amp; Integration</t>
  </si>
  <si>
    <t>Multi-Source KYC Data Ingestion</t>
  </si>
  <si>
    <t>Support secure ingestion of KYC-related data from core banking, CRM, CIF, AML, LOS, and document management systems.</t>
  </si>
  <si>
    <t>KYC-006</t>
  </si>
  <si>
    <t>Structured and Unstructured Data Ingestion</t>
  </si>
  <si>
    <t>Allow ingestion of structured and unstructured data (Excel, CSV, PDF, images).</t>
  </si>
  <si>
    <t>KYC-007</t>
  </si>
  <si>
    <t>Schema Validation and Error Logging</t>
  </si>
  <si>
    <t>Perform schema validation, data quality checks, and record-level error logging.</t>
  </si>
  <si>
    <t>KYC-008</t>
  </si>
  <si>
    <t>Scheduled and On-Demand Refresh</t>
  </si>
  <si>
    <t>Support scheduled and on-demand data refresh for customer and account-level data.</t>
  </si>
  <si>
    <t>KYC-009</t>
  </si>
  <si>
    <t>Data Pull Audit Trails</t>
  </si>
  <si>
    <t>Maintain full audit trails for all data pulls.</t>
  </si>
  <si>
    <t>KYC-010</t>
  </si>
  <si>
    <t>Compliance Validation</t>
  </si>
  <si>
    <t>Customer Identity Verification (CIV)</t>
  </si>
  <si>
    <t>Automated verification of PAN, Aadhaar, Passport, Voter ID and Driving Licence; detection of name, date of birth, gender and demographic mismatches; identity document format checks and expiry checks.</t>
  </si>
  <si>
    <t>KYC-011</t>
  </si>
  <si>
    <t>Address Verification</t>
  </si>
  <si>
    <t>Correspondence and permanent address validation; document presence, expiry and mismatch identification.</t>
  </si>
  <si>
    <t>KYC-012</t>
  </si>
  <si>
    <t>CDD and EDD Checks</t>
  </si>
  <si>
    <t>Verification of customer risk categorisation (High / Medium / Low); presence and adequacy of Enhanced Due Diligence for high-risk customers; KYC risk score validations.</t>
  </si>
  <si>
    <t>KYC-013</t>
  </si>
  <si>
    <t>Periodic KYC Review Compliance</t>
  </si>
  <si>
    <t>Identification of overdue KYC refresh cases; validation of next review date and documentation completeness.</t>
  </si>
  <si>
    <t>KYC-014</t>
  </si>
  <si>
    <t>Regulatory and Internal Policy Adherence</t>
  </si>
  <si>
    <t>Alignment with RBI KYC Master Directions; bank-specific policy checks; FATCA / CRS field verification.</t>
  </si>
  <si>
    <t>KYC-015</t>
  </si>
  <si>
    <t>Document Completeness Validation</t>
  </si>
  <si>
    <t>Mandatory document checklist verification based on customer type; identification of missing or expired documents; validation of digital KYC / Video KYC metadata where applicable.</t>
  </si>
  <si>
    <t>KYC-016</t>
  </si>
  <si>
    <t>Exception Detection</t>
  </si>
  <si>
    <t>High-Risk Deviation Auto-Flagging</t>
  </si>
  <si>
    <t>Auto-flag high-risk deviations such as expired KYC, incorrect risk category and AML non-adherence.</t>
  </si>
  <si>
    <t>KYC-017</t>
  </si>
  <si>
    <t>Exception Categorisation</t>
  </si>
  <si>
    <t>Categorise exceptions as regulatory, operational, or documentation-related.</t>
  </si>
  <si>
    <t>KYC-018</t>
  </si>
  <si>
    <t>Rule-Based Severity Ranking</t>
  </si>
  <si>
    <t>Provide rule-based severity ranking (Critical, High, Medium, Low).</t>
  </si>
  <si>
    <t>KYC-019</t>
  </si>
  <si>
    <t>Bulk Closure and Revalidation</t>
  </si>
  <si>
    <t>Enable bulk closure, comments, and revalidation of exceptions.</t>
  </si>
  <si>
    <t>KYC-020</t>
  </si>
  <si>
    <t>Traceable Exception Evidence</t>
  </si>
  <si>
    <t>Maintain traceable evidence for each exception raised and closed.</t>
  </si>
  <si>
    <t>KYC-021</t>
  </si>
  <si>
    <t>Automated Sampling</t>
  </si>
  <si>
    <t>Rule-Based Automated Sampling</t>
  </si>
  <si>
    <t>Rule-based automated sampling (risk-based, random, judgmental).</t>
  </si>
  <si>
    <t>KYC-022</t>
  </si>
  <si>
    <t>Stratified Sampling by Customer Type</t>
  </si>
  <si>
    <t>Stratified sampling based on customer type (Retail, SME, Corporate, NRI, HNI, etc.).</t>
  </si>
  <si>
    <t>KYC-023</t>
  </si>
  <si>
    <t>Auditor override capability with justification capture.</t>
  </si>
  <si>
    <t>KYC-024</t>
  </si>
  <si>
    <t>Sampling Logic Audit Trail</t>
  </si>
  <si>
    <t>Audit trail of sampling logic and selection decisions.</t>
  </si>
  <si>
    <t>KYC-025</t>
  </si>
  <si>
    <t>Checklist Automation</t>
  </si>
  <si>
    <t>Dynamic KYC Checklist Generation</t>
  </si>
  <si>
    <t>Generate dynamic KYC audit checklists based on customer segment, product, and risk category.</t>
  </si>
  <si>
    <t>KYC-026</t>
  </si>
  <si>
    <t>Auto-Population from Customer Data</t>
  </si>
  <si>
    <t>Auto-populate checklist fields using ingested customer data.</t>
  </si>
  <si>
    <t>KYC-027</t>
  </si>
  <si>
    <t>Version-Controlled Checklist Templates</t>
  </si>
  <si>
    <t>Support version-controlled, configurable checklist templates.</t>
  </si>
  <si>
    <t>KYC-028</t>
  </si>
  <si>
    <t>Supporting Document Attachment and Tagging</t>
  </si>
  <si>
    <t>Allow attachment and tagging of supporting documents.</t>
  </si>
  <si>
    <t>KYC-029</t>
  </si>
  <si>
    <t>Workflow &amp; Query Management</t>
  </si>
  <si>
    <t>Exception Review, Approval and Closure Workflow</t>
  </si>
  <si>
    <t>Provide workflows for exception review, approval, and closure.</t>
  </si>
  <si>
    <t>KYC-030</t>
  </si>
  <si>
    <t>Branch and Auditee Query Raising</t>
  </si>
  <si>
    <t>Enable auditors to raise queries to branches / auditees with email and portal notifications.</t>
  </si>
  <si>
    <t>KYC-031</t>
  </si>
  <si>
    <t>Response and Document Capture</t>
  </si>
  <si>
    <t>Capture responses, documents, and comments with full audit trails.</t>
  </si>
  <si>
    <t>KYC-032</t>
  </si>
  <si>
    <t>Team Collaboration</t>
  </si>
  <si>
    <t>Support team collaboration through notes, tagging, and case-level discussions.</t>
  </si>
  <si>
    <t>KYC-033</t>
  </si>
  <si>
    <t>Multi-Dimensional Exception Dashboards</t>
  </si>
  <si>
    <t>Branch, region, customer-type and period-wise exception dashboards.</t>
  </si>
  <si>
    <t>KYC-034</t>
  </si>
  <si>
    <t>Risk Clustering Heat Maps</t>
  </si>
  <si>
    <t>Heat maps for risk clustering across geographies and customer categories.</t>
  </si>
  <si>
    <t>KYC-035</t>
  </si>
  <si>
    <t>Recurring Deficiency Trend Analysis</t>
  </si>
  <si>
    <t>Trend analysis for recurring KYC deficiencies.</t>
  </si>
  <si>
    <t>KYC-036</t>
  </si>
  <si>
    <t>Aggregate to Customer-Level Drill-Down</t>
  </si>
  <si>
    <t>Drill-down from aggregate to customer / account-level view.</t>
  </si>
  <si>
    <t>KYC-037</t>
  </si>
  <si>
    <t>Dashboard and Data Export</t>
  </si>
  <si>
    <t>Exportable dashboard and data outputs.</t>
  </si>
  <si>
    <t>KYC-038</t>
  </si>
  <si>
    <t>No-Code KYC Rule Engine</t>
  </si>
  <si>
    <t>A configurable, no-code rule engine to modify or add KYC validation rules.</t>
  </si>
  <si>
    <t>KYC-039</t>
  </si>
  <si>
    <t>Rule Versioning and Historical Comparison</t>
  </si>
  <si>
    <t>Rule versioning, approvals, and historical comparison capability.</t>
  </si>
  <si>
    <t>KYC-040</t>
  </si>
  <si>
    <t>Rule Impact Simulation</t>
  </si>
  <si>
    <t>Ability to simulate rule impact before deployment.</t>
  </si>
  <si>
    <t>KYC-041</t>
  </si>
  <si>
    <t>Detailed logs of rule changes.</t>
  </si>
  <si>
    <t>KYC-042</t>
  </si>
  <si>
    <t>Standard KYC Audit Report Suite</t>
  </si>
  <si>
    <t>Automatic generation of: KYC Exception Report; High-Risk Customer Summary; Periodic KYC Review Status Report; Document Completeness Report; Sampled Customer List; and Compliance Scorecard for branches.</t>
  </si>
  <si>
    <t>KYC-043</t>
  </si>
  <si>
    <t>Report Export Formats</t>
  </si>
  <si>
    <t>Reports must be exportable to Excel, PDF, and CSV.</t>
  </si>
  <si>
    <t>ACL-001</t>
  </si>
  <si>
    <t>Audit Checklist Automation</t>
  </si>
  <si>
    <t>Generation</t>
  </si>
  <si>
    <t>Automated Checklist Generation from Source Documents</t>
  </si>
  <si>
    <t>The solution must provide automated generation and dynamic updating of audit checklists by interpreting inputs from regulatory guidelines, circulars, policy updates, standard operating procedures (SOPs), and internal governance documents.</t>
  </si>
  <si>
    <t>ACL-002</t>
  </si>
  <si>
    <t>Rule Repository</t>
  </si>
  <si>
    <t>Central Regulatory-to-Checklist Rule Repository</t>
  </si>
  <si>
    <t>The system should maintain a central rule repository that maps regulatory and policy requirements to specific checklist conditions.</t>
  </si>
  <si>
    <t>ACL-003</t>
  </si>
  <si>
    <t>Auto-Update</t>
  </si>
  <si>
    <t>Automatic Update on Regulatory or Policy Change</t>
  </si>
  <si>
    <t>It must automatically update checklist items when new regulatory releases, amendments, or internal policy changes occur, ensuring real-time compliance readiness.</t>
  </si>
  <si>
    <t>ACL-004</t>
  </si>
  <si>
    <t>Governance</t>
  </si>
  <si>
    <t>Version Control, Approval and Traceability</t>
  </si>
  <si>
    <t>The platform should support version control, approval workflows, and traceability for all checklist updates.</t>
  </si>
  <si>
    <t>ACL-005</t>
  </si>
  <si>
    <t>Customisation</t>
  </si>
  <si>
    <t>Auditor Customisation with Preserved Linkage</t>
  </si>
  <si>
    <t>The system must allow auditors to customise or add checklist items based on audit scope while preserving linkage to underlying regulatory or policy references.</t>
  </si>
  <si>
    <t>ACL-006</t>
  </si>
  <si>
    <t>Output Structure</t>
  </si>
  <si>
    <t>Process-wise, Entity-wise and Risk-Aligned Output</t>
  </si>
  <si>
    <t>The output checklists should be process-wise, entity-wise, and risk-aligned, ensuring consistency.</t>
  </si>
  <si>
    <t>ACL-007</t>
  </si>
  <si>
    <t>Triggering</t>
  </si>
  <si>
    <t>Automated Checklist Triggering</t>
  </si>
  <si>
    <t>Automated trigger of relevant checklists based on the area or process selected.</t>
  </si>
  <si>
    <t>ACL-008</t>
  </si>
  <si>
    <t>Evidence Upload and Status Tracking</t>
  </si>
  <si>
    <t>Evidence upload, tagging, and automated status tracking.</t>
  </si>
  <si>
    <t>DAN-001</t>
  </si>
  <si>
    <t>Data Analytics for Internal Audit</t>
  </si>
  <si>
    <t>Data Ingestion, Quality &amp; Preparation</t>
  </si>
  <si>
    <t>Enterprise Multi-System Ingestion</t>
  </si>
  <si>
    <t>Ingest data from multiple enterprise systems (CBS, LOS, LMS, GL, CRM, AML, HRMS, DMS).</t>
  </si>
  <si>
    <t>DAN-002</t>
  </si>
  <si>
    <t>Structured, Semi-Structured and Unstructured Support</t>
  </si>
  <si>
    <t>Support for structured, semi-structured, and unstructured data formats.</t>
  </si>
  <si>
    <t>DAN-003</t>
  </si>
  <si>
    <t>AI-Enabled Data Profiling</t>
  </si>
  <si>
    <t>AI-enabled data profiling to identify missing values, outliers, inconsistent patterns, and unusual data characteristics.</t>
  </si>
  <si>
    <t>DAN-004</t>
  </si>
  <si>
    <t>ML-Assisted Data Quality Scoring</t>
  </si>
  <si>
    <t>ML-assisted data quality scoring to highlight high-risk data segments.</t>
  </si>
  <si>
    <t>DAN-005</t>
  </si>
  <si>
    <t>Explainable Cleaning and Transformation Pipelines</t>
  </si>
  <si>
    <t>Automated data cleaning and transformation pipelines with explainability.</t>
  </si>
  <si>
    <t>DAN-006</t>
  </si>
  <si>
    <t>Anomaly &amp; Outlier Detection</t>
  </si>
  <si>
    <t>ML Anomaly Detection Models</t>
  </si>
  <si>
    <t>ML models to detect unusual transactions, behavioural anomalies, exceptions, and deviations from normal patterns.</t>
  </si>
  <si>
    <t>DAN-007</t>
  </si>
  <si>
    <t>Hidden Relationship Detection</t>
  </si>
  <si>
    <t>Ability to detect hidden relationships not captured by standard rule-based checks.</t>
  </si>
  <si>
    <t>DAN-008</t>
  </si>
  <si>
    <t>Supervised, Unsupervised and Semi-Supervised Techniques</t>
  </si>
  <si>
    <t>Support for supervised, unsupervised, and semi-supervised learning techniques.</t>
  </si>
  <si>
    <t>DAN-009</t>
  </si>
  <si>
    <t>Predictive Risk Modelling</t>
  </si>
  <si>
    <t>Exception Likelihood Prediction</t>
  </si>
  <si>
    <t>Predictive insights for identifying branches, processes, products, or customers likely to generate audit exceptions.</t>
  </si>
  <si>
    <t>DAN-010</t>
  </si>
  <si>
    <t>Emerging Risk Forecasting</t>
  </si>
  <si>
    <t>Forecasting models for identifying emerging compliance risks or operational weaknesses.</t>
  </si>
  <si>
    <t>DAN-011</t>
  </si>
  <si>
    <t>High-Risk Probability Scoring</t>
  </si>
  <si>
    <t>Probability scoring of high-risk cases to help prioritise audit focus areas.</t>
  </si>
  <si>
    <t>DAN-012</t>
  </si>
  <si>
    <t>Segmentation &amp; Clustering</t>
  </si>
  <si>
    <t>Automated Entity Clustering</t>
  </si>
  <si>
    <t>Automated clustering of customers, branches, or transactions to identify behavioural patterns.</t>
  </si>
  <si>
    <t>DAN-013</t>
  </si>
  <si>
    <t>AI-Driven Audit Entity Categorisation</t>
  </si>
  <si>
    <t>AI-driven categorisation of audit entities based on historical observations and risk profiles.</t>
  </si>
  <si>
    <t>DAN-014</t>
  </si>
  <si>
    <t>Custom Segmentation without Vendor Dependency</t>
  </si>
  <si>
    <t>Ability to build custom segmentation models without vendor dependency.</t>
  </si>
  <si>
    <t>DAN-015</t>
  </si>
  <si>
    <t>AI Exception Management</t>
  </si>
  <si>
    <t>Rule and ML Driven Exception Generation</t>
  </si>
  <si>
    <t>Automated generation of exceptions using both analytical rules and ML insights.</t>
  </si>
  <si>
    <t>DAN-016</t>
  </si>
  <si>
    <t>ML-Based Severity Scoring</t>
  </si>
  <si>
    <t>Prioritisation of exceptions using ML-based severity scoring.</t>
  </si>
  <si>
    <t>DAN-017</t>
  </si>
  <si>
    <t>Intelligent Exception Grouping</t>
  </si>
  <si>
    <t>Intelligent grouping of related exceptions for faster audit review.</t>
  </si>
  <si>
    <t>DAN-018</t>
  </si>
  <si>
    <t>Learning from Auditor Decisions</t>
  </si>
  <si>
    <t>Capability to learn from auditor decisions (exception closure, severity changes) and self-improve.</t>
  </si>
  <si>
    <t>DAN-019</t>
  </si>
  <si>
    <t>Intelligent Sampling</t>
  </si>
  <si>
    <t>ML-Driven Risk-Based Sampling</t>
  </si>
  <si>
    <t>ML-driven risk-based sampling to select the highest-risk checks or transactions.</t>
  </si>
  <si>
    <t>DAN-020</t>
  </si>
  <si>
    <t>Hybrid Traditional and Predictive Sampling</t>
  </si>
  <si>
    <t>Combination of traditional methods (random, stratified) with predictive risk scores.</t>
  </si>
  <si>
    <t>DAN-021</t>
  </si>
  <si>
    <t>Automated Sample Size Optimisation</t>
  </si>
  <si>
    <t>Automated sample size optimisation based on risk scoring, historical error rates, and data characteristics.</t>
  </si>
  <si>
    <t>DAN-022</t>
  </si>
  <si>
    <t>Traceable Auditor Override</t>
  </si>
  <si>
    <t>Auditor override capability with traceable justification.</t>
  </si>
  <si>
    <t>DAN-023</t>
  </si>
  <si>
    <t>NLP for Documents &amp; Policies</t>
  </si>
  <si>
    <t>Unstructured Document Extraction</t>
  </si>
  <si>
    <t>NLP-based extraction of key information from unstructured documents (PDFs, scanned forms, emails, policy documents).</t>
  </si>
  <si>
    <t>DAN-024</t>
  </si>
  <si>
    <t>Document Classification, Tagging and Summarisation</t>
  </si>
  <si>
    <t>Automated classification, tagging, and summarisation of documents.</t>
  </si>
  <si>
    <t>DAN-025</t>
  </si>
  <si>
    <t>Extracted vs System Data Consistency Checks</t>
  </si>
  <si>
    <t>Ability to match extracted information with system data for consistency checks.</t>
  </si>
  <si>
    <t>DAN-026</t>
  </si>
  <si>
    <t>Regulatory Interpretation for Control Identification</t>
  </si>
  <si>
    <t>NLP-based interpretation of regulatory guidelines, circulars, and policy updates to identify relevant audit controls.</t>
  </si>
  <si>
    <t>DAN-027</t>
  </si>
  <si>
    <t>Insights &amp; Visualisation</t>
  </si>
  <si>
    <t>Dynamic AI/ML Dashboards</t>
  </si>
  <si>
    <t>Dynamic dashboards showing AI/ML-based trends, anomalies, predictive insights, and risk heatmaps.</t>
  </si>
  <si>
    <t>DAN-028</t>
  </si>
  <si>
    <t>Explainable AI (XAI) Views</t>
  </si>
  <si>
    <t>Explainable AI views showing the reasons behind ML predictions or exceptions.</t>
  </si>
  <si>
    <t>DAN-029</t>
  </si>
  <si>
    <t>Enterprise to Transaction Drill-Down</t>
  </si>
  <si>
    <t>Drill-down from enterprise risk view to branch / entity / transaction-level insights.</t>
  </si>
  <si>
    <t>DAN-030</t>
  </si>
  <si>
    <t>Proactive Behavioural Shift Alerts</t>
  </si>
  <si>
    <t>Proactive alerts for sudden shifts, spikes, or behavioural changes detected by ML.</t>
  </si>
  <si>
    <t>DAN-031</t>
  </si>
  <si>
    <t>Model Management &amp; Explainability</t>
  </si>
  <si>
    <t>Model Registry</t>
  </si>
  <si>
    <t>Model registry to maintain versions of ML models, parameters, and performance metrics.</t>
  </si>
  <si>
    <t>DAN-032</t>
  </si>
  <si>
    <t>SHAP / LIME Style Explainability</t>
  </si>
  <si>
    <t>Explainability tools (SHAP / LIME style) to clarify why a model created a prediction or flagged an anomaly.</t>
  </si>
  <si>
    <t>DAN-033</t>
  </si>
  <si>
    <t>Drift, Bias and Accuracy Monitoring</t>
  </si>
  <si>
    <t>Continuous monitoring for model drift, bias, accuracy degradation, and data drift.</t>
  </si>
  <si>
    <t>DAN-034</t>
  </si>
  <si>
    <t>Controlled Retraining with Approvals</t>
  </si>
  <si>
    <t>Controlled retraining of models using new data with proper approvals and audit trails.</t>
  </si>
  <si>
    <t>DAN-035</t>
  </si>
  <si>
    <t>Insight and Exception Assignment</t>
  </si>
  <si>
    <t>Assignment and tracking of analytic insights and AI-generated exceptions to auditors.</t>
  </si>
  <si>
    <t>DAN-036</t>
  </si>
  <si>
    <t>Validation, Review, Approval and Closure Workflow</t>
  </si>
  <si>
    <t>Integrated workflow for exception validation, review, approval, and closure.</t>
  </si>
  <si>
    <t>DAN-037</t>
  </si>
  <si>
    <t>Findings-Linked Comments and Attachments</t>
  </si>
  <si>
    <t>Ability to add comments, notes, and attachments tied to specific analytic findings.</t>
  </si>
  <si>
    <t>DAN-038</t>
  </si>
  <si>
    <t>AI-Assisted Resolution Recommendations</t>
  </si>
  <si>
    <t>AI-assisted recommendations on exception resolution and risk severity.</t>
  </si>
  <si>
    <t>DAN-039</t>
  </si>
  <si>
    <t>Security, Privacy &amp; Governance</t>
  </si>
  <si>
    <t>End-to-End Audit Trails</t>
  </si>
  <si>
    <t>End-to-end audit trails for all data, analytics models, reports, and user actions.</t>
  </si>
  <si>
    <t>DAN-040</t>
  </si>
  <si>
    <t>Security and Regulatory Compliance</t>
  </si>
  <si>
    <t>Compliance with internal security norms and regulatory guidelines.</t>
  </si>
  <si>
    <t>DAN-041</t>
  </si>
  <si>
    <t>Encryption in Transit and at Rest</t>
  </si>
  <si>
    <t>Encryption of data in transit and at rest.</t>
  </si>
  <si>
    <t>DAN-042</t>
  </si>
  <si>
    <t>Model Governance Policies</t>
  </si>
  <si>
    <t>Model governance policies, including controlled access and version approvals.</t>
  </si>
  <si>
    <t>DAN-043</t>
  </si>
  <si>
    <t>Data Lineage Tracing</t>
  </si>
  <si>
    <t>Data lineage tracing from source to AI-generated output.</t>
  </si>
  <si>
    <t>DAN-044</t>
  </si>
  <si>
    <t>Performance &amp; Scalability</t>
  </si>
  <si>
    <t>ML-Optimised Large Volume Processing</t>
  </si>
  <si>
    <t>Ability to process large-volume datasets using ML-optimised infrastructure.</t>
  </si>
  <si>
    <t>DAN-045</t>
  </si>
  <si>
    <t>Distributed Parallel Processing</t>
  </si>
  <si>
    <t>Support for distributed, parallel processing and horizontal scaling.</t>
  </si>
  <si>
    <t>DAN-046</t>
  </si>
  <si>
    <t>Low-Latency Near Real-Time Analytics</t>
  </si>
  <si>
    <t>Low-latency analytics for near real-time insights.</t>
  </si>
  <si>
    <t>DAN-047</t>
  </si>
  <si>
    <t>Auto-Scaling on Load and Pipeline Complexity</t>
  </si>
  <si>
    <t>Auto-scaling based on data load and complexity of ML pipelines.</t>
  </si>
  <si>
    <t>DAN-048</t>
  </si>
  <si>
    <t>Reporting Output</t>
  </si>
  <si>
    <t>AI-Based Risk Reports and Exception Summaries</t>
  </si>
  <si>
    <t>Auto-generated AI-based risk reports and exception summaries.</t>
  </si>
  <si>
    <t>DAN-049</t>
  </si>
  <si>
    <t>Predictive Risk Dashboards</t>
  </si>
  <si>
    <t>Predictive risk dashboards for branches, processes, and products.</t>
  </si>
  <si>
    <t>DAN-050</t>
  </si>
  <si>
    <t>Model Output Files with Explainability Annotations</t>
  </si>
  <si>
    <t>Detailed model output files with explainability annotations.</t>
  </si>
  <si>
    <t>DAN-051</t>
  </si>
  <si>
    <t>Data and Report Export</t>
  </si>
  <si>
    <t>Support for exporting data and reports to Excel, CSV, and PDF.</t>
  </si>
  <si>
    <t>ALM-001</t>
  </si>
  <si>
    <t>Audit Life Cycle Management (ALCM)</t>
  </si>
  <si>
    <t>Lifecycle Workflow</t>
  </si>
  <si>
    <t>Workflow-Based Lifecycle Management</t>
  </si>
  <si>
    <t>Workflow-based management of audit planning, execution, reporting, and follow-up.</t>
  </si>
  <si>
    <t>ALM-002</t>
  </si>
  <si>
    <t>Lifecycle Stage</t>
  </si>
  <si>
    <t>Audit Planning and Scheduling</t>
  </si>
  <si>
    <t>Stage 1 of the audit lifecycle: annual and periodic audit plan preparation, risk-based prioritisation, calendar and scheduling.</t>
  </si>
  <si>
    <t>ALM-003</t>
  </si>
  <si>
    <t>Audit Scope and Definition</t>
  </si>
  <si>
    <t>Stage 2 of the audit lifecycle: definition of audit scope, objectives, entities, processes, and coverage.</t>
  </si>
  <si>
    <t>ALM-004</t>
  </si>
  <si>
    <t>Fieldwork and Documentation</t>
  </si>
  <si>
    <t>Stage 3 of the audit lifecycle: execution of audit procedures, evidence collection, and workpaper documentation.</t>
  </si>
  <si>
    <t>ALM-005</t>
  </si>
  <si>
    <t>Findings and Issue Management</t>
  </si>
  <si>
    <t>Stage 4 of the audit lifecycle: raising, rating, discussing and managing audit findings and issues.</t>
  </si>
  <si>
    <t>ALM-006</t>
  </si>
  <si>
    <t>Reporting and Quality Assurance</t>
  </si>
  <si>
    <t>Stage 5 of the audit lifecycle: draft report preparation, review cycles, and quality assurance sign-off.</t>
  </si>
  <si>
    <t>ALM-007</t>
  </si>
  <si>
    <t>Report Release, Action Tracking and Follow-Up</t>
  </si>
  <si>
    <t>Stage 6 of the audit lifecycle: report release, management action plan tracking, and follow-up on open items.</t>
  </si>
  <si>
    <t>ALM-008</t>
  </si>
  <si>
    <t>Audit Closure</t>
  </si>
  <si>
    <t>Stage 7 of the audit lifecycle: closure of the audit, archival of evidence, and final sign-off.</t>
  </si>
  <si>
    <t>ALM-009</t>
  </si>
  <si>
    <t>Resource Management</t>
  </si>
  <si>
    <t>Resource Allocation and Schedule Management</t>
  </si>
  <si>
    <t>Resource allocation and schedule management across audits and audit teams.</t>
  </si>
  <si>
    <t>ALM-010</t>
  </si>
  <si>
    <t>Tracking</t>
  </si>
  <si>
    <t>Real-Time Audit Status Tracking</t>
  </si>
  <si>
    <t>Real-time status tracking for audits.</t>
  </si>
  <si>
    <t>ALM-011</t>
  </si>
  <si>
    <t>Integration with AI and Other Initiative Platforms</t>
  </si>
  <si>
    <t>Integration with the existing AI and other initiative platforms delivered under this scope.</t>
  </si>
  <si>
    <t>AGN-001</t>
  </si>
  <si>
    <t>Agentic AI for Audit Functions</t>
  </si>
  <si>
    <t>Autonomous Task Execution</t>
  </si>
  <si>
    <t>Multi-Step Autonomous Audit Task Execution</t>
  </si>
  <si>
    <t>Executing multi-step audit tasks autonomously (data retrieval, validation, sampling, testing).</t>
  </si>
  <si>
    <t>AGN-002</t>
  </si>
  <si>
    <t>Task Decomposition and Sequenced Execution</t>
  </si>
  <si>
    <t>Breaking complex audit procedures into sub-tasks and executing them in sequence.</t>
  </si>
  <si>
    <t>AGN-003</t>
  </si>
  <si>
    <t>Trigger-Based Self-Initiation</t>
  </si>
  <si>
    <t>Self-initiating tasks based on triggers (data anomalies, risk scores, regulatory updates).</t>
  </si>
  <si>
    <t>AGN-004</t>
  </si>
  <si>
    <t>Recommended Next Actions with Evidence</t>
  </si>
  <si>
    <t>Providing recommended next actions with supporting evidence.</t>
  </si>
  <si>
    <t>AGN-005</t>
  </si>
  <si>
    <t>Contextual Reasoning</t>
  </si>
  <si>
    <t>Structured and Unstructured Data Interpretation</t>
  </si>
  <si>
    <t>Interpret structured and unstructured data (CBS extracts, logs, policies, emails, reports).</t>
  </si>
  <si>
    <t>AGN-006</t>
  </si>
  <si>
    <t>Audit Context Understanding</t>
  </si>
  <si>
    <t>Understand audit context (scope, entity type, prior issues, risk ratings).</t>
  </si>
  <si>
    <t>AGN-007</t>
  </si>
  <si>
    <t>Test Selection Reasoning</t>
  </si>
  <si>
    <t>Use reasoning to determine which audit tests to perform on which datasets.</t>
  </si>
  <si>
    <t>AGN-008</t>
  </si>
  <si>
    <t>Gap and Control Weakness Identification</t>
  </si>
  <si>
    <t>Identify gaps, inconsistencies, unusual patterns, and control weaknesses.</t>
  </si>
  <si>
    <t>AGN-009</t>
  </si>
  <si>
    <t>AI-Driven Planning &amp; Scoping</t>
  </si>
  <si>
    <t>Automated Source Review for Planning</t>
  </si>
  <si>
    <t>Automated review of process maps, risk registers, past audit results, and regulatory guidelines.</t>
  </si>
  <si>
    <t>AGN-010</t>
  </si>
  <si>
    <t>Scope and Entity Prioritisation Generation</t>
  </si>
  <si>
    <t>Generation of audit scope, high-risk areas, and entity prioritisation.</t>
  </si>
  <si>
    <t>AGN-011</t>
  </si>
  <si>
    <t>Dynamic Scope Adjustment</t>
  </si>
  <si>
    <t>Dynamic adjustment of scope based on real-time findings.</t>
  </si>
  <si>
    <t>AGN-012</t>
  </si>
  <si>
    <t>Predictive Risk Modelling for Test Depth</t>
  </si>
  <si>
    <t>Predictive risk modelling to determine which locations or processes require deeper testing.</t>
  </si>
  <si>
    <t>AGN-013</t>
  </si>
  <si>
    <t>AI-Generated Checklists</t>
  </si>
  <si>
    <t>Checklist Generation from Regulatory Sources</t>
  </si>
  <si>
    <t>Generate audit checklists using regulatory guidelines, circulars, policies, SOPs, and process notes.</t>
  </si>
  <si>
    <t>AGN-014</t>
  </si>
  <si>
    <t>Automatic Checklist Update on Change</t>
  </si>
  <si>
    <t>Update checklists automatically when regulations or policies change.</t>
  </si>
  <si>
    <t>AGN-015</t>
  </si>
  <si>
    <t>Checklist to Risk, Control and Data Mapping</t>
  </si>
  <si>
    <t>Map checklist items to specific risks, controls, and data sources.</t>
  </si>
  <si>
    <t>AGN-016</t>
  </si>
  <si>
    <t>Evidence-Based Reasoning for Recommendations</t>
  </si>
  <si>
    <t>Provide evidence-based reasoning for each checklist recommendation.</t>
  </si>
  <si>
    <t>AGN-017</t>
  </si>
  <si>
    <t>Agentic Analytics &amp; Testing</t>
  </si>
  <si>
    <t>Autonomous Fetch, Clean, Test and Detect</t>
  </si>
  <si>
    <t>Agents should fetch data, clean it, run audit tests, validate thresholds, and detect anomalies.</t>
  </si>
  <si>
    <t>AGN-018</t>
  </si>
  <si>
    <t>Reconciliation and Transaction Testing</t>
  </si>
  <si>
    <t>Ability to perform reconciliations, trend analysis, transaction testing, and exception extraction.</t>
  </si>
  <si>
    <t>AGN-019</t>
  </si>
  <si>
    <t>Explainable Result Derivation</t>
  </si>
  <si>
    <t>Provide a detailed explanation of how each result was derived (Explainable AI).</t>
  </si>
  <si>
    <t>AGN-020</t>
  </si>
  <si>
    <t>Autonomous Follow-On Test Triggering</t>
  </si>
  <si>
    <t>Trigger new tests autonomously if anomalies appear.</t>
  </si>
  <si>
    <t>AGN-021</t>
  </si>
  <si>
    <t>Autonomous Exception Identification</t>
  </si>
  <si>
    <t>Auto-Detection of Failures and Fraud Indicators</t>
  </si>
  <si>
    <t>Auto-detect control failures, anomalies, duplications, fraud indicators, or non-compliances.</t>
  </si>
  <si>
    <t>AGN-022</t>
  </si>
  <si>
    <t>AI Reasoning Based Severity Scoring</t>
  </si>
  <si>
    <t>Severity scoring of exceptions using AI reasoning.</t>
  </si>
  <si>
    <t>AGN-023</t>
  </si>
  <si>
    <t>Systemic Issue Grouping</t>
  </si>
  <si>
    <t>Group related exceptions and identify systemic issues.</t>
  </si>
  <si>
    <t>AGN-024</t>
  </si>
  <si>
    <t>Root Cause Suggestion with Evidence</t>
  </si>
  <si>
    <t>Suggest likely root causes with supporting evidence.</t>
  </si>
  <si>
    <t>AGN-025</t>
  </si>
  <si>
    <t>AI Risk-Based Sampling</t>
  </si>
  <si>
    <t>AI-enabled risk-based sampling driven by predictive scores and anomaly patterns.</t>
  </si>
  <si>
    <t>AGN-026</t>
  </si>
  <si>
    <t>Autonomous Hybrid Sampling Logic</t>
  </si>
  <si>
    <t>Combination of judgmental, random, and stratified logic executed autonomously.</t>
  </si>
  <si>
    <t>AGN-027</t>
  </si>
  <si>
    <t>Dynamic Sample Recalibration</t>
  </si>
  <si>
    <t>Dynamic sample recalibration as more exceptions are found.</t>
  </si>
  <si>
    <t>AGN-028</t>
  </si>
  <si>
    <t>Sampling Decision and Logic Audit Trail</t>
  </si>
  <si>
    <t>Complete audit trail of sampling decisions and logic.</t>
  </si>
  <si>
    <t>AGN-029</t>
  </si>
  <si>
    <t>Workpaper Automation</t>
  </si>
  <si>
    <t>Auto-Generation of Workpapers</t>
  </si>
  <si>
    <t>Auto-generation of workpapers for each test performed.</t>
  </si>
  <si>
    <t>AGN-030</t>
  </si>
  <si>
    <t>Evidence Summarisation and Attachment</t>
  </si>
  <si>
    <t>Agents should summarise evidence, attach data extracts, and justify exceptions.</t>
  </si>
  <si>
    <t>AGN-031</t>
  </si>
  <si>
    <t>Version Control, Approval and Edit History</t>
  </si>
  <si>
    <t>Version control, approval workflow, and edit history for workpapers.</t>
  </si>
  <si>
    <t>AGN-032</t>
  </si>
  <si>
    <t>Compliance with Internal Audit Standards</t>
  </si>
  <si>
    <t>Workpapers must meet internal audit standards.</t>
  </si>
  <si>
    <t>AGN-033</t>
  </si>
  <si>
    <t>Autonomous Query Management</t>
  </si>
  <si>
    <t>Auto-Drafting of Auditee Queries</t>
  </si>
  <si>
    <t>Auto-draft queries for auditees based on detected exceptions.</t>
  </si>
  <si>
    <t>AGN-034</t>
  </si>
  <si>
    <t>Automated Response Adequacy Analysis</t>
  </si>
  <si>
    <t>Auto-analyse responses and determine adequacy.</t>
  </si>
  <si>
    <t>AGN-035</t>
  </si>
  <si>
    <t>Closure or Escalation Recommendation</t>
  </si>
  <si>
    <t>Recommend closure or escalation based on evidence.</t>
  </si>
  <si>
    <t>AGN-036</t>
  </si>
  <si>
    <t>Full Conversational Logging</t>
  </si>
  <si>
    <t>Maintain full conversational logs.</t>
  </si>
  <si>
    <t>AGN-037</t>
  </si>
  <si>
    <t>Generative AI Reporting</t>
  </si>
  <si>
    <t>Draft Audit Report Generation</t>
  </si>
  <si>
    <t>Create draft audit reports based on findings, exceptions, data analysis, and risk rating.</t>
  </si>
  <si>
    <t>AGN-038</t>
  </si>
  <si>
    <t>Root Cause, Impact and Recommendations</t>
  </si>
  <si>
    <t>Provide root cause analysis, impact assessment, and recommendations.</t>
  </si>
  <si>
    <t>AGN-039</t>
  </si>
  <si>
    <t>Multi-Level Audience Summaries</t>
  </si>
  <si>
    <t>Support multi-level summaries (CxO, CRO, Audit Committee, Branch level).</t>
  </si>
  <si>
    <t>AGN-040</t>
  </si>
  <si>
    <t>Factual Accuracy with References</t>
  </si>
  <si>
    <t>Maintain factual accuracy with supporting references.</t>
  </si>
  <si>
    <t>AGN-041</t>
  </si>
  <si>
    <t>Explainability &amp; Traceability</t>
  </si>
  <si>
    <t>Explainability of Every AI Action</t>
  </si>
  <si>
    <t>Every AI action must be explainable.</t>
  </si>
  <si>
    <t>AGN-042</t>
  </si>
  <si>
    <t>Reasoning Chains and Input References</t>
  </si>
  <si>
    <t>Provide reasoning chains, input data references, and model outputs.</t>
  </si>
  <si>
    <t>AGN-043</t>
  </si>
  <si>
    <t>Immutable AI Decision Logs</t>
  </si>
  <si>
    <t>Maintain immutable logs of AI decisions.</t>
  </si>
  <si>
    <t>AGN-044</t>
  </si>
  <si>
    <t>Human-in-the-Loop Controls</t>
  </si>
  <si>
    <t>Auditor Approval of Critical AI Outputs</t>
  </si>
  <si>
    <t>Auditors must approve critical AI outputs (scope, exceptions, reports).</t>
  </si>
  <si>
    <t>AGN-045</t>
  </si>
  <si>
    <t>Override with Recorded Justification</t>
  </si>
  <si>
    <t>Ability to override AI recommendations with recorded justification.</t>
  </si>
  <si>
    <t>AGN-046</t>
  </si>
  <si>
    <t>Escalation Workflows</t>
  </si>
  <si>
    <t>Escalation workflows for high-risk or ambiguous decisions.</t>
  </si>
  <si>
    <t>AGN-047</t>
  </si>
  <si>
    <t>Model Management &amp; Regulatory Alignment</t>
  </si>
  <si>
    <t>Agentic Model Versioning and Drift Monitoring</t>
  </si>
  <si>
    <t>Versioning, drift monitoring, and periodic validation of Agentic models.</t>
  </si>
  <si>
    <t>AGN-048</t>
  </si>
  <si>
    <t>Policy, IT Security and Regulatory Compliance</t>
  </si>
  <si>
    <t>Compliance with internal policies, IT security standards, and regulatory requirements.</t>
  </si>
  <si>
    <t>AGN-049</t>
  </si>
  <si>
    <t>Agent and Model Disable / Rollback</t>
  </si>
  <si>
    <t>Ability to disable or roll back specific agents or models if needed.</t>
  </si>
  <si>
    <t>AGN-050</t>
  </si>
  <si>
    <t>Security &amp; Compliance</t>
  </si>
  <si>
    <t>RBAC, MFA and Encryption</t>
  </si>
  <si>
    <t>Role-based access control, MFA, and encryption at rest and in transit.</t>
  </si>
  <si>
    <t>AGN-051</t>
  </si>
  <si>
    <t>No External Transmission of Audit Data</t>
  </si>
  <si>
    <t>No external transmission of sensitive audit data outside the Bank's environment.</t>
  </si>
  <si>
    <t>AGN-052</t>
  </si>
  <si>
    <t>Prompt Injection and Adversarial Protection</t>
  </si>
  <si>
    <t>Protection against prompt injection, data leakage, and adversarial attacks.</t>
  </si>
  <si>
    <t>AGN-053</t>
  </si>
  <si>
    <t>Information Security and Data Governance Compliance</t>
  </si>
  <si>
    <t>Full compliance with internal Information Security, Data Governance, and Audit standards.</t>
  </si>
  <si>
    <t>AGN-054</t>
  </si>
  <si>
    <t>Concurrent Multi-Audit Agent Execution</t>
  </si>
  <si>
    <t>Must support concurrent autonomous agents running across multiple audits.</t>
  </si>
  <si>
    <t>AGN-055</t>
  </si>
  <si>
    <t>Horizontal Scaling for Parallel Execution</t>
  </si>
  <si>
    <t>Horizontal scaling for large data volumes and parallel audit execution.</t>
  </si>
  <si>
    <t>AGN-056</t>
  </si>
  <si>
    <t>Real-Time Processing for High-Risk Areas</t>
  </si>
  <si>
    <t>Real-time or near-real-time processing for high-risk areas.</t>
  </si>
  <si>
    <t>CHB-001</t>
  </si>
  <si>
    <t>ChatBot for Policies, SOPs and Documents</t>
  </si>
  <si>
    <t>Interface</t>
  </si>
  <si>
    <t>AI-Driven Conversational Interface</t>
  </si>
  <si>
    <t>AI-driven conversational interface for user interaction.</t>
  </si>
  <si>
    <t>CHB-002</t>
  </si>
  <si>
    <t>Retrieval</t>
  </si>
  <si>
    <t>Search, Retrieval and Summarisation</t>
  </si>
  <si>
    <t>Ability to search, retrieve, and summarise policies, SOPs, and audit artifacts.</t>
  </si>
  <si>
    <t>CHB-003</t>
  </si>
  <si>
    <t>Security</t>
  </si>
  <si>
    <t>Role-Based Access and Secure Delivery</t>
  </si>
  <si>
    <t>Role-based access and secure information delivery.</t>
  </si>
  <si>
    <t>COMPLETION SUMMARY BY SOLUTION</t>
  </si>
  <si>
    <t>Live view of the Completion column on the Functional Requirements sheet. Every figure below is a formula - change any Yes/No there and these update automatically.</t>
  </si>
  <si>
    <t>#</t>
  </si>
  <si>
    <t>Total
Requirements</t>
  </si>
  <si>
    <t>Completed
(Yes)</t>
  </si>
  <si>
    <t>Pending
(No)</t>
  </si>
  <si>
    <t>Completion %</t>
  </si>
  <si>
    <t>Must-Have
Total</t>
  </si>
  <si>
    <t>Must-Have
Completed</t>
  </si>
  <si>
    <t>Must-Have
Completion %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</si>
  <si>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</si>
  <si>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</si>
  <si>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</si>
  <si>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</si>
  <si>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</si>
  <si>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</si>
  <si>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</si>
  <si>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</si>
  <si>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</si>
  <si>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TOTAL - ALL SOLUTIONS</t>
  </si>
  <si>
    <t>Formulas use whole-column references, so inserting or deleting requirement rows on the Functional Requirements sheet is handled automatically. Pending = Total - Completed, so a cleared Completion cell counts as pending.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</si>
</sst>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9"/>
      <color rgb="FF17456F"/>
      <name val="Calibri"/>
    </font>
    <font>
      <b/>
      <sz val="10"/>
      <color rgb="FFFFFFFF"/>
      <name val="Calibri"/>
    </font>
    <font>
      <sz val="10"/>
      <color rgb="FF1A1A1A"/>
      <name val="Calibri"/>
    </font>
    <font>
      <b/>
      <sz val="10"/>
      <color rgb="FF1F6FB2"/>
      <name val="Calibri"/>
    </font>
    <font>
      <sz val="10"/>
      <color rgb="FF333333"/>
      <name val="Calibri"/>
    </font>
    <font>
      <b/>
      <sz val="10"/>
      <color rgb="FF1A1A1A"/>
      <name val="Calibri"/>
    </font>
    <font>
      <b/>
      <sz val="10"/>
      <color rgb="FF2E8B7A"/>
      <name val="Calibri"/>
    </font>
    <font>
      <b/>
      <sz val="10"/>
      <color rgb="FF9C5AA8"/>
      <name val="Calibri"/>
    </font>
    <font>
      <b/>
      <sz val="10"/>
      <color rgb="FFC1743C"/>
      <name val="Calibri"/>
    </font>
    <font>
      <b/>
      <sz val="10"/>
      <color rgb="FF5A7DA8"/>
      <name val="Calibri"/>
    </font>
    <font>
      <b/>
      <sz val="10"/>
      <color rgb="FF3F7F53"/>
      <name val="Calibri"/>
    </font>
    <font>
      <b/>
      <sz val="10"/>
      <color rgb="FF8A6D3B"/>
      <name val="Calibri"/>
    </font>
    <font>
      <b/>
      <sz val="10"/>
      <color rgb="FFB03A48"/>
      <name val="Calibri"/>
    </font>
    <font>
      <b/>
      <sz val="10"/>
      <color rgb="FF4A6FA5"/>
      <name val="Calibri"/>
    </font>
    <font>
      <b/>
      <sz val="10"/>
      <color rgb="FF0B6B33"/>
      <name val="Calibri"/>
    </font>
    <font>
      <b/>
      <sz val="10"/>
      <color rgb="FF9C0006"/>
      <name val="Calibri"/>
    </font>
    <font>
      <b/>
      <sz val="10"/>
      <color rgb="FF17456F"/>
      <name val="Calibri"/>
    </font>
    <font>
      <b/>
      <sz val="11"/>
      <color rgb="FFFFFFFF"/>
      <name val="Calibri"/>
    </font>
    <font>
      <i/>
      <sz val="9"/>
      <color rgb="FF666666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0B2A4A"/>
      </patternFill>
    </fill>
    <fill>
      <patternFill patternType="solid">
        <fgColor rgb="FFE4EEF8"/>
      </patternFill>
    </fill>
    <fill>
      <patternFill patternType="solid">
        <fgColor rgb="FFE8F1F9"/>
      </patternFill>
    </fill>
    <fill>
      <patternFill patternType="solid">
        <fgColor rgb="FFE7F4F1"/>
      </patternFill>
    </fill>
    <fill>
      <patternFill patternType="solid">
        <fgColor rgb="FFF3ECF5"/>
      </patternFill>
    </fill>
    <fill>
      <patternFill patternType="solid">
        <fgColor rgb="FFFAF0E7"/>
      </patternFill>
    </fill>
    <fill>
      <patternFill patternType="solid">
        <fgColor rgb="FFECF1F7"/>
      </patternFill>
    </fill>
    <fill>
      <patternFill patternType="solid">
        <fgColor rgb="FFEAF3ED"/>
      </patternFill>
    </fill>
    <fill>
      <patternFill patternType="solid">
        <fgColor rgb="FFF5F1E8"/>
      </patternFill>
    </fill>
    <fill>
      <patternFill patternType="solid">
        <fgColor rgb="FFF9ECEE"/>
      </patternFill>
    </fill>
    <fill>
      <patternFill patternType="solid">
        <fgColor rgb="FFEDF1F7"/>
      </patternFill>
    </fill>
    <fill>
      <patternFill patternType="solid">
        <fgColor rgb="FF17456F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/>
    </xf>
    <xf numFmtId="0" fontId="8" fillId="5" borderId="1" xfId="0" applyFont="1" applyFill="1" applyBorder="1" applyAlignment="1">
      <alignment horizontal="center" vertical="top"/>
    </xf>
    <xf numFmtId="0" fontId="8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center" vertical="top"/>
    </xf>
    <xf numFmtId="0" fontId="9" fillId="6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left" vertical="top" wrapText="1"/>
    </xf>
    <xf numFmtId="0" fontId="10" fillId="7" borderId="1" xfId="0" applyFont="1" applyFill="1" applyBorder="1" applyAlignment="1">
      <alignment horizontal="center" vertical="top"/>
    </xf>
    <xf numFmtId="0" fontId="10" fillId="7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left" vertical="top" wrapText="1"/>
    </xf>
    <xf numFmtId="0" fontId="11" fillId="8" borderId="1" xfId="0" applyFont="1" applyFill="1" applyBorder="1" applyAlignment="1">
      <alignment horizontal="center" vertical="top"/>
    </xf>
    <xf numFmtId="0" fontId="11" fillId="8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0" fontId="12" fillId="9" borderId="1" xfId="0" applyFont="1" applyFill="1" applyBorder="1" applyAlignment="1">
      <alignment horizontal="center" vertical="top"/>
    </xf>
    <xf numFmtId="0" fontId="12" fillId="9" borderId="1" xfId="0" applyFont="1" applyFill="1" applyBorder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13" fillId="10" borderId="1" xfId="0" applyFont="1" applyFill="1" applyBorder="1" applyAlignment="1">
      <alignment horizontal="center" vertical="top"/>
    </xf>
    <xf numFmtId="0" fontId="13" fillId="10" borderId="1" xfId="0" applyFont="1" applyFill="1" applyBorder="1" applyAlignment="1">
      <alignment horizontal="left" vertical="top" wrapText="1"/>
    </xf>
    <xf numFmtId="0" fontId="6" fillId="10" borderId="1" xfId="0" applyFont="1" applyFill="1" applyBorder="1" applyAlignment="1">
      <alignment horizontal="left" vertical="top" wrapText="1"/>
    </xf>
    <xf numFmtId="0" fontId="14" fillId="11" borderId="1" xfId="0" applyFont="1" applyFill="1" applyBorder="1" applyAlignment="1">
      <alignment horizontal="center" vertical="top"/>
    </xf>
    <xf numFmtId="0" fontId="14" fillId="11" borderId="1" xfId="0" applyFont="1" applyFill="1" applyBorder="1" applyAlignment="1">
      <alignment horizontal="left" vertical="top" wrapText="1"/>
    </xf>
    <xf numFmtId="0" fontId="6" fillId="11" borderId="1" xfId="0" applyFont="1" applyFill="1" applyBorder="1" applyAlignment="1">
      <alignment horizontal="left" vertical="top" wrapText="1"/>
    </xf>
    <xf numFmtId="0" fontId="15" fillId="12" borderId="1" xfId="0" applyFont="1" applyFill="1" applyBorder="1" applyAlignment="1">
      <alignment horizontal="center" vertical="top"/>
    </xf>
    <xf numFmtId="0" fontId="15" fillId="12" borderId="1" xfId="0" applyFont="1" applyFill="1" applyBorder="1" applyAlignment="1">
      <alignment horizontal="left" vertical="top" wrapText="1"/>
    </xf>
    <xf numFmtId="0" fontId="6" fillId="12" borderId="1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indent="1"/>
    </xf>
    <xf numFmtId="0" fontId="4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4" fontId="18" fillId="0" borderId="1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indent="1"/>
    </xf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indent="1"/>
    </xf>
    <xf numFmtId="0" fontId="10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center" indent="1"/>
    </xf>
    <xf numFmtId="0" fontId="11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left" vertical="center" indent="1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 indent="1"/>
    </xf>
    <xf numFmtId="0" fontId="13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 indent="1"/>
    </xf>
    <xf numFmtId="0" fontId="14" fillId="11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left" vertical="center" indent="1"/>
    </xf>
    <xf numFmtId="0" fontId="15" fillId="12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left" vertical="center" indent="1"/>
    </xf>
    <xf numFmtId="0" fontId="19" fillId="13" borderId="1" xfId="0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left" vertical="center" indent="1"/>
    </xf>
    <xf numFmtId="164" fontId="19" fillId="13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0" fillId="0" borderId="0" xfId="0" applyFont="1" applyAlignment="1">
      <alignment horizontal="left" vertical="center" indent="1"/>
    </xf>
  </cellXfs>
  <cellStyles count="1">
    <cellStyle name="Normal" xfId="0" builtinId="0"/>
  </cellStyles>
  <dxfs count="7">
    <dxf>
      <font>
        <b/>
        <sz val="10"/>
        <color rgb="FF9C0006"/>
        <name val="Calibri"/>
      </font>
      <fill>
        <patternFill patternType="solid">
          <bgColor rgb="FFFFC7CE"/>
        </patternFill>
      </fill>
    </dxf>
    <dxf>
      <font>
        <b/>
        <sz val="10"/>
        <color rgb="FF0B6B33"/>
        <name val="Calibri"/>
      </font>
      <fill>
        <patternFill patternType="solid">
          <bgColor rgb="FFC6EFCE"/>
        </patternFill>
      </fill>
    </dxf>
    <dxf>
      <font>
        <sz val="10"/>
        <color rgb="FF2E6B3E"/>
        <name val="Calibri"/>
      </font>
      <fill>
        <patternFill patternType="solid">
          <bgColor rgb="FFE8F5EC"/>
        </patternFill>
      </fill>
    </dxf>
    <dxf>
      <font>
        <sz val="10"/>
        <color rgb="FF6B5A00"/>
        <name val="Calibri"/>
      </font>
      <fill>
        <patternFill patternType="solid">
          <bgColor rgb="FFFFF9E0"/>
        </patternFill>
      </fill>
    </dxf>
    <dxf>
      <font>
        <b/>
        <sz val="10"/>
        <color rgb="FFA33A00"/>
        <name val="Calibri"/>
      </font>
      <fill>
        <patternFill patternType="solid">
          <bgColor rgb="FFFFEADD"/>
        </patternFill>
      </fill>
    </dxf>
    <dxf>
      <font>
        <sz val="10"/>
        <color rgb="FF8A6D00"/>
        <name val="Calibri"/>
      </font>
      <fill>
        <patternFill patternType="solid">
          <bgColor rgb="FFFFF6DC"/>
        </patternFill>
      </fill>
    </dxf>
    <dxf>
      <font>
        <b/>
        <sz val="10"/>
        <color rgb="FF9C0006"/>
        <name val="Calibri"/>
      </font>
      <fill>
        <patternFill patternType="solid">
          <bgColor rgb="FFFFE3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Completion % by Solution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'Completion Summary'!$F$4</c:f>
              <c:strCache>
                <c:ptCount val="1"/>
                <c:pt idx="0">
                  <c:v>Completion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'Completion Summary'!$B$5:$B$13</c:f>
              <c:strCache>
                <c:ptCount val="9"/>
                <c:pt idx="0">
                  <c:v>Continuous Control Monitoring (CCM)</c:v>
                </c:pt>
                <c:pt idx="1">
                  <c:v>Pre-Audit Checks Automation</c:v>
                </c:pt>
                <c:pt idx="2">
                  <c:v>VKYC Audit Automation</c:v>
                </c:pt>
                <c:pt idx="3">
                  <c:v>KYC Audit Automation</c:v>
                </c:pt>
                <c:pt idx="4">
                  <c:v>Audit Checklist Automation</c:v>
                </c:pt>
                <c:pt idx="5">
                  <c:v>Data Analytics for Internal Audit</c:v>
                </c:pt>
                <c:pt idx="6">
                  <c:v>Audit Life Cycle Management (ALCM)</c:v>
                </c:pt>
                <c:pt idx="7">
                  <c:v>Agentic AI for Audit Functions</c:v>
                </c:pt>
                <c:pt idx="8">
                  <c:v>ChatBot for Policies, SOPs and Documents</c:v>
                </c:pt>
              </c:strCache>
            </c:strRef>
          </c:cat>
          <c:val>
            <c:numRef>
              <c:f>'Completion Summary'!$F$5:$F$13</c:f>
              <c:numCache>
                <c:formatCode>0.0%</c:formatCode>
                <c:ptCount val="9"/>
                <c:pt idx="0">
                  <c:v>0.5714285714285714</c:v>
                </c:pt>
                <c:pt idx="1">
                  <c:v>0.5</c:v>
                </c:pt>
                <c:pt idx="2">
                  <c:v>0.75</c:v>
                </c:pt>
                <c:pt idx="3">
                  <c:v>0.51162790697674421</c:v>
                </c:pt>
                <c:pt idx="4">
                  <c:v>0.125</c:v>
                </c:pt>
                <c:pt idx="5">
                  <c:v>0.50980392156862742</c:v>
                </c:pt>
                <c:pt idx="6">
                  <c:v>0.18181818181818182</c:v>
                </c:pt>
                <c:pt idx="7">
                  <c:v>0.375</c:v>
                </c:pt>
                <c:pt idx="8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1-42F4-97E4-860C19DE2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68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8B7A"/>
  </sheetPr>
  <dimension ref="A1:I15"/>
  <sheetViews>
    <sheetView showGridLines="0"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6" customWidth="1"/>
    <col min="2" max="2" width="44" customWidth="1"/>
    <col min="3" max="3" width="14" customWidth="1"/>
    <col min="4" max="4" width="13" customWidth="1"/>
    <col min="5" max="5" width="12" customWidth="1"/>
    <col min="6" max="6" width="15" customWidth="1"/>
    <col min="7" max="7" width="13" customWidth="1"/>
    <col min="8" max="8" width="14" customWidth="1"/>
    <col min="9" max="9" width="17" customWidth="1"/>
  </cols>
  <sheetData>
    <row r="1" spans="1:9" ht="30" customHeight="1" x14ac:dyDescent="0.3">
      <c r="A1" s="60" t="s">
        <v>782</v>
      </c>
      <c r="B1" s="59"/>
      <c r="C1" s="59"/>
      <c r="D1" s="59"/>
      <c r="E1" s="59"/>
      <c r="F1" s="59"/>
      <c r="G1" s="59"/>
      <c r="H1" s="59"/>
      <c r="I1" s="59"/>
    </row>
    <row r="2" spans="1:9" ht="18" customHeight="1" x14ac:dyDescent="0.3">
      <c r="A2" s="58" t="s">
        <v>783</v>
      </c>
      <c r="B2" s="59"/>
      <c r="C2" s="59"/>
      <c r="D2" s="59"/>
      <c r="E2" s="59"/>
      <c r="F2" s="59"/>
      <c r="G2" s="59"/>
      <c r="H2" s="59"/>
      <c r="I2" s="59"/>
    </row>
    <row r="4" spans="1:9" ht="40.049999999999997" customHeight="1" x14ac:dyDescent="0.3">
      <c r="A4" s="1" t="s">
        <v>784</v>
      </c>
      <c r="B4" s="1" t="s">
        <v>3</v>
      </c>
      <c r="C4" s="1" t="s">
        <v>785</v>
      </c>
      <c r="D4" s="1" t="s">
        <v>786</v>
      </c>
      <c r="E4" s="1" t="s">
        <v>787</v>
      </c>
      <c r="F4" s="1" t="s">
        <v>788</v>
      </c>
      <c r="G4" s="1" t="s">
        <v>789</v>
      </c>
      <c r="H4" s="1" t="s">
        <v>790</v>
      </c>
      <c r="I4" s="1" t="s">
        <v>791</v>
      </c>
    </row>
    <row r="5" spans="1:9" ht="19.95" customHeight="1" x14ac:dyDescent="0.3">
      <c r="A5" s="33" t="s">
        <v>792</v>
      </c>
      <c r="B5" s="34" t="s">
        <v>11</v>
      </c>
      <c r="C5" s="35">
        <f>COUNTIF('Functional Requirements'!$B:$B,$B5)</f>
        <v>14</v>
      </c>
      <c r="D5" s="36">
        <f>COUNTIFS('Functional Requirements'!$B:$B,$B5,'Functional Requirements'!$H:$H,"Yes")</f>
        <v>8</v>
      </c>
      <c r="E5" s="37">
        <f t="shared" ref="E5:E13" si="0">C5-D5</f>
        <v>6</v>
      </c>
      <c r="F5" s="38">
        <f t="shared" ref="F5:F14" si="1">IF(C5=0,0,D5/C5)</f>
        <v>0.5714285714285714</v>
      </c>
      <c r="G5" s="35">
        <f>COUNTIFS('Functional Requirements'!$B:$B,$B5,'Functional Requirements'!$F:$F,"Must-Have")</f>
        <v>9</v>
      </c>
      <c r="H5" s="35">
        <f>COUNTIFS('Functional Requirements'!$B:$B,$B5,'Functional Requirements'!$F:$F,"Must-Have",'Functional Requirements'!$H:$H,"Yes")</f>
        <v>6</v>
      </c>
      <c r="I5" s="38">
        <f t="shared" ref="I5:I14" si="2">IF(G5=0,0,H5/G5)</f>
        <v>0.66666666666666663</v>
      </c>
    </row>
    <row r="6" spans="1:9" ht="19.95" customHeight="1" x14ac:dyDescent="0.3">
      <c r="A6" s="39" t="s">
        <v>793</v>
      </c>
      <c r="B6" s="40" t="s">
        <v>74</v>
      </c>
      <c r="C6" s="35">
        <f>COUNTIF('Functional Requirements'!$B:$B,$B6)</f>
        <v>38</v>
      </c>
      <c r="D6" s="36">
        <f>COUNTIFS('Functional Requirements'!$B:$B,$B6,'Functional Requirements'!$H:$H,"Yes")</f>
        <v>19</v>
      </c>
      <c r="E6" s="37">
        <f t="shared" si="0"/>
        <v>19</v>
      </c>
      <c r="F6" s="38">
        <f t="shared" si="1"/>
        <v>0.5</v>
      </c>
      <c r="G6" s="35">
        <f>COUNTIFS('Functional Requirements'!$B:$B,$B6,'Functional Requirements'!$F:$F,"Must-Have")</f>
        <v>38</v>
      </c>
      <c r="H6" s="35">
        <f>COUNTIFS('Functional Requirements'!$B:$B,$B6,'Functional Requirements'!$F:$F,"Must-Have",'Functional Requirements'!$H:$H,"Yes")</f>
        <v>19</v>
      </c>
      <c r="I6" s="38">
        <f t="shared" si="2"/>
        <v>0.5</v>
      </c>
    </row>
    <row r="7" spans="1:9" ht="19.95" customHeight="1" x14ac:dyDescent="0.3">
      <c r="A7" s="41" t="s">
        <v>794</v>
      </c>
      <c r="B7" s="42" t="s">
        <v>200</v>
      </c>
      <c r="C7" s="35">
        <f>COUNTIF('Functional Requirements'!$B:$B,$B7)</f>
        <v>4</v>
      </c>
      <c r="D7" s="36">
        <f>COUNTIFS('Functional Requirements'!$B:$B,$B7,'Functional Requirements'!$H:$H,"Yes")</f>
        <v>3</v>
      </c>
      <c r="E7" s="37">
        <f t="shared" si="0"/>
        <v>1</v>
      </c>
      <c r="F7" s="38">
        <f t="shared" si="1"/>
        <v>0.75</v>
      </c>
      <c r="G7" s="35">
        <f>COUNTIFS('Functional Requirements'!$B:$B,$B7,'Functional Requirements'!$F:$F,"Must-Have")</f>
        <v>4</v>
      </c>
      <c r="H7" s="35">
        <f>COUNTIFS('Functional Requirements'!$B:$B,$B7,'Functional Requirements'!$F:$F,"Must-Have",'Functional Requirements'!$H:$H,"Yes")</f>
        <v>3</v>
      </c>
      <c r="I7" s="38">
        <f t="shared" si="2"/>
        <v>0.75</v>
      </c>
    </row>
    <row r="8" spans="1:9" ht="19.95" customHeight="1" x14ac:dyDescent="0.3">
      <c r="A8" s="43" t="s">
        <v>795</v>
      </c>
      <c r="B8" s="44" t="s">
        <v>217</v>
      </c>
      <c r="C8" s="35">
        <f>COUNTIF('Functional Requirements'!$B:$B,$B8)</f>
        <v>43</v>
      </c>
      <c r="D8" s="36">
        <f>COUNTIFS('Functional Requirements'!$B:$B,$B8,'Functional Requirements'!$H:$H,"Yes")</f>
        <v>22</v>
      </c>
      <c r="E8" s="37">
        <f t="shared" si="0"/>
        <v>21</v>
      </c>
      <c r="F8" s="38">
        <f t="shared" si="1"/>
        <v>0.51162790697674421</v>
      </c>
      <c r="G8" s="35">
        <f>COUNTIFS('Functional Requirements'!$B:$B,$B8,'Functional Requirements'!$F:$F,"Must-Have")</f>
        <v>39</v>
      </c>
      <c r="H8" s="35">
        <f>COUNTIFS('Functional Requirements'!$B:$B,$B8,'Functional Requirements'!$F:$F,"Must-Have",'Functional Requirements'!$H:$H,"Yes")</f>
        <v>20</v>
      </c>
      <c r="I8" s="38">
        <f t="shared" si="2"/>
        <v>0.51282051282051277</v>
      </c>
    </row>
    <row r="9" spans="1:9" ht="19.95" customHeight="1" x14ac:dyDescent="0.3">
      <c r="A9" s="45" t="s">
        <v>796</v>
      </c>
      <c r="B9" s="46" t="s">
        <v>352</v>
      </c>
      <c r="C9" s="35">
        <f>COUNTIF('Functional Requirements'!$B:$B,$B9)</f>
        <v>8</v>
      </c>
      <c r="D9" s="36">
        <f>COUNTIFS('Functional Requirements'!$B:$B,$B9,'Functional Requirements'!$H:$H,"Yes")</f>
        <v>1</v>
      </c>
      <c r="E9" s="37">
        <f t="shared" si="0"/>
        <v>7</v>
      </c>
      <c r="F9" s="38">
        <f t="shared" si="1"/>
        <v>0.125</v>
      </c>
      <c r="G9" s="35">
        <f>COUNTIFS('Functional Requirements'!$B:$B,$B9,'Functional Requirements'!$F:$F,"Must-Have")</f>
        <v>5</v>
      </c>
      <c r="H9" s="35">
        <f>COUNTIFS('Functional Requirements'!$B:$B,$B9,'Functional Requirements'!$F:$F,"Must-Have",'Functional Requirements'!$H:$H,"Yes")</f>
        <v>1</v>
      </c>
      <c r="I9" s="38">
        <f t="shared" si="2"/>
        <v>0.2</v>
      </c>
    </row>
    <row r="10" spans="1:9" ht="19.95" customHeight="1" x14ac:dyDescent="0.3">
      <c r="A10" s="47" t="s">
        <v>797</v>
      </c>
      <c r="B10" s="48" t="s">
        <v>384</v>
      </c>
      <c r="C10" s="35">
        <f>COUNTIF('Functional Requirements'!$B:$B,$B10)</f>
        <v>51</v>
      </c>
      <c r="D10" s="36">
        <f>COUNTIFS('Functional Requirements'!$B:$B,$B10,'Functional Requirements'!$H:$H,"Yes")</f>
        <v>26</v>
      </c>
      <c r="E10" s="37">
        <f t="shared" si="0"/>
        <v>25</v>
      </c>
      <c r="F10" s="38">
        <f t="shared" si="1"/>
        <v>0.50980392156862742</v>
      </c>
      <c r="G10" s="35">
        <f>COUNTIFS('Functional Requirements'!$B:$B,$B10,'Functional Requirements'!$F:$F,"Must-Have")</f>
        <v>51</v>
      </c>
      <c r="H10" s="35">
        <f>COUNTIFS('Functional Requirements'!$B:$B,$B10,'Functional Requirements'!$F:$F,"Must-Have",'Functional Requirements'!$H:$H,"Yes")</f>
        <v>26</v>
      </c>
      <c r="I10" s="38">
        <f t="shared" si="2"/>
        <v>0.50980392156862742</v>
      </c>
    </row>
    <row r="11" spans="1:9" ht="19.95" customHeight="1" x14ac:dyDescent="0.3">
      <c r="A11" s="49" t="s">
        <v>798</v>
      </c>
      <c r="B11" s="50" t="s">
        <v>550</v>
      </c>
      <c r="C11" s="35">
        <f>COUNTIF('Functional Requirements'!$B:$B,$B11)</f>
        <v>11</v>
      </c>
      <c r="D11" s="36">
        <f>COUNTIFS('Functional Requirements'!$B:$B,$B11,'Functional Requirements'!$H:$H,"Yes")</f>
        <v>2</v>
      </c>
      <c r="E11" s="37">
        <f t="shared" si="0"/>
        <v>9</v>
      </c>
      <c r="F11" s="38">
        <f t="shared" si="1"/>
        <v>0.18181818181818182</v>
      </c>
      <c r="G11" s="35">
        <f>COUNTIFS('Functional Requirements'!$B:$B,$B11,'Functional Requirements'!$F:$F,"Must-Have")</f>
        <v>11</v>
      </c>
      <c r="H11" s="35">
        <f>COUNTIFS('Functional Requirements'!$B:$B,$B11,'Functional Requirements'!$F:$F,"Must-Have",'Functional Requirements'!$H:$H,"Yes")</f>
        <v>2</v>
      </c>
      <c r="I11" s="38">
        <f t="shared" si="2"/>
        <v>0.18181818181818182</v>
      </c>
    </row>
    <row r="12" spans="1:9" ht="19.95" customHeight="1" x14ac:dyDescent="0.3">
      <c r="A12" s="51" t="s">
        <v>799</v>
      </c>
      <c r="B12" s="52" t="s">
        <v>588</v>
      </c>
      <c r="C12" s="35">
        <f>COUNTIF('Functional Requirements'!$B:$B,$B12)</f>
        <v>56</v>
      </c>
      <c r="D12" s="36">
        <f>COUNTIFS('Functional Requirements'!$B:$B,$B12,'Functional Requirements'!$H:$H,"Yes")</f>
        <v>21</v>
      </c>
      <c r="E12" s="37">
        <f t="shared" si="0"/>
        <v>35</v>
      </c>
      <c r="F12" s="38">
        <f t="shared" si="1"/>
        <v>0.375</v>
      </c>
      <c r="G12" s="35">
        <f>COUNTIFS('Functional Requirements'!$B:$B,$B12,'Functional Requirements'!$F:$F,"Must-Have")</f>
        <v>54</v>
      </c>
      <c r="H12" s="35">
        <f>COUNTIFS('Functional Requirements'!$B:$B,$B12,'Functional Requirements'!$F:$F,"Must-Have",'Functional Requirements'!$H:$H,"Yes")</f>
        <v>20</v>
      </c>
      <c r="I12" s="38">
        <f t="shared" si="2"/>
        <v>0.37037037037037035</v>
      </c>
    </row>
    <row r="13" spans="1:9" ht="19.95" customHeight="1" x14ac:dyDescent="0.3">
      <c r="A13" s="53" t="s">
        <v>800</v>
      </c>
      <c r="B13" s="54" t="s">
        <v>770</v>
      </c>
      <c r="C13" s="35">
        <f>COUNTIF('Functional Requirements'!$B:$B,$B13)</f>
        <v>3</v>
      </c>
      <c r="D13" s="36">
        <f>COUNTIFS('Functional Requirements'!$B:$B,$B13,'Functional Requirements'!$H:$H,"Yes")</f>
        <v>2</v>
      </c>
      <c r="E13" s="37">
        <f t="shared" si="0"/>
        <v>1</v>
      </c>
      <c r="F13" s="38">
        <f t="shared" si="1"/>
        <v>0.66666666666666663</v>
      </c>
      <c r="G13" s="35">
        <f>COUNTIFS('Functional Requirements'!$B:$B,$B13,'Functional Requirements'!$F:$F,"Must-Have")</f>
        <v>3</v>
      </c>
      <c r="H13" s="35">
        <f>COUNTIFS('Functional Requirements'!$B:$B,$B13,'Functional Requirements'!$F:$F,"Must-Have",'Functional Requirements'!$H:$H,"Yes")</f>
        <v>2</v>
      </c>
      <c r="I13" s="38">
        <f t="shared" si="2"/>
        <v>0.66666666666666663</v>
      </c>
    </row>
    <row r="14" spans="1:9" ht="24" customHeight="1" x14ac:dyDescent="0.3">
      <c r="A14" s="55"/>
      <c r="B14" s="56" t="s">
        <v>801</v>
      </c>
      <c r="C14" s="55">
        <f>SUM(C5:C13)</f>
        <v>228</v>
      </c>
      <c r="D14" s="55">
        <f>SUM(D5:D13)</f>
        <v>104</v>
      </c>
      <c r="E14" s="55">
        <f>SUM(E5:E13)</f>
        <v>124</v>
      </c>
      <c r="F14" s="57">
        <f t="shared" si="1"/>
        <v>0.45614035087719296</v>
      </c>
      <c r="G14" s="55">
        <f>SUM(G5:G13)</f>
        <v>214</v>
      </c>
      <c r="H14" s="55">
        <f>SUM(H5:H13)</f>
        <v>99</v>
      </c>
      <c r="I14" s="57">
        <f t="shared" si="2"/>
        <v>0.46261682242990654</v>
      </c>
    </row>
    <row r="15" spans="1:9" ht="16.05" customHeight="1" x14ac:dyDescent="0.3">
      <c r="A15" s="61" t="s">
        <v>802</v>
      </c>
      <c r="B15" s="59"/>
      <c r="C15" s="59"/>
      <c r="D15" s="59"/>
      <c r="E15" s="59"/>
      <c r="F15" s="59"/>
      <c r="G15" s="59"/>
      <c r="H15" s="59"/>
      <c r="I15" s="59"/>
    </row>
  </sheetData>
  <mergeCells count="3">
    <mergeCell ref="A1:I1"/>
    <mergeCell ref="A2:I2"/>
    <mergeCell ref="A15:I15"/>
  </mergeCells>
  <conditionalFormatting sqref="F5:F13">
    <cfRule type="dataBar" priority="1">
      <dataBar>
        <cfvo type="num" val="0"/>
        <cfvo type="num" val="1"/>
        <color rgb="FF4A90D9"/>
      </dataBar>
    </cfRule>
  </conditionalFormatting>
  <conditionalFormatting sqref="I5:I13">
    <cfRule type="dataBar" priority="2">
      <dataBar>
        <cfvo type="num" val="0"/>
        <cfvo type="num" val="1"/>
        <color rgb="FF4A90D9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6FB2"/>
    <pageSetUpPr fitToPage="1"/>
  </sheetPr>
  <dimension ref="A1:H23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3" width="30" customWidth="1"/>
    <col min="4" max="4" width="44" customWidth="1"/>
    <col min="5" max="5" width="82" customWidth="1"/>
    <col min="6" max="6" width="14" customWidth="1"/>
    <col min="7" max="7" width="13" customWidth="1"/>
    <col min="8" max="8" width="14" customWidth="1"/>
  </cols>
  <sheetData>
    <row r="1" spans="1:8" ht="30" customHeight="1" x14ac:dyDescent="0.3">
      <c r="A1" s="60" t="s">
        <v>0</v>
      </c>
      <c r="B1" s="59"/>
      <c r="C1" s="59"/>
      <c r="D1" s="59"/>
      <c r="E1" s="59"/>
      <c r="F1" s="59"/>
      <c r="G1" s="59"/>
      <c r="H1" s="59"/>
    </row>
    <row r="2" spans="1:8" ht="18" customHeight="1" x14ac:dyDescent="0.3">
      <c r="A2" s="58" t="s">
        <v>1</v>
      </c>
      <c r="B2" s="59"/>
      <c r="C2" s="59"/>
      <c r="D2" s="59"/>
      <c r="E2" s="59"/>
      <c r="F2" s="59"/>
      <c r="G2" s="59"/>
      <c r="H2" s="59"/>
    </row>
    <row r="4" spans="1:8" ht="34.049999999999997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ht="27.6" x14ac:dyDescent="0.3">
      <c r="A5" s="2" t="s">
        <v>10</v>
      </c>
      <c r="B5" s="3" t="s">
        <v>11</v>
      </c>
      <c r="C5" s="4" t="s">
        <v>12</v>
      </c>
      <c r="D5" s="5" t="s">
        <v>13</v>
      </c>
      <c r="E5" s="6" t="s">
        <v>14</v>
      </c>
      <c r="F5" s="7" t="s">
        <v>15</v>
      </c>
      <c r="G5" s="7" t="s">
        <v>16</v>
      </c>
      <c r="H5" s="8" t="s">
        <v>17</v>
      </c>
    </row>
    <row r="6" spans="1:8" ht="27.6" x14ac:dyDescent="0.3">
      <c r="A6" s="2" t="s">
        <v>18</v>
      </c>
      <c r="B6" s="3" t="s">
        <v>11</v>
      </c>
      <c r="C6" s="4" t="s">
        <v>19</v>
      </c>
      <c r="D6" s="5" t="s">
        <v>20</v>
      </c>
      <c r="E6" s="6" t="s">
        <v>21</v>
      </c>
      <c r="F6" s="7" t="s">
        <v>22</v>
      </c>
      <c r="G6" s="7" t="s">
        <v>16</v>
      </c>
      <c r="H6" s="8" t="s">
        <v>23</v>
      </c>
    </row>
    <row r="7" spans="1:8" ht="27.6" x14ac:dyDescent="0.3">
      <c r="A7" s="2" t="s">
        <v>24</v>
      </c>
      <c r="B7" s="3" t="s">
        <v>11</v>
      </c>
      <c r="C7" s="4" t="s">
        <v>25</v>
      </c>
      <c r="D7" s="5" t="s">
        <v>26</v>
      </c>
      <c r="E7" s="6" t="s">
        <v>27</v>
      </c>
      <c r="F7" s="7" t="s">
        <v>15</v>
      </c>
      <c r="G7" s="7" t="s">
        <v>28</v>
      </c>
      <c r="H7" s="8" t="s">
        <v>17</v>
      </c>
    </row>
    <row r="8" spans="1:8" ht="27.6" x14ac:dyDescent="0.3">
      <c r="A8" s="2" t="s">
        <v>29</v>
      </c>
      <c r="B8" s="3" t="s">
        <v>11</v>
      </c>
      <c r="C8" s="4" t="s">
        <v>30</v>
      </c>
      <c r="D8" s="5" t="s">
        <v>31</v>
      </c>
      <c r="E8" s="6" t="s">
        <v>32</v>
      </c>
      <c r="F8" s="7" t="s">
        <v>15</v>
      </c>
      <c r="G8" s="7" t="s">
        <v>16</v>
      </c>
      <c r="H8" s="8" t="s">
        <v>17</v>
      </c>
    </row>
    <row r="9" spans="1:8" ht="27.6" x14ac:dyDescent="0.3">
      <c r="A9" s="2" t="s">
        <v>33</v>
      </c>
      <c r="B9" s="3" t="s">
        <v>11</v>
      </c>
      <c r="C9" s="4" t="s">
        <v>34</v>
      </c>
      <c r="D9" s="5" t="s">
        <v>35</v>
      </c>
      <c r="E9" s="6" t="s">
        <v>36</v>
      </c>
      <c r="F9" s="7" t="s">
        <v>15</v>
      </c>
      <c r="G9" s="7" t="s">
        <v>28</v>
      </c>
      <c r="H9" s="8" t="s">
        <v>17</v>
      </c>
    </row>
    <row r="10" spans="1:8" ht="27.6" x14ac:dyDescent="0.3">
      <c r="A10" s="2" t="s">
        <v>37</v>
      </c>
      <c r="B10" s="3" t="s">
        <v>11</v>
      </c>
      <c r="C10" s="4" t="s">
        <v>38</v>
      </c>
      <c r="D10" s="5" t="s">
        <v>39</v>
      </c>
      <c r="E10" s="6" t="s">
        <v>40</v>
      </c>
      <c r="F10" s="7" t="s">
        <v>22</v>
      </c>
      <c r="G10" s="7" t="s">
        <v>16</v>
      </c>
      <c r="H10" s="8" t="s">
        <v>23</v>
      </c>
    </row>
    <row r="11" spans="1:8" ht="27.6" x14ac:dyDescent="0.3">
      <c r="A11" s="2" t="s">
        <v>41</v>
      </c>
      <c r="B11" s="3" t="s">
        <v>11</v>
      </c>
      <c r="C11" s="4" t="s">
        <v>42</v>
      </c>
      <c r="D11" s="5" t="s">
        <v>43</v>
      </c>
      <c r="E11" s="6" t="s">
        <v>44</v>
      </c>
      <c r="F11" s="7" t="s">
        <v>15</v>
      </c>
      <c r="G11" s="7" t="s">
        <v>16</v>
      </c>
      <c r="H11" s="8" t="s">
        <v>23</v>
      </c>
    </row>
    <row r="12" spans="1:8" ht="27.6" x14ac:dyDescent="0.3">
      <c r="A12" s="2" t="s">
        <v>45</v>
      </c>
      <c r="B12" s="3" t="s">
        <v>11</v>
      </c>
      <c r="C12" s="4" t="s">
        <v>46</v>
      </c>
      <c r="D12" s="5" t="s">
        <v>47</v>
      </c>
      <c r="E12" s="6" t="s">
        <v>48</v>
      </c>
      <c r="F12" s="7" t="s">
        <v>15</v>
      </c>
      <c r="G12" s="7" t="s">
        <v>16</v>
      </c>
      <c r="H12" s="8" t="s">
        <v>17</v>
      </c>
    </row>
    <row r="13" spans="1:8" ht="27.6" x14ac:dyDescent="0.3">
      <c r="A13" s="2" t="s">
        <v>49</v>
      </c>
      <c r="B13" s="3" t="s">
        <v>11</v>
      </c>
      <c r="C13" s="4" t="s">
        <v>50</v>
      </c>
      <c r="D13" s="5" t="s">
        <v>51</v>
      </c>
      <c r="E13" s="6" t="s">
        <v>52</v>
      </c>
      <c r="F13" s="7" t="s">
        <v>22</v>
      </c>
      <c r="G13" s="7" t="s">
        <v>16</v>
      </c>
      <c r="H13" s="8" t="s">
        <v>23</v>
      </c>
    </row>
    <row r="14" spans="1:8" ht="27.6" x14ac:dyDescent="0.3">
      <c r="A14" s="2" t="s">
        <v>53</v>
      </c>
      <c r="B14" s="3" t="s">
        <v>11</v>
      </c>
      <c r="C14" s="4" t="s">
        <v>54</v>
      </c>
      <c r="D14" s="5" t="s">
        <v>55</v>
      </c>
      <c r="E14" s="6" t="s">
        <v>56</v>
      </c>
      <c r="F14" s="7" t="s">
        <v>15</v>
      </c>
      <c r="G14" s="7" t="s">
        <v>28</v>
      </c>
      <c r="H14" s="8" t="s">
        <v>17</v>
      </c>
    </row>
    <row r="15" spans="1:8" ht="27.6" x14ac:dyDescent="0.3">
      <c r="A15" s="2" t="s">
        <v>57</v>
      </c>
      <c r="B15" s="3" t="s">
        <v>11</v>
      </c>
      <c r="C15" s="4" t="s">
        <v>58</v>
      </c>
      <c r="D15" s="5" t="s">
        <v>59</v>
      </c>
      <c r="E15" s="6" t="s">
        <v>60</v>
      </c>
      <c r="F15" s="7" t="s">
        <v>22</v>
      </c>
      <c r="G15" s="7" t="s">
        <v>16</v>
      </c>
      <c r="H15" s="8" t="s">
        <v>17</v>
      </c>
    </row>
    <row r="16" spans="1:8" ht="27.6" x14ac:dyDescent="0.3">
      <c r="A16" s="2" t="s">
        <v>61</v>
      </c>
      <c r="B16" s="3" t="s">
        <v>11</v>
      </c>
      <c r="C16" s="4" t="s">
        <v>62</v>
      </c>
      <c r="D16" s="5" t="s">
        <v>63</v>
      </c>
      <c r="E16" s="6" t="s">
        <v>64</v>
      </c>
      <c r="F16" s="7" t="s">
        <v>22</v>
      </c>
      <c r="G16" s="7" t="s">
        <v>28</v>
      </c>
      <c r="H16" s="8" t="s">
        <v>17</v>
      </c>
    </row>
    <row r="17" spans="1:8" ht="27.6" x14ac:dyDescent="0.3">
      <c r="A17" s="2" t="s">
        <v>65</v>
      </c>
      <c r="B17" s="3" t="s">
        <v>11</v>
      </c>
      <c r="C17" s="4" t="s">
        <v>66</v>
      </c>
      <c r="D17" s="5" t="s">
        <v>67</v>
      </c>
      <c r="E17" s="6" t="s">
        <v>68</v>
      </c>
      <c r="F17" s="7" t="s">
        <v>15</v>
      </c>
      <c r="G17" s="7" t="s">
        <v>28</v>
      </c>
      <c r="H17" s="8" t="s">
        <v>23</v>
      </c>
    </row>
    <row r="18" spans="1:8" ht="27.6" x14ac:dyDescent="0.3">
      <c r="A18" s="2" t="s">
        <v>69</v>
      </c>
      <c r="B18" s="3" t="s">
        <v>11</v>
      </c>
      <c r="C18" s="4" t="s">
        <v>70</v>
      </c>
      <c r="D18" s="5" t="s">
        <v>71</v>
      </c>
      <c r="E18" s="6" t="s">
        <v>72</v>
      </c>
      <c r="F18" s="7" t="s">
        <v>15</v>
      </c>
      <c r="G18" s="7" t="s">
        <v>28</v>
      </c>
      <c r="H18" s="8" t="s">
        <v>23</v>
      </c>
    </row>
    <row r="19" spans="1:8" ht="27.6" x14ac:dyDescent="0.3">
      <c r="A19" s="9" t="s">
        <v>73</v>
      </c>
      <c r="B19" s="10" t="s">
        <v>74</v>
      </c>
      <c r="C19" s="11" t="s">
        <v>75</v>
      </c>
      <c r="D19" s="5" t="s">
        <v>76</v>
      </c>
      <c r="E19" s="6" t="s">
        <v>77</v>
      </c>
      <c r="F19" s="7" t="s">
        <v>15</v>
      </c>
      <c r="G19" s="7" t="s">
        <v>16</v>
      </c>
      <c r="H19" s="8" t="s">
        <v>23</v>
      </c>
    </row>
    <row r="20" spans="1:8" x14ac:dyDescent="0.3">
      <c r="A20" s="9" t="s">
        <v>78</v>
      </c>
      <c r="B20" s="10" t="s">
        <v>74</v>
      </c>
      <c r="C20" s="11" t="s">
        <v>75</v>
      </c>
      <c r="D20" s="5" t="s">
        <v>79</v>
      </c>
      <c r="E20" s="6" t="s">
        <v>80</v>
      </c>
      <c r="F20" s="7" t="s">
        <v>15</v>
      </c>
      <c r="G20" s="7" t="s">
        <v>28</v>
      </c>
      <c r="H20" s="8" t="s">
        <v>23</v>
      </c>
    </row>
    <row r="21" spans="1:8" ht="27.6" x14ac:dyDescent="0.3">
      <c r="A21" s="9" t="s">
        <v>81</v>
      </c>
      <c r="B21" s="10" t="s">
        <v>74</v>
      </c>
      <c r="C21" s="11" t="s">
        <v>75</v>
      </c>
      <c r="D21" s="5" t="s">
        <v>82</v>
      </c>
      <c r="E21" s="6" t="s">
        <v>83</v>
      </c>
      <c r="F21" s="7" t="s">
        <v>15</v>
      </c>
      <c r="G21" s="7" t="s">
        <v>28</v>
      </c>
      <c r="H21" s="8" t="s">
        <v>23</v>
      </c>
    </row>
    <row r="22" spans="1:8" ht="27.6" x14ac:dyDescent="0.3">
      <c r="A22" s="9" t="s">
        <v>84</v>
      </c>
      <c r="B22" s="10" t="s">
        <v>74</v>
      </c>
      <c r="C22" s="11" t="s">
        <v>75</v>
      </c>
      <c r="D22" s="5" t="s">
        <v>85</v>
      </c>
      <c r="E22" s="6" t="s">
        <v>86</v>
      </c>
      <c r="F22" s="7" t="s">
        <v>15</v>
      </c>
      <c r="G22" s="7" t="s">
        <v>28</v>
      </c>
      <c r="H22" s="8" t="s">
        <v>17</v>
      </c>
    </row>
    <row r="23" spans="1:8" ht="27.6" x14ac:dyDescent="0.3">
      <c r="A23" s="9" t="s">
        <v>87</v>
      </c>
      <c r="B23" s="10" t="s">
        <v>74</v>
      </c>
      <c r="C23" s="11" t="s">
        <v>88</v>
      </c>
      <c r="D23" s="5" t="s">
        <v>89</v>
      </c>
      <c r="E23" s="6" t="s">
        <v>90</v>
      </c>
      <c r="F23" s="7" t="s">
        <v>15</v>
      </c>
      <c r="G23" s="7" t="s">
        <v>16</v>
      </c>
      <c r="H23" s="8" t="s">
        <v>17</v>
      </c>
    </row>
    <row r="24" spans="1:8" ht="27.6" x14ac:dyDescent="0.3">
      <c r="A24" s="9" t="s">
        <v>91</v>
      </c>
      <c r="B24" s="10" t="s">
        <v>74</v>
      </c>
      <c r="C24" s="11" t="s">
        <v>88</v>
      </c>
      <c r="D24" s="5" t="s">
        <v>92</v>
      </c>
      <c r="E24" s="6" t="s">
        <v>93</v>
      </c>
      <c r="F24" s="7" t="s">
        <v>15</v>
      </c>
      <c r="G24" s="7" t="s">
        <v>16</v>
      </c>
      <c r="H24" s="8" t="s">
        <v>17</v>
      </c>
    </row>
    <row r="25" spans="1:8" ht="27.6" x14ac:dyDescent="0.3">
      <c r="A25" s="9" t="s">
        <v>94</v>
      </c>
      <c r="B25" s="10" t="s">
        <v>74</v>
      </c>
      <c r="C25" s="11" t="s">
        <v>88</v>
      </c>
      <c r="D25" s="5" t="s">
        <v>95</v>
      </c>
      <c r="E25" s="6" t="s">
        <v>96</v>
      </c>
      <c r="F25" s="7" t="s">
        <v>15</v>
      </c>
      <c r="G25" s="7" t="s">
        <v>16</v>
      </c>
      <c r="H25" s="8" t="s">
        <v>17</v>
      </c>
    </row>
    <row r="26" spans="1:8" x14ac:dyDescent="0.3">
      <c r="A26" s="9" t="s">
        <v>97</v>
      </c>
      <c r="B26" s="10" t="s">
        <v>74</v>
      </c>
      <c r="C26" s="11" t="s">
        <v>88</v>
      </c>
      <c r="D26" s="5" t="s">
        <v>98</v>
      </c>
      <c r="E26" s="6" t="s">
        <v>99</v>
      </c>
      <c r="F26" s="7" t="s">
        <v>15</v>
      </c>
      <c r="G26" s="7" t="s">
        <v>28</v>
      </c>
      <c r="H26" s="8" t="s">
        <v>17</v>
      </c>
    </row>
    <row r="27" spans="1:8" ht="27.6" x14ac:dyDescent="0.3">
      <c r="A27" s="9" t="s">
        <v>100</v>
      </c>
      <c r="B27" s="10" t="s">
        <v>74</v>
      </c>
      <c r="C27" s="11" t="s">
        <v>101</v>
      </c>
      <c r="D27" s="5" t="s">
        <v>102</v>
      </c>
      <c r="E27" s="6" t="s">
        <v>103</v>
      </c>
      <c r="F27" s="7" t="s">
        <v>15</v>
      </c>
      <c r="G27" s="7" t="s">
        <v>28</v>
      </c>
      <c r="H27" s="8" t="s">
        <v>23</v>
      </c>
    </row>
    <row r="28" spans="1:8" x14ac:dyDescent="0.3">
      <c r="A28" s="9" t="s">
        <v>104</v>
      </c>
      <c r="B28" s="10" t="s">
        <v>74</v>
      </c>
      <c r="C28" s="11" t="s">
        <v>101</v>
      </c>
      <c r="D28" s="5" t="s">
        <v>105</v>
      </c>
      <c r="E28" s="6" t="s">
        <v>106</v>
      </c>
      <c r="F28" s="7" t="s">
        <v>15</v>
      </c>
      <c r="G28" s="7" t="s">
        <v>107</v>
      </c>
      <c r="H28" s="8" t="s">
        <v>23</v>
      </c>
    </row>
    <row r="29" spans="1:8" x14ac:dyDescent="0.3">
      <c r="A29" s="9" t="s">
        <v>108</v>
      </c>
      <c r="B29" s="10" t="s">
        <v>74</v>
      </c>
      <c r="C29" s="11" t="s">
        <v>101</v>
      </c>
      <c r="D29" s="5" t="s">
        <v>109</v>
      </c>
      <c r="E29" s="6" t="s">
        <v>110</v>
      </c>
      <c r="F29" s="7" t="s">
        <v>15</v>
      </c>
      <c r="G29" s="7" t="s">
        <v>107</v>
      </c>
      <c r="H29" s="8" t="s">
        <v>17</v>
      </c>
    </row>
    <row r="30" spans="1:8" x14ac:dyDescent="0.3">
      <c r="A30" s="9" t="s">
        <v>111</v>
      </c>
      <c r="B30" s="10" t="s">
        <v>74</v>
      </c>
      <c r="C30" s="11" t="s">
        <v>101</v>
      </c>
      <c r="D30" s="5" t="s">
        <v>112</v>
      </c>
      <c r="E30" s="6" t="s">
        <v>113</v>
      </c>
      <c r="F30" s="7" t="s">
        <v>15</v>
      </c>
      <c r="G30" s="7" t="s">
        <v>107</v>
      </c>
      <c r="H30" s="8" t="s">
        <v>17</v>
      </c>
    </row>
    <row r="31" spans="1:8" ht="27.6" x14ac:dyDescent="0.3">
      <c r="A31" s="9" t="s">
        <v>114</v>
      </c>
      <c r="B31" s="10" t="s">
        <v>74</v>
      </c>
      <c r="C31" s="11" t="s">
        <v>115</v>
      </c>
      <c r="D31" s="5" t="s">
        <v>116</v>
      </c>
      <c r="E31" s="6" t="s">
        <v>117</v>
      </c>
      <c r="F31" s="7" t="s">
        <v>15</v>
      </c>
      <c r="G31" s="7" t="s">
        <v>16</v>
      </c>
      <c r="H31" s="8" t="s">
        <v>23</v>
      </c>
    </row>
    <row r="32" spans="1:8" x14ac:dyDescent="0.3">
      <c r="A32" s="9" t="s">
        <v>118</v>
      </c>
      <c r="B32" s="10" t="s">
        <v>74</v>
      </c>
      <c r="C32" s="11" t="s">
        <v>115</v>
      </c>
      <c r="D32" s="5" t="s">
        <v>119</v>
      </c>
      <c r="E32" s="6" t="s">
        <v>120</v>
      </c>
      <c r="F32" s="7" t="s">
        <v>15</v>
      </c>
      <c r="G32" s="7" t="s">
        <v>28</v>
      </c>
      <c r="H32" s="8" t="s">
        <v>23</v>
      </c>
    </row>
    <row r="33" spans="1:8" x14ac:dyDescent="0.3">
      <c r="A33" s="9" t="s">
        <v>121</v>
      </c>
      <c r="B33" s="10" t="s">
        <v>74</v>
      </c>
      <c r="C33" s="11" t="s">
        <v>115</v>
      </c>
      <c r="D33" s="5" t="s">
        <v>122</v>
      </c>
      <c r="E33" s="6" t="s">
        <v>123</v>
      </c>
      <c r="F33" s="7" t="s">
        <v>15</v>
      </c>
      <c r="G33" s="7" t="s">
        <v>107</v>
      </c>
      <c r="H33" s="8" t="s">
        <v>17</v>
      </c>
    </row>
    <row r="34" spans="1:8" x14ac:dyDescent="0.3">
      <c r="A34" s="9" t="s">
        <v>124</v>
      </c>
      <c r="B34" s="10" t="s">
        <v>74</v>
      </c>
      <c r="C34" s="11" t="s">
        <v>115</v>
      </c>
      <c r="D34" s="5" t="s">
        <v>125</v>
      </c>
      <c r="E34" s="6" t="s">
        <v>126</v>
      </c>
      <c r="F34" s="7" t="s">
        <v>15</v>
      </c>
      <c r="G34" s="7" t="s">
        <v>28</v>
      </c>
      <c r="H34" s="8" t="s">
        <v>23</v>
      </c>
    </row>
    <row r="35" spans="1:8" ht="27.6" x14ac:dyDescent="0.3">
      <c r="A35" s="9" t="s">
        <v>127</v>
      </c>
      <c r="B35" s="10" t="s">
        <v>74</v>
      </c>
      <c r="C35" s="11" t="s">
        <v>128</v>
      </c>
      <c r="D35" s="5" t="s">
        <v>129</v>
      </c>
      <c r="E35" s="6" t="s">
        <v>130</v>
      </c>
      <c r="F35" s="7" t="s">
        <v>15</v>
      </c>
      <c r="G35" s="7" t="s">
        <v>28</v>
      </c>
      <c r="H35" s="8" t="s">
        <v>17</v>
      </c>
    </row>
    <row r="36" spans="1:8" x14ac:dyDescent="0.3">
      <c r="A36" s="9" t="s">
        <v>131</v>
      </c>
      <c r="B36" s="10" t="s">
        <v>74</v>
      </c>
      <c r="C36" s="11" t="s">
        <v>128</v>
      </c>
      <c r="D36" s="5" t="s">
        <v>132</v>
      </c>
      <c r="E36" s="6" t="s">
        <v>133</v>
      </c>
      <c r="F36" s="7" t="s">
        <v>15</v>
      </c>
      <c r="G36" s="7" t="s">
        <v>28</v>
      </c>
      <c r="H36" s="8" t="s">
        <v>17</v>
      </c>
    </row>
    <row r="37" spans="1:8" x14ac:dyDescent="0.3">
      <c r="A37" s="9" t="s">
        <v>134</v>
      </c>
      <c r="B37" s="10" t="s">
        <v>74</v>
      </c>
      <c r="C37" s="11" t="s">
        <v>128</v>
      </c>
      <c r="D37" s="5" t="s">
        <v>135</v>
      </c>
      <c r="E37" s="6" t="s">
        <v>136</v>
      </c>
      <c r="F37" s="7" t="s">
        <v>15</v>
      </c>
      <c r="G37" s="7" t="s">
        <v>28</v>
      </c>
      <c r="H37" s="8" t="s">
        <v>17</v>
      </c>
    </row>
    <row r="38" spans="1:8" x14ac:dyDescent="0.3">
      <c r="A38" s="9" t="s">
        <v>137</v>
      </c>
      <c r="B38" s="10" t="s">
        <v>74</v>
      </c>
      <c r="C38" s="11" t="s">
        <v>128</v>
      </c>
      <c r="D38" s="5" t="s">
        <v>138</v>
      </c>
      <c r="E38" s="6" t="s">
        <v>139</v>
      </c>
      <c r="F38" s="7" t="s">
        <v>15</v>
      </c>
      <c r="G38" s="7" t="s">
        <v>107</v>
      </c>
      <c r="H38" s="8" t="s">
        <v>17</v>
      </c>
    </row>
    <row r="39" spans="1:8" ht="27.6" x14ac:dyDescent="0.3">
      <c r="A39" s="9" t="s">
        <v>140</v>
      </c>
      <c r="B39" s="10" t="s">
        <v>74</v>
      </c>
      <c r="C39" s="11" t="s">
        <v>141</v>
      </c>
      <c r="D39" s="5" t="s">
        <v>142</v>
      </c>
      <c r="E39" s="6" t="s">
        <v>143</v>
      </c>
      <c r="F39" s="7" t="s">
        <v>15</v>
      </c>
      <c r="G39" s="7" t="s">
        <v>16</v>
      </c>
      <c r="H39" s="8" t="s">
        <v>23</v>
      </c>
    </row>
    <row r="40" spans="1:8" x14ac:dyDescent="0.3">
      <c r="A40" s="9" t="s">
        <v>144</v>
      </c>
      <c r="B40" s="10" t="s">
        <v>74</v>
      </c>
      <c r="C40" s="11" t="s">
        <v>141</v>
      </c>
      <c r="D40" s="5" t="s">
        <v>145</v>
      </c>
      <c r="E40" s="6" t="s">
        <v>146</v>
      </c>
      <c r="F40" s="7" t="s">
        <v>15</v>
      </c>
      <c r="G40" s="7" t="s">
        <v>28</v>
      </c>
      <c r="H40" s="8" t="s">
        <v>17</v>
      </c>
    </row>
    <row r="41" spans="1:8" x14ac:dyDescent="0.3">
      <c r="A41" s="9" t="s">
        <v>147</v>
      </c>
      <c r="B41" s="10" t="s">
        <v>74</v>
      </c>
      <c r="C41" s="11" t="s">
        <v>141</v>
      </c>
      <c r="D41" s="5" t="s">
        <v>148</v>
      </c>
      <c r="E41" s="6" t="s">
        <v>149</v>
      </c>
      <c r="F41" s="7" t="s">
        <v>15</v>
      </c>
      <c r="G41" s="7" t="s">
        <v>28</v>
      </c>
      <c r="H41" s="8" t="s">
        <v>23</v>
      </c>
    </row>
    <row r="42" spans="1:8" x14ac:dyDescent="0.3">
      <c r="A42" s="9" t="s">
        <v>150</v>
      </c>
      <c r="B42" s="10" t="s">
        <v>74</v>
      </c>
      <c r="C42" s="11" t="s">
        <v>141</v>
      </c>
      <c r="D42" s="5" t="s">
        <v>151</v>
      </c>
      <c r="E42" s="6" t="s">
        <v>152</v>
      </c>
      <c r="F42" s="7" t="s">
        <v>15</v>
      </c>
      <c r="G42" s="7" t="s">
        <v>107</v>
      </c>
      <c r="H42" s="8" t="s">
        <v>17</v>
      </c>
    </row>
    <row r="43" spans="1:8" ht="27.6" x14ac:dyDescent="0.3">
      <c r="A43" s="9" t="s">
        <v>153</v>
      </c>
      <c r="B43" s="10" t="s">
        <v>74</v>
      </c>
      <c r="C43" s="11" t="s">
        <v>154</v>
      </c>
      <c r="D43" s="5" t="s">
        <v>155</v>
      </c>
      <c r="E43" s="6" t="s">
        <v>156</v>
      </c>
      <c r="F43" s="7" t="s">
        <v>15</v>
      </c>
      <c r="G43" s="7" t="s">
        <v>28</v>
      </c>
      <c r="H43" s="8" t="s">
        <v>23</v>
      </c>
    </row>
    <row r="44" spans="1:8" x14ac:dyDescent="0.3">
      <c r="A44" s="9" t="s">
        <v>157</v>
      </c>
      <c r="B44" s="10" t="s">
        <v>74</v>
      </c>
      <c r="C44" s="11" t="s">
        <v>154</v>
      </c>
      <c r="D44" s="5" t="s">
        <v>158</v>
      </c>
      <c r="E44" s="6" t="s">
        <v>159</v>
      </c>
      <c r="F44" s="7" t="s">
        <v>15</v>
      </c>
      <c r="G44" s="7" t="s">
        <v>28</v>
      </c>
      <c r="H44" s="8" t="s">
        <v>17</v>
      </c>
    </row>
    <row r="45" spans="1:8" x14ac:dyDescent="0.3">
      <c r="A45" s="9" t="s">
        <v>160</v>
      </c>
      <c r="B45" s="10" t="s">
        <v>74</v>
      </c>
      <c r="C45" s="11" t="s">
        <v>154</v>
      </c>
      <c r="D45" s="5" t="s">
        <v>161</v>
      </c>
      <c r="E45" s="6" t="s">
        <v>162</v>
      </c>
      <c r="F45" s="7" t="s">
        <v>15</v>
      </c>
      <c r="G45" s="7" t="s">
        <v>107</v>
      </c>
      <c r="H45" s="8" t="s">
        <v>17</v>
      </c>
    </row>
    <row r="46" spans="1:8" x14ac:dyDescent="0.3">
      <c r="A46" s="9" t="s">
        <v>163</v>
      </c>
      <c r="B46" s="10" t="s">
        <v>74</v>
      </c>
      <c r="C46" s="11" t="s">
        <v>154</v>
      </c>
      <c r="D46" s="5" t="s">
        <v>164</v>
      </c>
      <c r="E46" s="6" t="s">
        <v>165</v>
      </c>
      <c r="F46" s="7" t="s">
        <v>15</v>
      </c>
      <c r="G46" s="7" t="s">
        <v>16</v>
      </c>
      <c r="H46" s="8" t="s">
        <v>17</v>
      </c>
    </row>
    <row r="47" spans="1:8" x14ac:dyDescent="0.3">
      <c r="A47" s="9" t="s">
        <v>166</v>
      </c>
      <c r="B47" s="10" t="s">
        <v>74</v>
      </c>
      <c r="C47" s="11" t="s">
        <v>167</v>
      </c>
      <c r="D47" s="5" t="s">
        <v>168</v>
      </c>
      <c r="E47" s="6" t="s">
        <v>169</v>
      </c>
      <c r="F47" s="7" t="s">
        <v>15</v>
      </c>
      <c r="G47" s="7" t="s">
        <v>16</v>
      </c>
      <c r="H47" s="8" t="s">
        <v>23</v>
      </c>
    </row>
    <row r="48" spans="1:8" x14ac:dyDescent="0.3">
      <c r="A48" s="9" t="s">
        <v>170</v>
      </c>
      <c r="B48" s="10" t="s">
        <v>74</v>
      </c>
      <c r="C48" s="11" t="s">
        <v>167</v>
      </c>
      <c r="D48" s="5" t="s">
        <v>171</v>
      </c>
      <c r="E48" s="6" t="s">
        <v>172</v>
      </c>
      <c r="F48" s="7" t="s">
        <v>15</v>
      </c>
      <c r="G48" s="7" t="s">
        <v>16</v>
      </c>
      <c r="H48" s="8" t="s">
        <v>17</v>
      </c>
    </row>
    <row r="49" spans="1:8" x14ac:dyDescent="0.3">
      <c r="A49" s="9" t="s">
        <v>173</v>
      </c>
      <c r="B49" s="10" t="s">
        <v>74</v>
      </c>
      <c r="C49" s="11" t="s">
        <v>167</v>
      </c>
      <c r="D49" s="5" t="s">
        <v>174</v>
      </c>
      <c r="E49" s="6" t="s">
        <v>175</v>
      </c>
      <c r="F49" s="7" t="s">
        <v>15</v>
      </c>
      <c r="G49" s="7" t="s">
        <v>16</v>
      </c>
      <c r="H49" s="8" t="s">
        <v>17</v>
      </c>
    </row>
    <row r="50" spans="1:8" x14ac:dyDescent="0.3">
      <c r="A50" s="9" t="s">
        <v>176</v>
      </c>
      <c r="B50" s="10" t="s">
        <v>74</v>
      </c>
      <c r="C50" s="11" t="s">
        <v>167</v>
      </c>
      <c r="D50" s="5" t="s">
        <v>177</v>
      </c>
      <c r="E50" s="6" t="s">
        <v>178</v>
      </c>
      <c r="F50" s="7" t="s">
        <v>15</v>
      </c>
      <c r="G50" s="7" t="s">
        <v>107</v>
      </c>
      <c r="H50" s="8" t="s">
        <v>23</v>
      </c>
    </row>
    <row r="51" spans="1:8" x14ac:dyDescent="0.3">
      <c r="A51" s="9" t="s">
        <v>179</v>
      </c>
      <c r="B51" s="10" t="s">
        <v>74</v>
      </c>
      <c r="C51" s="11" t="s">
        <v>180</v>
      </c>
      <c r="D51" s="5" t="s">
        <v>181</v>
      </c>
      <c r="E51" s="6" t="s">
        <v>182</v>
      </c>
      <c r="F51" s="7" t="s">
        <v>15</v>
      </c>
      <c r="G51" s="7" t="s">
        <v>28</v>
      </c>
      <c r="H51" s="8" t="s">
        <v>23</v>
      </c>
    </row>
    <row r="52" spans="1:8" x14ac:dyDescent="0.3">
      <c r="A52" s="9" t="s">
        <v>183</v>
      </c>
      <c r="B52" s="10" t="s">
        <v>74</v>
      </c>
      <c r="C52" s="11" t="s">
        <v>180</v>
      </c>
      <c r="D52" s="5" t="s">
        <v>184</v>
      </c>
      <c r="E52" s="6" t="s">
        <v>185</v>
      </c>
      <c r="F52" s="7" t="s">
        <v>15</v>
      </c>
      <c r="G52" s="7" t="s">
        <v>28</v>
      </c>
      <c r="H52" s="8" t="s">
        <v>23</v>
      </c>
    </row>
    <row r="53" spans="1:8" x14ac:dyDescent="0.3">
      <c r="A53" s="9" t="s">
        <v>186</v>
      </c>
      <c r="B53" s="10" t="s">
        <v>74</v>
      </c>
      <c r="C53" s="11" t="s">
        <v>180</v>
      </c>
      <c r="D53" s="5" t="s">
        <v>187</v>
      </c>
      <c r="E53" s="6" t="s">
        <v>188</v>
      </c>
      <c r="F53" s="7" t="s">
        <v>15</v>
      </c>
      <c r="G53" s="7" t="s">
        <v>28</v>
      </c>
      <c r="H53" s="8" t="s">
        <v>23</v>
      </c>
    </row>
    <row r="54" spans="1:8" ht="27.6" x14ac:dyDescent="0.3">
      <c r="A54" s="9" t="s">
        <v>189</v>
      </c>
      <c r="B54" s="10" t="s">
        <v>74</v>
      </c>
      <c r="C54" s="11" t="s">
        <v>190</v>
      </c>
      <c r="D54" s="5" t="s">
        <v>191</v>
      </c>
      <c r="E54" s="6" t="s">
        <v>192</v>
      </c>
      <c r="F54" s="7" t="s">
        <v>15</v>
      </c>
      <c r="G54" s="7" t="s">
        <v>28</v>
      </c>
      <c r="H54" s="8" t="s">
        <v>23</v>
      </c>
    </row>
    <row r="55" spans="1:8" x14ac:dyDescent="0.3">
      <c r="A55" s="9" t="s">
        <v>193</v>
      </c>
      <c r="B55" s="10" t="s">
        <v>74</v>
      </c>
      <c r="C55" s="11" t="s">
        <v>190</v>
      </c>
      <c r="D55" s="5" t="s">
        <v>194</v>
      </c>
      <c r="E55" s="6" t="s">
        <v>195</v>
      </c>
      <c r="F55" s="7" t="s">
        <v>15</v>
      </c>
      <c r="G55" s="7" t="s">
        <v>16</v>
      </c>
      <c r="H55" s="8" t="s">
        <v>23</v>
      </c>
    </row>
    <row r="56" spans="1:8" x14ac:dyDescent="0.3">
      <c r="A56" s="9" t="s">
        <v>196</v>
      </c>
      <c r="B56" s="10" t="s">
        <v>74</v>
      </c>
      <c r="C56" s="11" t="s">
        <v>190</v>
      </c>
      <c r="D56" s="5" t="s">
        <v>197</v>
      </c>
      <c r="E56" s="6" t="s">
        <v>198</v>
      </c>
      <c r="F56" s="7" t="s">
        <v>15</v>
      </c>
      <c r="G56" s="7" t="s">
        <v>107</v>
      </c>
      <c r="H56" s="8" t="s">
        <v>23</v>
      </c>
    </row>
    <row r="57" spans="1:8" x14ac:dyDescent="0.3">
      <c r="A57" s="12" t="s">
        <v>199</v>
      </c>
      <c r="B57" s="13" t="s">
        <v>200</v>
      </c>
      <c r="C57" s="14" t="s">
        <v>201</v>
      </c>
      <c r="D57" s="5" t="s">
        <v>202</v>
      </c>
      <c r="E57" s="6" t="s">
        <v>203</v>
      </c>
      <c r="F57" s="7" t="s">
        <v>15</v>
      </c>
      <c r="G57" s="7" t="s">
        <v>16</v>
      </c>
      <c r="H57" s="8" t="s">
        <v>17</v>
      </c>
    </row>
    <row r="58" spans="1:8" x14ac:dyDescent="0.3">
      <c r="A58" s="12" t="s">
        <v>204</v>
      </c>
      <c r="B58" s="13" t="s">
        <v>200</v>
      </c>
      <c r="C58" s="14" t="s">
        <v>205</v>
      </c>
      <c r="D58" s="5" t="s">
        <v>206</v>
      </c>
      <c r="E58" s="6" t="s">
        <v>207</v>
      </c>
      <c r="F58" s="7" t="s">
        <v>15</v>
      </c>
      <c r="G58" s="7" t="s">
        <v>16</v>
      </c>
      <c r="H58" s="8" t="s">
        <v>23</v>
      </c>
    </row>
    <row r="59" spans="1:8" x14ac:dyDescent="0.3">
      <c r="A59" s="12" t="s">
        <v>208</v>
      </c>
      <c r="B59" s="13" t="s">
        <v>200</v>
      </c>
      <c r="C59" s="14" t="s">
        <v>209</v>
      </c>
      <c r="D59" s="5" t="s">
        <v>210</v>
      </c>
      <c r="E59" s="6" t="s">
        <v>211</v>
      </c>
      <c r="F59" s="7" t="s">
        <v>15</v>
      </c>
      <c r="G59" s="7" t="s">
        <v>28</v>
      </c>
      <c r="H59" s="8" t="s">
        <v>17</v>
      </c>
    </row>
    <row r="60" spans="1:8" x14ac:dyDescent="0.3">
      <c r="A60" s="12" t="s">
        <v>212</v>
      </c>
      <c r="B60" s="13" t="s">
        <v>200</v>
      </c>
      <c r="C60" s="14" t="s">
        <v>213</v>
      </c>
      <c r="D60" s="5" t="s">
        <v>214</v>
      </c>
      <c r="E60" s="6" t="s">
        <v>215</v>
      </c>
      <c r="F60" s="7" t="s">
        <v>15</v>
      </c>
      <c r="G60" s="7" t="s">
        <v>28</v>
      </c>
      <c r="H60" s="8" t="s">
        <v>17</v>
      </c>
    </row>
    <row r="61" spans="1:8" x14ac:dyDescent="0.3">
      <c r="A61" s="15" t="s">
        <v>216</v>
      </c>
      <c r="B61" s="16" t="s">
        <v>217</v>
      </c>
      <c r="C61" s="17" t="s">
        <v>218</v>
      </c>
      <c r="D61" s="5" t="s">
        <v>219</v>
      </c>
      <c r="E61" s="6" t="s">
        <v>220</v>
      </c>
      <c r="F61" s="7" t="s">
        <v>15</v>
      </c>
      <c r="G61" s="7" t="s">
        <v>16</v>
      </c>
      <c r="H61" s="8" t="s">
        <v>17</v>
      </c>
    </row>
    <row r="62" spans="1:8" x14ac:dyDescent="0.3">
      <c r="A62" s="15" t="s">
        <v>221</v>
      </c>
      <c r="B62" s="16" t="s">
        <v>217</v>
      </c>
      <c r="C62" s="17" t="s">
        <v>218</v>
      </c>
      <c r="D62" s="5" t="s">
        <v>222</v>
      </c>
      <c r="E62" s="6" t="s">
        <v>223</v>
      </c>
      <c r="F62" s="7" t="s">
        <v>15</v>
      </c>
      <c r="G62" s="7" t="s">
        <v>28</v>
      </c>
      <c r="H62" s="8" t="s">
        <v>17</v>
      </c>
    </row>
    <row r="63" spans="1:8" ht="27.6" x14ac:dyDescent="0.3">
      <c r="A63" s="15" t="s">
        <v>224</v>
      </c>
      <c r="B63" s="16" t="s">
        <v>217</v>
      </c>
      <c r="C63" s="17" t="s">
        <v>218</v>
      </c>
      <c r="D63" s="5" t="s">
        <v>225</v>
      </c>
      <c r="E63" s="6" t="s">
        <v>226</v>
      </c>
      <c r="F63" s="7" t="s">
        <v>15</v>
      </c>
      <c r="G63" s="7" t="s">
        <v>28</v>
      </c>
      <c r="H63" s="8" t="s">
        <v>17</v>
      </c>
    </row>
    <row r="64" spans="1:8" x14ac:dyDescent="0.3">
      <c r="A64" s="15" t="s">
        <v>227</v>
      </c>
      <c r="B64" s="16" t="s">
        <v>217</v>
      </c>
      <c r="C64" s="17" t="s">
        <v>218</v>
      </c>
      <c r="D64" s="5" t="s">
        <v>228</v>
      </c>
      <c r="E64" s="6" t="s">
        <v>229</v>
      </c>
      <c r="F64" s="7" t="s">
        <v>15</v>
      </c>
      <c r="G64" s="7" t="s">
        <v>28</v>
      </c>
      <c r="H64" s="8" t="s">
        <v>23</v>
      </c>
    </row>
    <row r="65" spans="1:8" ht="27.6" x14ac:dyDescent="0.3">
      <c r="A65" s="15" t="s">
        <v>230</v>
      </c>
      <c r="B65" s="16" t="s">
        <v>217</v>
      </c>
      <c r="C65" s="17" t="s">
        <v>231</v>
      </c>
      <c r="D65" s="5" t="s">
        <v>232</v>
      </c>
      <c r="E65" s="6" t="s">
        <v>233</v>
      </c>
      <c r="F65" s="7" t="s">
        <v>15</v>
      </c>
      <c r="G65" s="7" t="s">
        <v>16</v>
      </c>
      <c r="H65" s="8" t="s">
        <v>23</v>
      </c>
    </row>
    <row r="66" spans="1:8" x14ac:dyDescent="0.3">
      <c r="A66" s="15" t="s">
        <v>234</v>
      </c>
      <c r="B66" s="16" t="s">
        <v>217</v>
      </c>
      <c r="C66" s="17" t="s">
        <v>231</v>
      </c>
      <c r="D66" s="5" t="s">
        <v>235</v>
      </c>
      <c r="E66" s="6" t="s">
        <v>236</v>
      </c>
      <c r="F66" s="7" t="s">
        <v>15</v>
      </c>
      <c r="G66" s="7" t="s">
        <v>28</v>
      </c>
      <c r="H66" s="8" t="s">
        <v>23</v>
      </c>
    </row>
    <row r="67" spans="1:8" x14ac:dyDescent="0.3">
      <c r="A67" s="15" t="s">
        <v>237</v>
      </c>
      <c r="B67" s="16" t="s">
        <v>217</v>
      </c>
      <c r="C67" s="17" t="s">
        <v>231</v>
      </c>
      <c r="D67" s="5" t="s">
        <v>238</v>
      </c>
      <c r="E67" s="6" t="s">
        <v>239</v>
      </c>
      <c r="F67" s="7" t="s">
        <v>15</v>
      </c>
      <c r="G67" s="7" t="s">
        <v>28</v>
      </c>
      <c r="H67" s="8" t="s">
        <v>23</v>
      </c>
    </row>
    <row r="68" spans="1:8" x14ac:dyDescent="0.3">
      <c r="A68" s="15" t="s">
        <v>240</v>
      </c>
      <c r="B68" s="16" t="s">
        <v>217</v>
      </c>
      <c r="C68" s="17" t="s">
        <v>231</v>
      </c>
      <c r="D68" s="5" t="s">
        <v>241</v>
      </c>
      <c r="E68" s="6" t="s">
        <v>242</v>
      </c>
      <c r="F68" s="7" t="s">
        <v>15</v>
      </c>
      <c r="G68" s="7" t="s">
        <v>28</v>
      </c>
      <c r="H68" s="8" t="s">
        <v>23</v>
      </c>
    </row>
    <row r="69" spans="1:8" x14ac:dyDescent="0.3">
      <c r="A69" s="15" t="s">
        <v>243</v>
      </c>
      <c r="B69" s="16" t="s">
        <v>217</v>
      </c>
      <c r="C69" s="17" t="s">
        <v>231</v>
      </c>
      <c r="D69" s="5" t="s">
        <v>244</v>
      </c>
      <c r="E69" s="6" t="s">
        <v>245</v>
      </c>
      <c r="F69" s="7" t="s">
        <v>15</v>
      </c>
      <c r="G69" s="7" t="s">
        <v>107</v>
      </c>
      <c r="H69" s="8" t="s">
        <v>17</v>
      </c>
    </row>
    <row r="70" spans="1:8" ht="41.4" x14ac:dyDescent="0.3">
      <c r="A70" s="15" t="s">
        <v>246</v>
      </c>
      <c r="B70" s="16" t="s">
        <v>217</v>
      </c>
      <c r="C70" s="17" t="s">
        <v>247</v>
      </c>
      <c r="D70" s="5" t="s">
        <v>248</v>
      </c>
      <c r="E70" s="6" t="s">
        <v>249</v>
      </c>
      <c r="F70" s="7" t="s">
        <v>15</v>
      </c>
      <c r="G70" s="7" t="s">
        <v>16</v>
      </c>
      <c r="H70" s="8" t="s">
        <v>23</v>
      </c>
    </row>
    <row r="71" spans="1:8" ht="27.6" x14ac:dyDescent="0.3">
      <c r="A71" s="15" t="s">
        <v>250</v>
      </c>
      <c r="B71" s="16" t="s">
        <v>217</v>
      </c>
      <c r="C71" s="17" t="s">
        <v>247</v>
      </c>
      <c r="D71" s="5" t="s">
        <v>251</v>
      </c>
      <c r="E71" s="6" t="s">
        <v>252</v>
      </c>
      <c r="F71" s="7" t="s">
        <v>15</v>
      </c>
      <c r="G71" s="7" t="s">
        <v>28</v>
      </c>
      <c r="H71" s="8" t="s">
        <v>23</v>
      </c>
    </row>
    <row r="72" spans="1:8" ht="27.6" x14ac:dyDescent="0.3">
      <c r="A72" s="15" t="s">
        <v>253</v>
      </c>
      <c r="B72" s="16" t="s">
        <v>217</v>
      </c>
      <c r="C72" s="17" t="s">
        <v>247</v>
      </c>
      <c r="D72" s="5" t="s">
        <v>254</v>
      </c>
      <c r="E72" s="6" t="s">
        <v>255</v>
      </c>
      <c r="F72" s="7" t="s">
        <v>15</v>
      </c>
      <c r="G72" s="7" t="s">
        <v>16</v>
      </c>
      <c r="H72" s="8" t="s">
        <v>17</v>
      </c>
    </row>
    <row r="73" spans="1:8" ht="27.6" x14ac:dyDescent="0.3">
      <c r="A73" s="15" t="s">
        <v>256</v>
      </c>
      <c r="B73" s="16" t="s">
        <v>217</v>
      </c>
      <c r="C73" s="17" t="s">
        <v>247</v>
      </c>
      <c r="D73" s="5" t="s">
        <v>257</v>
      </c>
      <c r="E73" s="6" t="s">
        <v>258</v>
      </c>
      <c r="F73" s="7" t="s">
        <v>15</v>
      </c>
      <c r="G73" s="7" t="s">
        <v>28</v>
      </c>
      <c r="H73" s="8" t="s">
        <v>23</v>
      </c>
    </row>
    <row r="74" spans="1:8" x14ac:dyDescent="0.3">
      <c r="A74" s="15" t="s">
        <v>259</v>
      </c>
      <c r="B74" s="16" t="s">
        <v>217</v>
      </c>
      <c r="C74" s="17" t="s">
        <v>247</v>
      </c>
      <c r="D74" s="5" t="s">
        <v>260</v>
      </c>
      <c r="E74" s="6" t="s">
        <v>261</v>
      </c>
      <c r="F74" s="7" t="s">
        <v>15</v>
      </c>
      <c r="G74" s="7" t="s">
        <v>16</v>
      </c>
      <c r="H74" s="8" t="s">
        <v>23</v>
      </c>
    </row>
    <row r="75" spans="1:8" ht="27.6" x14ac:dyDescent="0.3">
      <c r="A75" s="15" t="s">
        <v>262</v>
      </c>
      <c r="B75" s="16" t="s">
        <v>217</v>
      </c>
      <c r="C75" s="17" t="s">
        <v>247</v>
      </c>
      <c r="D75" s="5" t="s">
        <v>263</v>
      </c>
      <c r="E75" s="6" t="s">
        <v>264</v>
      </c>
      <c r="F75" s="7" t="s">
        <v>15</v>
      </c>
      <c r="G75" s="7" t="s">
        <v>28</v>
      </c>
      <c r="H75" s="8" t="s">
        <v>17</v>
      </c>
    </row>
    <row r="76" spans="1:8" x14ac:dyDescent="0.3">
      <c r="A76" s="15" t="s">
        <v>265</v>
      </c>
      <c r="B76" s="16" t="s">
        <v>217</v>
      </c>
      <c r="C76" s="17" t="s">
        <v>266</v>
      </c>
      <c r="D76" s="5" t="s">
        <v>267</v>
      </c>
      <c r="E76" s="6" t="s">
        <v>268</v>
      </c>
      <c r="F76" s="7" t="s">
        <v>15</v>
      </c>
      <c r="G76" s="7" t="s">
        <v>28</v>
      </c>
      <c r="H76" s="8" t="s">
        <v>17</v>
      </c>
    </row>
    <row r="77" spans="1:8" x14ac:dyDescent="0.3">
      <c r="A77" s="15" t="s">
        <v>269</v>
      </c>
      <c r="B77" s="16" t="s">
        <v>217</v>
      </c>
      <c r="C77" s="17" t="s">
        <v>266</v>
      </c>
      <c r="D77" s="5" t="s">
        <v>270</v>
      </c>
      <c r="E77" s="6" t="s">
        <v>271</v>
      </c>
      <c r="F77" s="7" t="s">
        <v>15</v>
      </c>
      <c r="G77" s="7" t="s">
        <v>107</v>
      </c>
      <c r="H77" s="8" t="s">
        <v>23</v>
      </c>
    </row>
    <row r="78" spans="1:8" x14ac:dyDescent="0.3">
      <c r="A78" s="15" t="s">
        <v>272</v>
      </c>
      <c r="B78" s="16" t="s">
        <v>217</v>
      </c>
      <c r="C78" s="17" t="s">
        <v>266</v>
      </c>
      <c r="D78" s="5" t="s">
        <v>273</v>
      </c>
      <c r="E78" s="6" t="s">
        <v>274</v>
      </c>
      <c r="F78" s="7" t="s">
        <v>15</v>
      </c>
      <c r="G78" s="7" t="s">
        <v>107</v>
      </c>
      <c r="H78" s="8" t="s">
        <v>17</v>
      </c>
    </row>
    <row r="79" spans="1:8" x14ac:dyDescent="0.3">
      <c r="A79" s="15" t="s">
        <v>275</v>
      </c>
      <c r="B79" s="16" t="s">
        <v>217</v>
      </c>
      <c r="C79" s="17" t="s">
        <v>266</v>
      </c>
      <c r="D79" s="5" t="s">
        <v>276</v>
      </c>
      <c r="E79" s="6" t="s">
        <v>277</v>
      </c>
      <c r="F79" s="7" t="s">
        <v>15</v>
      </c>
      <c r="G79" s="7" t="s">
        <v>28</v>
      </c>
      <c r="H79" s="8" t="s">
        <v>23</v>
      </c>
    </row>
    <row r="80" spans="1:8" x14ac:dyDescent="0.3">
      <c r="A80" s="15" t="s">
        <v>278</v>
      </c>
      <c r="B80" s="16" t="s">
        <v>217</v>
      </c>
      <c r="C80" s="17" t="s">
        <v>266</v>
      </c>
      <c r="D80" s="5" t="s">
        <v>279</v>
      </c>
      <c r="E80" s="6" t="s">
        <v>280</v>
      </c>
      <c r="F80" s="7" t="s">
        <v>15</v>
      </c>
      <c r="G80" s="7" t="s">
        <v>28</v>
      </c>
      <c r="H80" s="8" t="s">
        <v>17</v>
      </c>
    </row>
    <row r="81" spans="1:8" x14ac:dyDescent="0.3">
      <c r="A81" s="15" t="s">
        <v>281</v>
      </c>
      <c r="B81" s="16" t="s">
        <v>217</v>
      </c>
      <c r="C81" s="17" t="s">
        <v>282</v>
      </c>
      <c r="D81" s="5" t="s">
        <v>283</v>
      </c>
      <c r="E81" s="6" t="s">
        <v>284</v>
      </c>
      <c r="F81" s="7" t="s">
        <v>22</v>
      </c>
      <c r="G81" s="7" t="s">
        <v>28</v>
      </c>
      <c r="H81" s="8" t="s">
        <v>17</v>
      </c>
    </row>
    <row r="82" spans="1:8" x14ac:dyDescent="0.3">
      <c r="A82" s="15" t="s">
        <v>285</v>
      </c>
      <c r="B82" s="16" t="s">
        <v>217</v>
      </c>
      <c r="C82" s="17" t="s">
        <v>282</v>
      </c>
      <c r="D82" s="5" t="s">
        <v>286</v>
      </c>
      <c r="E82" s="6" t="s">
        <v>287</v>
      </c>
      <c r="F82" s="7" t="s">
        <v>22</v>
      </c>
      <c r="G82" s="7" t="s">
        <v>28</v>
      </c>
      <c r="H82" s="8" t="s">
        <v>23</v>
      </c>
    </row>
    <row r="83" spans="1:8" x14ac:dyDescent="0.3">
      <c r="A83" s="15" t="s">
        <v>288</v>
      </c>
      <c r="B83" s="16" t="s">
        <v>217</v>
      </c>
      <c r="C83" s="17" t="s">
        <v>282</v>
      </c>
      <c r="D83" s="5" t="s">
        <v>105</v>
      </c>
      <c r="E83" s="6" t="s">
        <v>289</v>
      </c>
      <c r="F83" s="7" t="s">
        <v>22</v>
      </c>
      <c r="G83" s="7" t="s">
        <v>107</v>
      </c>
      <c r="H83" s="8" t="s">
        <v>23</v>
      </c>
    </row>
    <row r="84" spans="1:8" x14ac:dyDescent="0.3">
      <c r="A84" s="15" t="s">
        <v>290</v>
      </c>
      <c r="B84" s="16" t="s">
        <v>217</v>
      </c>
      <c r="C84" s="17" t="s">
        <v>282</v>
      </c>
      <c r="D84" s="5" t="s">
        <v>291</v>
      </c>
      <c r="E84" s="6" t="s">
        <v>292</v>
      </c>
      <c r="F84" s="7" t="s">
        <v>22</v>
      </c>
      <c r="G84" s="7" t="s">
        <v>107</v>
      </c>
      <c r="H84" s="8" t="s">
        <v>17</v>
      </c>
    </row>
    <row r="85" spans="1:8" x14ac:dyDescent="0.3">
      <c r="A85" s="15" t="s">
        <v>293</v>
      </c>
      <c r="B85" s="16" t="s">
        <v>217</v>
      </c>
      <c r="C85" s="17" t="s">
        <v>294</v>
      </c>
      <c r="D85" s="5" t="s">
        <v>295</v>
      </c>
      <c r="E85" s="6" t="s">
        <v>296</v>
      </c>
      <c r="F85" s="7" t="s">
        <v>15</v>
      </c>
      <c r="G85" s="7" t="s">
        <v>28</v>
      </c>
      <c r="H85" s="8" t="s">
        <v>23</v>
      </c>
    </row>
    <row r="86" spans="1:8" x14ac:dyDescent="0.3">
      <c r="A86" s="15" t="s">
        <v>297</v>
      </c>
      <c r="B86" s="16" t="s">
        <v>217</v>
      </c>
      <c r="C86" s="17" t="s">
        <v>294</v>
      </c>
      <c r="D86" s="5" t="s">
        <v>298</v>
      </c>
      <c r="E86" s="6" t="s">
        <v>299</v>
      </c>
      <c r="F86" s="7" t="s">
        <v>15</v>
      </c>
      <c r="G86" s="7" t="s">
        <v>28</v>
      </c>
      <c r="H86" s="8" t="s">
        <v>23</v>
      </c>
    </row>
    <row r="87" spans="1:8" x14ac:dyDescent="0.3">
      <c r="A87" s="15" t="s">
        <v>300</v>
      </c>
      <c r="B87" s="16" t="s">
        <v>217</v>
      </c>
      <c r="C87" s="17" t="s">
        <v>294</v>
      </c>
      <c r="D87" s="5" t="s">
        <v>301</v>
      </c>
      <c r="E87" s="6" t="s">
        <v>302</v>
      </c>
      <c r="F87" s="7" t="s">
        <v>15</v>
      </c>
      <c r="G87" s="7" t="s">
        <v>28</v>
      </c>
      <c r="H87" s="8" t="s">
        <v>23</v>
      </c>
    </row>
    <row r="88" spans="1:8" x14ac:dyDescent="0.3">
      <c r="A88" s="15" t="s">
        <v>303</v>
      </c>
      <c r="B88" s="16" t="s">
        <v>217</v>
      </c>
      <c r="C88" s="17" t="s">
        <v>294</v>
      </c>
      <c r="D88" s="5" t="s">
        <v>304</v>
      </c>
      <c r="E88" s="6" t="s">
        <v>305</v>
      </c>
      <c r="F88" s="7" t="s">
        <v>15</v>
      </c>
      <c r="G88" s="7" t="s">
        <v>107</v>
      </c>
      <c r="H88" s="8" t="s">
        <v>17</v>
      </c>
    </row>
    <row r="89" spans="1:8" x14ac:dyDescent="0.3">
      <c r="A89" s="15" t="s">
        <v>306</v>
      </c>
      <c r="B89" s="16" t="s">
        <v>217</v>
      </c>
      <c r="C89" s="17" t="s">
        <v>307</v>
      </c>
      <c r="D89" s="5" t="s">
        <v>308</v>
      </c>
      <c r="E89" s="6" t="s">
        <v>309</v>
      </c>
      <c r="F89" s="7" t="s">
        <v>15</v>
      </c>
      <c r="G89" s="7" t="s">
        <v>28</v>
      </c>
      <c r="H89" s="8" t="s">
        <v>17</v>
      </c>
    </row>
    <row r="90" spans="1:8" x14ac:dyDescent="0.3">
      <c r="A90" s="15" t="s">
        <v>310</v>
      </c>
      <c r="B90" s="16" t="s">
        <v>217</v>
      </c>
      <c r="C90" s="17" t="s">
        <v>307</v>
      </c>
      <c r="D90" s="5" t="s">
        <v>311</v>
      </c>
      <c r="E90" s="6" t="s">
        <v>312</v>
      </c>
      <c r="F90" s="7" t="s">
        <v>15</v>
      </c>
      <c r="G90" s="7" t="s">
        <v>28</v>
      </c>
      <c r="H90" s="8" t="s">
        <v>23</v>
      </c>
    </row>
    <row r="91" spans="1:8" x14ac:dyDescent="0.3">
      <c r="A91" s="15" t="s">
        <v>313</v>
      </c>
      <c r="B91" s="16" t="s">
        <v>217</v>
      </c>
      <c r="C91" s="17" t="s">
        <v>307</v>
      </c>
      <c r="D91" s="5" t="s">
        <v>314</v>
      </c>
      <c r="E91" s="6" t="s">
        <v>315</v>
      </c>
      <c r="F91" s="7" t="s">
        <v>15</v>
      </c>
      <c r="G91" s="7" t="s">
        <v>28</v>
      </c>
      <c r="H91" s="8" t="s">
        <v>17</v>
      </c>
    </row>
    <row r="92" spans="1:8" x14ac:dyDescent="0.3">
      <c r="A92" s="15" t="s">
        <v>316</v>
      </c>
      <c r="B92" s="16" t="s">
        <v>217</v>
      </c>
      <c r="C92" s="17" t="s">
        <v>307</v>
      </c>
      <c r="D92" s="5" t="s">
        <v>317</v>
      </c>
      <c r="E92" s="6" t="s">
        <v>318</v>
      </c>
      <c r="F92" s="7" t="s">
        <v>15</v>
      </c>
      <c r="G92" s="7" t="s">
        <v>107</v>
      </c>
      <c r="H92" s="8" t="s">
        <v>17</v>
      </c>
    </row>
    <row r="93" spans="1:8" x14ac:dyDescent="0.3">
      <c r="A93" s="15" t="s">
        <v>319</v>
      </c>
      <c r="B93" s="16" t="s">
        <v>217</v>
      </c>
      <c r="C93" s="17" t="s">
        <v>154</v>
      </c>
      <c r="D93" s="5" t="s">
        <v>320</v>
      </c>
      <c r="E93" s="6" t="s">
        <v>321</v>
      </c>
      <c r="F93" s="7" t="s">
        <v>15</v>
      </c>
      <c r="G93" s="7" t="s">
        <v>28</v>
      </c>
      <c r="H93" s="8" t="s">
        <v>23</v>
      </c>
    </row>
    <row r="94" spans="1:8" x14ac:dyDescent="0.3">
      <c r="A94" s="15" t="s">
        <v>322</v>
      </c>
      <c r="B94" s="16" t="s">
        <v>217</v>
      </c>
      <c r="C94" s="17" t="s">
        <v>154</v>
      </c>
      <c r="D94" s="5" t="s">
        <v>323</v>
      </c>
      <c r="E94" s="6" t="s">
        <v>324</v>
      </c>
      <c r="F94" s="7" t="s">
        <v>15</v>
      </c>
      <c r="G94" s="7" t="s">
        <v>28</v>
      </c>
      <c r="H94" s="8" t="s">
        <v>17</v>
      </c>
    </row>
    <row r="95" spans="1:8" x14ac:dyDescent="0.3">
      <c r="A95" s="15" t="s">
        <v>325</v>
      </c>
      <c r="B95" s="16" t="s">
        <v>217</v>
      </c>
      <c r="C95" s="17" t="s">
        <v>154</v>
      </c>
      <c r="D95" s="5" t="s">
        <v>326</v>
      </c>
      <c r="E95" s="6" t="s">
        <v>327</v>
      </c>
      <c r="F95" s="7" t="s">
        <v>15</v>
      </c>
      <c r="G95" s="7" t="s">
        <v>28</v>
      </c>
      <c r="H95" s="8" t="s">
        <v>17</v>
      </c>
    </row>
    <row r="96" spans="1:8" x14ac:dyDescent="0.3">
      <c r="A96" s="15" t="s">
        <v>328</v>
      </c>
      <c r="B96" s="16" t="s">
        <v>217</v>
      </c>
      <c r="C96" s="17" t="s">
        <v>154</v>
      </c>
      <c r="D96" s="5" t="s">
        <v>329</v>
      </c>
      <c r="E96" s="6" t="s">
        <v>330</v>
      </c>
      <c r="F96" s="7" t="s">
        <v>15</v>
      </c>
      <c r="G96" s="7" t="s">
        <v>28</v>
      </c>
      <c r="H96" s="8" t="s">
        <v>17</v>
      </c>
    </row>
    <row r="97" spans="1:8" x14ac:dyDescent="0.3">
      <c r="A97" s="15" t="s">
        <v>331</v>
      </c>
      <c r="B97" s="16" t="s">
        <v>217</v>
      </c>
      <c r="C97" s="17" t="s">
        <v>154</v>
      </c>
      <c r="D97" s="5" t="s">
        <v>332</v>
      </c>
      <c r="E97" s="6" t="s">
        <v>333</v>
      </c>
      <c r="F97" s="7" t="s">
        <v>15</v>
      </c>
      <c r="G97" s="7" t="s">
        <v>107</v>
      </c>
      <c r="H97" s="8" t="s">
        <v>17</v>
      </c>
    </row>
    <row r="98" spans="1:8" x14ac:dyDescent="0.3">
      <c r="A98" s="15" t="s">
        <v>334</v>
      </c>
      <c r="B98" s="16" t="s">
        <v>217</v>
      </c>
      <c r="C98" s="17" t="s">
        <v>30</v>
      </c>
      <c r="D98" s="5" t="s">
        <v>335</v>
      </c>
      <c r="E98" s="6" t="s">
        <v>336</v>
      </c>
      <c r="F98" s="7" t="s">
        <v>15</v>
      </c>
      <c r="G98" s="7" t="s">
        <v>16</v>
      </c>
      <c r="H98" s="8" t="s">
        <v>17</v>
      </c>
    </row>
    <row r="99" spans="1:8" x14ac:dyDescent="0.3">
      <c r="A99" s="15" t="s">
        <v>337</v>
      </c>
      <c r="B99" s="16" t="s">
        <v>217</v>
      </c>
      <c r="C99" s="17" t="s">
        <v>30</v>
      </c>
      <c r="D99" s="5" t="s">
        <v>338</v>
      </c>
      <c r="E99" s="6" t="s">
        <v>339</v>
      </c>
      <c r="F99" s="7" t="s">
        <v>15</v>
      </c>
      <c r="G99" s="7" t="s">
        <v>28</v>
      </c>
      <c r="H99" s="8" t="s">
        <v>23</v>
      </c>
    </row>
    <row r="100" spans="1:8" x14ac:dyDescent="0.3">
      <c r="A100" s="15" t="s">
        <v>340</v>
      </c>
      <c r="B100" s="16" t="s">
        <v>217</v>
      </c>
      <c r="C100" s="17" t="s">
        <v>30</v>
      </c>
      <c r="D100" s="5" t="s">
        <v>341</v>
      </c>
      <c r="E100" s="6" t="s">
        <v>342</v>
      </c>
      <c r="F100" s="7" t="s">
        <v>15</v>
      </c>
      <c r="G100" s="7" t="s">
        <v>16</v>
      </c>
      <c r="H100" s="8" t="s">
        <v>17</v>
      </c>
    </row>
    <row r="101" spans="1:8" x14ac:dyDescent="0.3">
      <c r="A101" s="15" t="s">
        <v>343</v>
      </c>
      <c r="B101" s="16" t="s">
        <v>217</v>
      </c>
      <c r="C101" s="17" t="s">
        <v>30</v>
      </c>
      <c r="D101" s="5" t="s">
        <v>177</v>
      </c>
      <c r="E101" s="6" t="s">
        <v>344</v>
      </c>
      <c r="F101" s="7" t="s">
        <v>15</v>
      </c>
      <c r="G101" s="7" t="s">
        <v>107</v>
      </c>
      <c r="H101" s="8" t="s">
        <v>23</v>
      </c>
    </row>
    <row r="102" spans="1:8" ht="41.4" x14ac:dyDescent="0.3">
      <c r="A102" s="15" t="s">
        <v>345</v>
      </c>
      <c r="B102" s="16" t="s">
        <v>217</v>
      </c>
      <c r="C102" s="17" t="s">
        <v>70</v>
      </c>
      <c r="D102" s="5" t="s">
        <v>346</v>
      </c>
      <c r="E102" s="6" t="s">
        <v>347</v>
      </c>
      <c r="F102" s="7" t="s">
        <v>15</v>
      </c>
      <c r="G102" s="7" t="s">
        <v>28</v>
      </c>
      <c r="H102" s="8" t="s">
        <v>23</v>
      </c>
    </row>
    <row r="103" spans="1:8" x14ac:dyDescent="0.3">
      <c r="A103" s="15" t="s">
        <v>348</v>
      </c>
      <c r="B103" s="16" t="s">
        <v>217</v>
      </c>
      <c r="C103" s="17" t="s">
        <v>70</v>
      </c>
      <c r="D103" s="5" t="s">
        <v>349</v>
      </c>
      <c r="E103" s="6" t="s">
        <v>350</v>
      </c>
      <c r="F103" s="7" t="s">
        <v>15</v>
      </c>
      <c r="G103" s="7" t="s">
        <v>107</v>
      </c>
      <c r="H103" s="8" t="s">
        <v>17</v>
      </c>
    </row>
    <row r="104" spans="1:8" ht="41.4" x14ac:dyDescent="0.3">
      <c r="A104" s="18" t="s">
        <v>351</v>
      </c>
      <c r="B104" s="19" t="s">
        <v>352</v>
      </c>
      <c r="C104" s="20" t="s">
        <v>353</v>
      </c>
      <c r="D104" s="5" t="s">
        <v>354</v>
      </c>
      <c r="E104" s="6" t="s">
        <v>355</v>
      </c>
      <c r="F104" s="7" t="s">
        <v>15</v>
      </c>
      <c r="G104" s="7" t="s">
        <v>16</v>
      </c>
      <c r="H104" s="8" t="s">
        <v>23</v>
      </c>
    </row>
    <row r="105" spans="1:8" ht="27.6" x14ac:dyDescent="0.3">
      <c r="A105" s="18" t="s">
        <v>356</v>
      </c>
      <c r="B105" s="19" t="s">
        <v>352</v>
      </c>
      <c r="C105" s="20" t="s">
        <v>357</v>
      </c>
      <c r="D105" s="5" t="s">
        <v>358</v>
      </c>
      <c r="E105" s="6" t="s">
        <v>359</v>
      </c>
      <c r="F105" s="7" t="s">
        <v>22</v>
      </c>
      <c r="G105" s="7" t="s">
        <v>16</v>
      </c>
      <c r="H105" s="8" t="s">
        <v>23</v>
      </c>
    </row>
    <row r="106" spans="1:8" ht="27.6" x14ac:dyDescent="0.3">
      <c r="A106" s="18" t="s">
        <v>360</v>
      </c>
      <c r="B106" s="19" t="s">
        <v>352</v>
      </c>
      <c r="C106" s="20" t="s">
        <v>361</v>
      </c>
      <c r="D106" s="5" t="s">
        <v>362</v>
      </c>
      <c r="E106" s="6" t="s">
        <v>363</v>
      </c>
      <c r="F106" s="7" t="s">
        <v>15</v>
      </c>
      <c r="G106" s="7" t="s">
        <v>16</v>
      </c>
      <c r="H106" s="8" t="s">
        <v>23</v>
      </c>
    </row>
    <row r="107" spans="1:8" ht="27.6" x14ac:dyDescent="0.3">
      <c r="A107" s="18" t="s">
        <v>364</v>
      </c>
      <c r="B107" s="19" t="s">
        <v>352</v>
      </c>
      <c r="C107" s="20" t="s">
        <v>365</v>
      </c>
      <c r="D107" s="5" t="s">
        <v>366</v>
      </c>
      <c r="E107" s="6" t="s">
        <v>367</v>
      </c>
      <c r="F107" s="7" t="s">
        <v>22</v>
      </c>
      <c r="G107" s="7" t="s">
        <v>28</v>
      </c>
      <c r="H107" s="8" t="s">
        <v>23</v>
      </c>
    </row>
    <row r="108" spans="1:8" ht="27.6" x14ac:dyDescent="0.3">
      <c r="A108" s="18" t="s">
        <v>368</v>
      </c>
      <c r="B108" s="19" t="s">
        <v>352</v>
      </c>
      <c r="C108" s="20" t="s">
        <v>369</v>
      </c>
      <c r="D108" s="5" t="s">
        <v>370</v>
      </c>
      <c r="E108" s="6" t="s">
        <v>371</v>
      </c>
      <c r="F108" s="7" t="s">
        <v>15</v>
      </c>
      <c r="G108" s="7" t="s">
        <v>28</v>
      </c>
      <c r="H108" s="8" t="s">
        <v>23</v>
      </c>
    </row>
    <row r="109" spans="1:8" x14ac:dyDescent="0.3">
      <c r="A109" s="18" t="s">
        <v>372</v>
      </c>
      <c r="B109" s="19" t="s">
        <v>352</v>
      </c>
      <c r="C109" s="20" t="s">
        <v>373</v>
      </c>
      <c r="D109" s="5" t="s">
        <v>374</v>
      </c>
      <c r="E109" s="6" t="s">
        <v>375</v>
      </c>
      <c r="F109" s="7" t="s">
        <v>22</v>
      </c>
      <c r="G109" s="7" t="s">
        <v>28</v>
      </c>
      <c r="H109" s="8" t="s">
        <v>23</v>
      </c>
    </row>
    <row r="110" spans="1:8" x14ac:dyDescent="0.3">
      <c r="A110" s="18" t="s">
        <v>376</v>
      </c>
      <c r="B110" s="19" t="s">
        <v>352</v>
      </c>
      <c r="C110" s="20" t="s">
        <v>377</v>
      </c>
      <c r="D110" s="5" t="s">
        <v>378</v>
      </c>
      <c r="E110" s="6" t="s">
        <v>379</v>
      </c>
      <c r="F110" s="7" t="s">
        <v>15</v>
      </c>
      <c r="G110" s="7" t="s">
        <v>28</v>
      </c>
      <c r="H110" s="8" t="s">
        <v>23</v>
      </c>
    </row>
    <row r="111" spans="1:8" x14ac:dyDescent="0.3">
      <c r="A111" s="18" t="s">
        <v>380</v>
      </c>
      <c r="B111" s="19" t="s">
        <v>352</v>
      </c>
      <c r="C111" s="20" t="s">
        <v>62</v>
      </c>
      <c r="D111" s="5" t="s">
        <v>381</v>
      </c>
      <c r="E111" s="6" t="s">
        <v>382</v>
      </c>
      <c r="F111" s="7" t="s">
        <v>15</v>
      </c>
      <c r="G111" s="7" t="s">
        <v>28</v>
      </c>
      <c r="H111" s="8" t="s">
        <v>17</v>
      </c>
    </row>
    <row r="112" spans="1:8" ht="27.6" x14ac:dyDescent="0.3">
      <c r="A112" s="21" t="s">
        <v>383</v>
      </c>
      <c r="B112" s="22" t="s">
        <v>384</v>
      </c>
      <c r="C112" s="23" t="s">
        <v>385</v>
      </c>
      <c r="D112" s="5" t="s">
        <v>386</v>
      </c>
      <c r="E112" s="6" t="s">
        <v>387</v>
      </c>
      <c r="F112" s="7" t="s">
        <v>15</v>
      </c>
      <c r="G112" s="7" t="s">
        <v>16</v>
      </c>
      <c r="H112" s="8" t="s">
        <v>23</v>
      </c>
    </row>
    <row r="113" spans="1:8" ht="27.6" x14ac:dyDescent="0.3">
      <c r="A113" s="21" t="s">
        <v>388</v>
      </c>
      <c r="B113" s="22" t="s">
        <v>384</v>
      </c>
      <c r="C113" s="23" t="s">
        <v>385</v>
      </c>
      <c r="D113" s="5" t="s">
        <v>389</v>
      </c>
      <c r="E113" s="6" t="s">
        <v>390</v>
      </c>
      <c r="F113" s="7" t="s">
        <v>15</v>
      </c>
      <c r="G113" s="7" t="s">
        <v>16</v>
      </c>
      <c r="H113" s="8" t="s">
        <v>23</v>
      </c>
    </row>
    <row r="114" spans="1:8" ht="27.6" x14ac:dyDescent="0.3">
      <c r="A114" s="21" t="s">
        <v>391</v>
      </c>
      <c r="B114" s="22" t="s">
        <v>384</v>
      </c>
      <c r="C114" s="23" t="s">
        <v>385</v>
      </c>
      <c r="D114" s="5" t="s">
        <v>392</v>
      </c>
      <c r="E114" s="6" t="s">
        <v>393</v>
      </c>
      <c r="F114" s="7" t="s">
        <v>15</v>
      </c>
      <c r="G114" s="7" t="s">
        <v>16</v>
      </c>
      <c r="H114" s="8" t="s">
        <v>23</v>
      </c>
    </row>
    <row r="115" spans="1:8" ht="27.6" x14ac:dyDescent="0.3">
      <c r="A115" s="21" t="s">
        <v>394</v>
      </c>
      <c r="B115" s="22" t="s">
        <v>384</v>
      </c>
      <c r="C115" s="23" t="s">
        <v>385</v>
      </c>
      <c r="D115" s="5" t="s">
        <v>395</v>
      </c>
      <c r="E115" s="6" t="s">
        <v>396</v>
      </c>
      <c r="F115" s="7" t="s">
        <v>15</v>
      </c>
      <c r="G115" s="7" t="s">
        <v>28</v>
      </c>
      <c r="H115" s="8" t="s">
        <v>23</v>
      </c>
    </row>
    <row r="116" spans="1:8" ht="27.6" x14ac:dyDescent="0.3">
      <c r="A116" s="21" t="s">
        <v>397</v>
      </c>
      <c r="B116" s="22" t="s">
        <v>384</v>
      </c>
      <c r="C116" s="23" t="s">
        <v>385</v>
      </c>
      <c r="D116" s="5" t="s">
        <v>398</v>
      </c>
      <c r="E116" s="6" t="s">
        <v>399</v>
      </c>
      <c r="F116" s="7" t="s">
        <v>15</v>
      </c>
      <c r="G116" s="7" t="s">
        <v>16</v>
      </c>
      <c r="H116" s="8" t="s">
        <v>23</v>
      </c>
    </row>
    <row r="117" spans="1:8" ht="27.6" x14ac:dyDescent="0.3">
      <c r="A117" s="21" t="s">
        <v>400</v>
      </c>
      <c r="B117" s="22" t="s">
        <v>384</v>
      </c>
      <c r="C117" s="23" t="s">
        <v>401</v>
      </c>
      <c r="D117" s="5" t="s">
        <v>402</v>
      </c>
      <c r="E117" s="6" t="s">
        <v>403</v>
      </c>
      <c r="F117" s="7" t="s">
        <v>15</v>
      </c>
      <c r="G117" s="7" t="s">
        <v>16</v>
      </c>
      <c r="H117" s="8" t="s">
        <v>17</v>
      </c>
    </row>
    <row r="118" spans="1:8" x14ac:dyDescent="0.3">
      <c r="A118" s="21" t="s">
        <v>404</v>
      </c>
      <c r="B118" s="22" t="s">
        <v>384</v>
      </c>
      <c r="C118" s="23" t="s">
        <v>401</v>
      </c>
      <c r="D118" s="5" t="s">
        <v>405</v>
      </c>
      <c r="E118" s="6" t="s">
        <v>406</v>
      </c>
      <c r="F118" s="7" t="s">
        <v>15</v>
      </c>
      <c r="G118" s="7" t="s">
        <v>16</v>
      </c>
      <c r="H118" s="8" t="s">
        <v>17</v>
      </c>
    </row>
    <row r="119" spans="1:8" ht="27.6" x14ac:dyDescent="0.3">
      <c r="A119" s="21" t="s">
        <v>407</v>
      </c>
      <c r="B119" s="22" t="s">
        <v>384</v>
      </c>
      <c r="C119" s="23" t="s">
        <v>401</v>
      </c>
      <c r="D119" s="5" t="s">
        <v>408</v>
      </c>
      <c r="E119" s="6" t="s">
        <v>409</v>
      </c>
      <c r="F119" s="7" t="s">
        <v>15</v>
      </c>
      <c r="G119" s="7" t="s">
        <v>16</v>
      </c>
      <c r="H119" s="8" t="s">
        <v>23</v>
      </c>
    </row>
    <row r="120" spans="1:8" ht="27.6" x14ac:dyDescent="0.3">
      <c r="A120" s="21" t="s">
        <v>410</v>
      </c>
      <c r="B120" s="22" t="s">
        <v>384</v>
      </c>
      <c r="C120" s="23" t="s">
        <v>411</v>
      </c>
      <c r="D120" s="5" t="s">
        <v>412</v>
      </c>
      <c r="E120" s="6" t="s">
        <v>413</v>
      </c>
      <c r="F120" s="7" t="s">
        <v>15</v>
      </c>
      <c r="G120" s="7" t="s">
        <v>16</v>
      </c>
      <c r="H120" s="8" t="s">
        <v>23</v>
      </c>
    </row>
    <row r="121" spans="1:8" x14ac:dyDescent="0.3">
      <c r="A121" s="21" t="s">
        <v>414</v>
      </c>
      <c r="B121" s="22" t="s">
        <v>384</v>
      </c>
      <c r="C121" s="23" t="s">
        <v>411</v>
      </c>
      <c r="D121" s="5" t="s">
        <v>415</v>
      </c>
      <c r="E121" s="6" t="s">
        <v>416</v>
      </c>
      <c r="F121" s="7" t="s">
        <v>15</v>
      </c>
      <c r="G121" s="7" t="s">
        <v>16</v>
      </c>
      <c r="H121" s="8" t="s">
        <v>23</v>
      </c>
    </row>
    <row r="122" spans="1:8" x14ac:dyDescent="0.3">
      <c r="A122" s="21" t="s">
        <v>417</v>
      </c>
      <c r="B122" s="22" t="s">
        <v>384</v>
      </c>
      <c r="C122" s="23" t="s">
        <v>411</v>
      </c>
      <c r="D122" s="5" t="s">
        <v>418</v>
      </c>
      <c r="E122" s="6" t="s">
        <v>419</v>
      </c>
      <c r="F122" s="7" t="s">
        <v>15</v>
      </c>
      <c r="G122" s="7" t="s">
        <v>28</v>
      </c>
      <c r="H122" s="8" t="s">
        <v>17</v>
      </c>
    </row>
    <row r="123" spans="1:8" x14ac:dyDescent="0.3">
      <c r="A123" s="21" t="s">
        <v>420</v>
      </c>
      <c r="B123" s="22" t="s">
        <v>384</v>
      </c>
      <c r="C123" s="23" t="s">
        <v>421</v>
      </c>
      <c r="D123" s="5" t="s">
        <v>422</v>
      </c>
      <c r="E123" s="6" t="s">
        <v>423</v>
      </c>
      <c r="F123" s="7" t="s">
        <v>15</v>
      </c>
      <c r="G123" s="7" t="s">
        <v>16</v>
      </c>
      <c r="H123" s="8" t="s">
        <v>17</v>
      </c>
    </row>
    <row r="124" spans="1:8" x14ac:dyDescent="0.3">
      <c r="A124" s="21" t="s">
        <v>424</v>
      </c>
      <c r="B124" s="22" t="s">
        <v>384</v>
      </c>
      <c r="C124" s="23" t="s">
        <v>421</v>
      </c>
      <c r="D124" s="5" t="s">
        <v>425</v>
      </c>
      <c r="E124" s="6" t="s">
        <v>426</v>
      </c>
      <c r="F124" s="7" t="s">
        <v>15</v>
      </c>
      <c r="G124" s="7" t="s">
        <v>28</v>
      </c>
      <c r="H124" s="8" t="s">
        <v>17</v>
      </c>
    </row>
    <row r="125" spans="1:8" x14ac:dyDescent="0.3">
      <c r="A125" s="21" t="s">
        <v>427</v>
      </c>
      <c r="B125" s="22" t="s">
        <v>384</v>
      </c>
      <c r="C125" s="23" t="s">
        <v>421</v>
      </c>
      <c r="D125" s="5" t="s">
        <v>428</v>
      </c>
      <c r="E125" s="6" t="s">
        <v>429</v>
      </c>
      <c r="F125" s="7" t="s">
        <v>15</v>
      </c>
      <c r="G125" s="7" t="s">
        <v>16</v>
      </c>
      <c r="H125" s="8" t="s">
        <v>17</v>
      </c>
    </row>
    <row r="126" spans="1:8" x14ac:dyDescent="0.3">
      <c r="A126" s="21" t="s">
        <v>430</v>
      </c>
      <c r="B126" s="22" t="s">
        <v>384</v>
      </c>
      <c r="C126" s="23" t="s">
        <v>431</v>
      </c>
      <c r="D126" s="5" t="s">
        <v>432</v>
      </c>
      <c r="E126" s="6" t="s">
        <v>433</v>
      </c>
      <c r="F126" s="7" t="s">
        <v>15</v>
      </c>
      <c r="G126" s="7" t="s">
        <v>16</v>
      </c>
      <c r="H126" s="8" t="s">
        <v>17</v>
      </c>
    </row>
    <row r="127" spans="1:8" x14ac:dyDescent="0.3">
      <c r="A127" s="21" t="s">
        <v>434</v>
      </c>
      <c r="B127" s="22" t="s">
        <v>384</v>
      </c>
      <c r="C127" s="23" t="s">
        <v>431</v>
      </c>
      <c r="D127" s="5" t="s">
        <v>435</v>
      </c>
      <c r="E127" s="6" t="s">
        <v>436</v>
      </c>
      <c r="F127" s="7" t="s">
        <v>15</v>
      </c>
      <c r="G127" s="7" t="s">
        <v>28</v>
      </c>
      <c r="H127" s="8" t="s">
        <v>17</v>
      </c>
    </row>
    <row r="128" spans="1:8" x14ac:dyDescent="0.3">
      <c r="A128" s="21" t="s">
        <v>437</v>
      </c>
      <c r="B128" s="22" t="s">
        <v>384</v>
      </c>
      <c r="C128" s="23" t="s">
        <v>431</v>
      </c>
      <c r="D128" s="5" t="s">
        <v>438</v>
      </c>
      <c r="E128" s="6" t="s">
        <v>439</v>
      </c>
      <c r="F128" s="7" t="s">
        <v>15</v>
      </c>
      <c r="G128" s="7" t="s">
        <v>28</v>
      </c>
      <c r="H128" s="8" t="s">
        <v>17</v>
      </c>
    </row>
    <row r="129" spans="1:8" x14ac:dyDescent="0.3">
      <c r="A129" s="21" t="s">
        <v>440</v>
      </c>
      <c r="B129" s="22" t="s">
        <v>384</v>
      </c>
      <c r="C129" s="23" t="s">
        <v>431</v>
      </c>
      <c r="D129" s="5" t="s">
        <v>441</v>
      </c>
      <c r="E129" s="6" t="s">
        <v>442</v>
      </c>
      <c r="F129" s="7" t="s">
        <v>15</v>
      </c>
      <c r="G129" s="7" t="s">
        <v>16</v>
      </c>
      <c r="H129" s="8" t="s">
        <v>17</v>
      </c>
    </row>
    <row r="130" spans="1:8" x14ac:dyDescent="0.3">
      <c r="A130" s="21" t="s">
        <v>443</v>
      </c>
      <c r="B130" s="22" t="s">
        <v>384</v>
      </c>
      <c r="C130" s="23" t="s">
        <v>444</v>
      </c>
      <c r="D130" s="5" t="s">
        <v>445</v>
      </c>
      <c r="E130" s="6" t="s">
        <v>446</v>
      </c>
      <c r="F130" s="7" t="s">
        <v>15</v>
      </c>
      <c r="G130" s="7" t="s">
        <v>16</v>
      </c>
      <c r="H130" s="8" t="s">
        <v>23</v>
      </c>
    </row>
    <row r="131" spans="1:8" x14ac:dyDescent="0.3">
      <c r="A131" s="21" t="s">
        <v>447</v>
      </c>
      <c r="B131" s="22" t="s">
        <v>384</v>
      </c>
      <c r="C131" s="23" t="s">
        <v>444</v>
      </c>
      <c r="D131" s="5" t="s">
        <v>448</v>
      </c>
      <c r="E131" s="6" t="s">
        <v>449</v>
      </c>
      <c r="F131" s="7" t="s">
        <v>15</v>
      </c>
      <c r="G131" s="7" t="s">
        <v>28</v>
      </c>
      <c r="H131" s="8" t="s">
        <v>23</v>
      </c>
    </row>
    <row r="132" spans="1:8" ht="27.6" x14ac:dyDescent="0.3">
      <c r="A132" s="21" t="s">
        <v>450</v>
      </c>
      <c r="B132" s="22" t="s">
        <v>384</v>
      </c>
      <c r="C132" s="23" t="s">
        <v>444</v>
      </c>
      <c r="D132" s="5" t="s">
        <v>451</v>
      </c>
      <c r="E132" s="6" t="s">
        <v>452</v>
      </c>
      <c r="F132" s="7" t="s">
        <v>15</v>
      </c>
      <c r="G132" s="7" t="s">
        <v>16</v>
      </c>
      <c r="H132" s="8" t="s">
        <v>23</v>
      </c>
    </row>
    <row r="133" spans="1:8" x14ac:dyDescent="0.3">
      <c r="A133" s="21" t="s">
        <v>453</v>
      </c>
      <c r="B133" s="22" t="s">
        <v>384</v>
      </c>
      <c r="C133" s="23" t="s">
        <v>444</v>
      </c>
      <c r="D133" s="5" t="s">
        <v>454</v>
      </c>
      <c r="E133" s="6" t="s">
        <v>455</v>
      </c>
      <c r="F133" s="7" t="s">
        <v>15</v>
      </c>
      <c r="G133" s="7" t="s">
        <v>107</v>
      </c>
      <c r="H133" s="8" t="s">
        <v>23</v>
      </c>
    </row>
    <row r="134" spans="1:8" ht="27.6" x14ac:dyDescent="0.3">
      <c r="A134" s="21" t="s">
        <v>456</v>
      </c>
      <c r="B134" s="22" t="s">
        <v>384</v>
      </c>
      <c r="C134" s="23" t="s">
        <v>457</v>
      </c>
      <c r="D134" s="5" t="s">
        <v>458</v>
      </c>
      <c r="E134" s="6" t="s">
        <v>459</v>
      </c>
      <c r="F134" s="7" t="s">
        <v>15</v>
      </c>
      <c r="G134" s="7" t="s">
        <v>16</v>
      </c>
      <c r="H134" s="8" t="s">
        <v>17</v>
      </c>
    </row>
    <row r="135" spans="1:8" x14ac:dyDescent="0.3">
      <c r="A135" s="21" t="s">
        <v>460</v>
      </c>
      <c r="B135" s="22" t="s">
        <v>384</v>
      </c>
      <c r="C135" s="23" t="s">
        <v>457</v>
      </c>
      <c r="D135" s="5" t="s">
        <v>461</v>
      </c>
      <c r="E135" s="6" t="s">
        <v>462</v>
      </c>
      <c r="F135" s="7" t="s">
        <v>15</v>
      </c>
      <c r="G135" s="7" t="s">
        <v>28</v>
      </c>
      <c r="H135" s="8" t="s">
        <v>17</v>
      </c>
    </row>
    <row r="136" spans="1:8" x14ac:dyDescent="0.3">
      <c r="A136" s="21" t="s">
        <v>463</v>
      </c>
      <c r="B136" s="22" t="s">
        <v>384</v>
      </c>
      <c r="C136" s="23" t="s">
        <v>457</v>
      </c>
      <c r="D136" s="5" t="s">
        <v>464</v>
      </c>
      <c r="E136" s="6" t="s">
        <v>465</v>
      </c>
      <c r="F136" s="7" t="s">
        <v>15</v>
      </c>
      <c r="G136" s="7" t="s">
        <v>28</v>
      </c>
      <c r="H136" s="8" t="s">
        <v>17</v>
      </c>
    </row>
    <row r="137" spans="1:8" ht="27.6" x14ac:dyDescent="0.3">
      <c r="A137" s="21" t="s">
        <v>466</v>
      </c>
      <c r="B137" s="22" t="s">
        <v>384</v>
      </c>
      <c r="C137" s="23" t="s">
        <v>457</v>
      </c>
      <c r="D137" s="5" t="s">
        <v>467</v>
      </c>
      <c r="E137" s="6" t="s">
        <v>468</v>
      </c>
      <c r="F137" s="7" t="s">
        <v>15</v>
      </c>
      <c r="G137" s="7" t="s">
        <v>16</v>
      </c>
      <c r="H137" s="8" t="s">
        <v>17</v>
      </c>
    </row>
    <row r="138" spans="1:8" x14ac:dyDescent="0.3">
      <c r="A138" s="21" t="s">
        <v>469</v>
      </c>
      <c r="B138" s="22" t="s">
        <v>384</v>
      </c>
      <c r="C138" s="23" t="s">
        <v>470</v>
      </c>
      <c r="D138" s="5" t="s">
        <v>471</v>
      </c>
      <c r="E138" s="6" t="s">
        <v>472</v>
      </c>
      <c r="F138" s="7" t="s">
        <v>15</v>
      </c>
      <c r="G138" s="7" t="s">
        <v>28</v>
      </c>
      <c r="H138" s="8" t="s">
        <v>17</v>
      </c>
    </row>
    <row r="139" spans="1:8" x14ac:dyDescent="0.3">
      <c r="A139" s="21" t="s">
        <v>473</v>
      </c>
      <c r="B139" s="22" t="s">
        <v>384</v>
      </c>
      <c r="C139" s="23" t="s">
        <v>470</v>
      </c>
      <c r="D139" s="5" t="s">
        <v>474</v>
      </c>
      <c r="E139" s="6" t="s">
        <v>475</v>
      </c>
      <c r="F139" s="7" t="s">
        <v>15</v>
      </c>
      <c r="G139" s="7" t="s">
        <v>16</v>
      </c>
      <c r="H139" s="8" t="s">
        <v>17</v>
      </c>
    </row>
    <row r="140" spans="1:8" x14ac:dyDescent="0.3">
      <c r="A140" s="21" t="s">
        <v>476</v>
      </c>
      <c r="B140" s="22" t="s">
        <v>384</v>
      </c>
      <c r="C140" s="23" t="s">
        <v>470</v>
      </c>
      <c r="D140" s="5" t="s">
        <v>477</v>
      </c>
      <c r="E140" s="6" t="s">
        <v>478</v>
      </c>
      <c r="F140" s="7" t="s">
        <v>15</v>
      </c>
      <c r="G140" s="7" t="s">
        <v>28</v>
      </c>
      <c r="H140" s="8" t="s">
        <v>23</v>
      </c>
    </row>
    <row r="141" spans="1:8" x14ac:dyDescent="0.3">
      <c r="A141" s="21" t="s">
        <v>479</v>
      </c>
      <c r="B141" s="22" t="s">
        <v>384</v>
      </c>
      <c r="C141" s="23" t="s">
        <v>470</v>
      </c>
      <c r="D141" s="5" t="s">
        <v>480</v>
      </c>
      <c r="E141" s="6" t="s">
        <v>481</v>
      </c>
      <c r="F141" s="7" t="s">
        <v>15</v>
      </c>
      <c r="G141" s="7" t="s">
        <v>28</v>
      </c>
      <c r="H141" s="8" t="s">
        <v>17</v>
      </c>
    </row>
    <row r="142" spans="1:8" x14ac:dyDescent="0.3">
      <c r="A142" s="21" t="s">
        <v>482</v>
      </c>
      <c r="B142" s="22" t="s">
        <v>384</v>
      </c>
      <c r="C142" s="23" t="s">
        <v>483</v>
      </c>
      <c r="D142" s="5" t="s">
        <v>484</v>
      </c>
      <c r="E142" s="6" t="s">
        <v>485</v>
      </c>
      <c r="F142" s="7" t="s">
        <v>15</v>
      </c>
      <c r="G142" s="7" t="s">
        <v>16</v>
      </c>
      <c r="H142" s="8" t="s">
        <v>23</v>
      </c>
    </row>
    <row r="143" spans="1:8" ht="27.6" x14ac:dyDescent="0.3">
      <c r="A143" s="21" t="s">
        <v>486</v>
      </c>
      <c r="B143" s="22" t="s">
        <v>384</v>
      </c>
      <c r="C143" s="23" t="s">
        <v>483</v>
      </c>
      <c r="D143" s="5" t="s">
        <v>487</v>
      </c>
      <c r="E143" s="6" t="s">
        <v>488</v>
      </c>
      <c r="F143" s="7" t="s">
        <v>15</v>
      </c>
      <c r="G143" s="7" t="s">
        <v>16</v>
      </c>
      <c r="H143" s="8" t="s">
        <v>17</v>
      </c>
    </row>
    <row r="144" spans="1:8" x14ac:dyDescent="0.3">
      <c r="A144" s="21" t="s">
        <v>489</v>
      </c>
      <c r="B144" s="22" t="s">
        <v>384</v>
      </c>
      <c r="C144" s="23" t="s">
        <v>483</v>
      </c>
      <c r="D144" s="5" t="s">
        <v>490</v>
      </c>
      <c r="E144" s="6" t="s">
        <v>491</v>
      </c>
      <c r="F144" s="7" t="s">
        <v>15</v>
      </c>
      <c r="G144" s="7" t="s">
        <v>16</v>
      </c>
      <c r="H144" s="8" t="s">
        <v>17</v>
      </c>
    </row>
    <row r="145" spans="1:8" x14ac:dyDescent="0.3">
      <c r="A145" s="21" t="s">
        <v>492</v>
      </c>
      <c r="B145" s="22" t="s">
        <v>384</v>
      </c>
      <c r="C145" s="23" t="s">
        <v>483</v>
      </c>
      <c r="D145" s="5" t="s">
        <v>493</v>
      </c>
      <c r="E145" s="6" t="s">
        <v>494</v>
      </c>
      <c r="F145" s="7" t="s">
        <v>15</v>
      </c>
      <c r="G145" s="7" t="s">
        <v>16</v>
      </c>
      <c r="H145" s="8" t="s">
        <v>23</v>
      </c>
    </row>
    <row r="146" spans="1:8" x14ac:dyDescent="0.3">
      <c r="A146" s="21" t="s">
        <v>495</v>
      </c>
      <c r="B146" s="22" t="s">
        <v>384</v>
      </c>
      <c r="C146" s="23" t="s">
        <v>141</v>
      </c>
      <c r="D146" s="5" t="s">
        <v>496</v>
      </c>
      <c r="E146" s="6" t="s">
        <v>497</v>
      </c>
      <c r="F146" s="7" t="s">
        <v>15</v>
      </c>
      <c r="G146" s="7" t="s">
        <v>28</v>
      </c>
      <c r="H146" s="8" t="s">
        <v>17</v>
      </c>
    </row>
    <row r="147" spans="1:8" x14ac:dyDescent="0.3">
      <c r="A147" s="21" t="s">
        <v>498</v>
      </c>
      <c r="B147" s="22" t="s">
        <v>384</v>
      </c>
      <c r="C147" s="23" t="s">
        <v>141</v>
      </c>
      <c r="D147" s="5" t="s">
        <v>499</v>
      </c>
      <c r="E147" s="6" t="s">
        <v>500</v>
      </c>
      <c r="F147" s="7" t="s">
        <v>15</v>
      </c>
      <c r="G147" s="7" t="s">
        <v>28</v>
      </c>
      <c r="H147" s="8" t="s">
        <v>17</v>
      </c>
    </row>
    <row r="148" spans="1:8" x14ac:dyDescent="0.3">
      <c r="A148" s="21" t="s">
        <v>501</v>
      </c>
      <c r="B148" s="22" t="s">
        <v>384</v>
      </c>
      <c r="C148" s="23" t="s">
        <v>141</v>
      </c>
      <c r="D148" s="5" t="s">
        <v>502</v>
      </c>
      <c r="E148" s="6" t="s">
        <v>503</v>
      </c>
      <c r="F148" s="7" t="s">
        <v>15</v>
      </c>
      <c r="G148" s="7" t="s">
        <v>107</v>
      </c>
      <c r="H148" s="8" t="s">
        <v>17</v>
      </c>
    </row>
    <row r="149" spans="1:8" x14ac:dyDescent="0.3">
      <c r="A149" s="21" t="s">
        <v>504</v>
      </c>
      <c r="B149" s="22" t="s">
        <v>384</v>
      </c>
      <c r="C149" s="23" t="s">
        <v>141</v>
      </c>
      <c r="D149" s="5" t="s">
        <v>505</v>
      </c>
      <c r="E149" s="6" t="s">
        <v>506</v>
      </c>
      <c r="F149" s="7" t="s">
        <v>15</v>
      </c>
      <c r="G149" s="7" t="s">
        <v>16</v>
      </c>
      <c r="H149" s="8" t="s">
        <v>17</v>
      </c>
    </row>
    <row r="150" spans="1:8" x14ac:dyDescent="0.3">
      <c r="A150" s="21" t="s">
        <v>507</v>
      </c>
      <c r="B150" s="22" t="s">
        <v>384</v>
      </c>
      <c r="C150" s="23" t="s">
        <v>508</v>
      </c>
      <c r="D150" s="5" t="s">
        <v>509</v>
      </c>
      <c r="E150" s="6" t="s">
        <v>510</v>
      </c>
      <c r="F150" s="7" t="s">
        <v>15</v>
      </c>
      <c r="G150" s="7" t="s">
        <v>28</v>
      </c>
      <c r="H150" s="8" t="s">
        <v>23</v>
      </c>
    </row>
    <row r="151" spans="1:8" x14ac:dyDescent="0.3">
      <c r="A151" s="21" t="s">
        <v>511</v>
      </c>
      <c r="B151" s="22" t="s">
        <v>384</v>
      </c>
      <c r="C151" s="23" t="s">
        <v>508</v>
      </c>
      <c r="D151" s="5" t="s">
        <v>512</v>
      </c>
      <c r="E151" s="6" t="s">
        <v>513</v>
      </c>
      <c r="F151" s="7" t="s">
        <v>15</v>
      </c>
      <c r="G151" s="7" t="s">
        <v>28</v>
      </c>
      <c r="H151" s="8" t="s">
        <v>23</v>
      </c>
    </row>
    <row r="152" spans="1:8" x14ac:dyDescent="0.3">
      <c r="A152" s="21" t="s">
        <v>514</v>
      </c>
      <c r="B152" s="22" t="s">
        <v>384</v>
      </c>
      <c r="C152" s="23" t="s">
        <v>508</v>
      </c>
      <c r="D152" s="5" t="s">
        <v>515</v>
      </c>
      <c r="E152" s="6" t="s">
        <v>516</v>
      </c>
      <c r="F152" s="7" t="s">
        <v>15</v>
      </c>
      <c r="G152" s="7" t="s">
        <v>28</v>
      </c>
      <c r="H152" s="8" t="s">
        <v>23</v>
      </c>
    </row>
    <row r="153" spans="1:8" x14ac:dyDescent="0.3">
      <c r="A153" s="21" t="s">
        <v>517</v>
      </c>
      <c r="B153" s="22" t="s">
        <v>384</v>
      </c>
      <c r="C153" s="23" t="s">
        <v>508</v>
      </c>
      <c r="D153" s="5" t="s">
        <v>518</v>
      </c>
      <c r="E153" s="6" t="s">
        <v>519</v>
      </c>
      <c r="F153" s="7" t="s">
        <v>15</v>
      </c>
      <c r="G153" s="7" t="s">
        <v>28</v>
      </c>
      <c r="H153" s="8" t="s">
        <v>23</v>
      </c>
    </row>
    <row r="154" spans="1:8" x14ac:dyDescent="0.3">
      <c r="A154" s="21" t="s">
        <v>520</v>
      </c>
      <c r="B154" s="22" t="s">
        <v>384</v>
      </c>
      <c r="C154" s="23" t="s">
        <v>508</v>
      </c>
      <c r="D154" s="5" t="s">
        <v>521</v>
      </c>
      <c r="E154" s="6" t="s">
        <v>522</v>
      </c>
      <c r="F154" s="7" t="s">
        <v>15</v>
      </c>
      <c r="G154" s="7" t="s">
        <v>16</v>
      </c>
      <c r="H154" s="8" t="s">
        <v>23</v>
      </c>
    </row>
    <row r="155" spans="1:8" x14ac:dyDescent="0.3">
      <c r="A155" s="21" t="s">
        <v>523</v>
      </c>
      <c r="B155" s="22" t="s">
        <v>384</v>
      </c>
      <c r="C155" s="23" t="s">
        <v>524</v>
      </c>
      <c r="D155" s="5" t="s">
        <v>525</v>
      </c>
      <c r="E155" s="6" t="s">
        <v>526</v>
      </c>
      <c r="F155" s="7" t="s">
        <v>15</v>
      </c>
      <c r="G155" s="7" t="s">
        <v>16</v>
      </c>
      <c r="H155" s="8" t="s">
        <v>23</v>
      </c>
    </row>
    <row r="156" spans="1:8" x14ac:dyDescent="0.3">
      <c r="A156" s="21" t="s">
        <v>527</v>
      </c>
      <c r="B156" s="22" t="s">
        <v>384</v>
      </c>
      <c r="C156" s="23" t="s">
        <v>524</v>
      </c>
      <c r="D156" s="5" t="s">
        <v>528</v>
      </c>
      <c r="E156" s="6" t="s">
        <v>529</v>
      </c>
      <c r="F156" s="7" t="s">
        <v>15</v>
      </c>
      <c r="G156" s="7" t="s">
        <v>16</v>
      </c>
      <c r="H156" s="8" t="s">
        <v>23</v>
      </c>
    </row>
    <row r="157" spans="1:8" x14ac:dyDescent="0.3">
      <c r="A157" s="21" t="s">
        <v>530</v>
      </c>
      <c r="B157" s="22" t="s">
        <v>384</v>
      </c>
      <c r="C157" s="23" t="s">
        <v>524</v>
      </c>
      <c r="D157" s="5" t="s">
        <v>531</v>
      </c>
      <c r="E157" s="6" t="s">
        <v>532</v>
      </c>
      <c r="F157" s="7" t="s">
        <v>15</v>
      </c>
      <c r="G157" s="7" t="s">
        <v>16</v>
      </c>
      <c r="H157" s="8" t="s">
        <v>23</v>
      </c>
    </row>
    <row r="158" spans="1:8" x14ac:dyDescent="0.3">
      <c r="A158" s="21" t="s">
        <v>533</v>
      </c>
      <c r="B158" s="22" t="s">
        <v>384</v>
      </c>
      <c r="C158" s="23" t="s">
        <v>524</v>
      </c>
      <c r="D158" s="5" t="s">
        <v>534</v>
      </c>
      <c r="E158" s="6" t="s">
        <v>535</v>
      </c>
      <c r="F158" s="7" t="s">
        <v>15</v>
      </c>
      <c r="G158" s="7" t="s">
        <v>28</v>
      </c>
      <c r="H158" s="8" t="s">
        <v>23</v>
      </c>
    </row>
    <row r="159" spans="1:8" x14ac:dyDescent="0.3">
      <c r="A159" s="21" t="s">
        <v>536</v>
      </c>
      <c r="B159" s="22" t="s">
        <v>384</v>
      </c>
      <c r="C159" s="23" t="s">
        <v>537</v>
      </c>
      <c r="D159" s="5" t="s">
        <v>538</v>
      </c>
      <c r="E159" s="6" t="s">
        <v>539</v>
      </c>
      <c r="F159" s="7" t="s">
        <v>15</v>
      </c>
      <c r="G159" s="7" t="s">
        <v>28</v>
      </c>
      <c r="H159" s="8" t="s">
        <v>17</v>
      </c>
    </row>
    <row r="160" spans="1:8" x14ac:dyDescent="0.3">
      <c r="A160" s="21" t="s">
        <v>540</v>
      </c>
      <c r="B160" s="22" t="s">
        <v>384</v>
      </c>
      <c r="C160" s="23" t="s">
        <v>537</v>
      </c>
      <c r="D160" s="5" t="s">
        <v>541</v>
      </c>
      <c r="E160" s="6" t="s">
        <v>542</v>
      </c>
      <c r="F160" s="7" t="s">
        <v>15</v>
      </c>
      <c r="G160" s="7" t="s">
        <v>28</v>
      </c>
      <c r="H160" s="8" t="s">
        <v>23</v>
      </c>
    </row>
    <row r="161" spans="1:8" x14ac:dyDescent="0.3">
      <c r="A161" s="21" t="s">
        <v>543</v>
      </c>
      <c r="B161" s="22" t="s">
        <v>384</v>
      </c>
      <c r="C161" s="23" t="s">
        <v>537</v>
      </c>
      <c r="D161" s="5" t="s">
        <v>544</v>
      </c>
      <c r="E161" s="6" t="s">
        <v>545</v>
      </c>
      <c r="F161" s="7" t="s">
        <v>15</v>
      </c>
      <c r="G161" s="7" t="s">
        <v>28</v>
      </c>
      <c r="H161" s="8" t="s">
        <v>17</v>
      </c>
    </row>
    <row r="162" spans="1:8" x14ac:dyDescent="0.3">
      <c r="A162" s="21" t="s">
        <v>546</v>
      </c>
      <c r="B162" s="22" t="s">
        <v>384</v>
      </c>
      <c r="C162" s="23" t="s">
        <v>537</v>
      </c>
      <c r="D162" s="5" t="s">
        <v>547</v>
      </c>
      <c r="E162" s="6" t="s">
        <v>548</v>
      </c>
      <c r="F162" s="7" t="s">
        <v>15</v>
      </c>
      <c r="G162" s="7" t="s">
        <v>107</v>
      </c>
      <c r="H162" s="8" t="s">
        <v>17</v>
      </c>
    </row>
    <row r="163" spans="1:8" ht="27.6" x14ac:dyDescent="0.3">
      <c r="A163" s="24" t="s">
        <v>549</v>
      </c>
      <c r="B163" s="25" t="s">
        <v>550</v>
      </c>
      <c r="C163" s="26" t="s">
        <v>551</v>
      </c>
      <c r="D163" s="5" t="s">
        <v>552</v>
      </c>
      <c r="E163" s="6" t="s">
        <v>553</v>
      </c>
      <c r="F163" s="7" t="s">
        <v>15</v>
      </c>
      <c r="G163" s="7" t="s">
        <v>16</v>
      </c>
      <c r="H163" s="8" t="s">
        <v>23</v>
      </c>
    </row>
    <row r="164" spans="1:8" ht="27.6" x14ac:dyDescent="0.3">
      <c r="A164" s="24" t="s">
        <v>554</v>
      </c>
      <c r="B164" s="25" t="s">
        <v>550</v>
      </c>
      <c r="C164" s="26" t="s">
        <v>555</v>
      </c>
      <c r="D164" s="5" t="s">
        <v>556</v>
      </c>
      <c r="E164" s="6" t="s">
        <v>557</v>
      </c>
      <c r="F164" s="7" t="s">
        <v>15</v>
      </c>
      <c r="G164" s="7" t="s">
        <v>28</v>
      </c>
      <c r="H164" s="8" t="s">
        <v>17</v>
      </c>
    </row>
    <row r="165" spans="1:8" ht="27.6" x14ac:dyDescent="0.3">
      <c r="A165" s="24" t="s">
        <v>558</v>
      </c>
      <c r="B165" s="25" t="s">
        <v>550</v>
      </c>
      <c r="C165" s="26" t="s">
        <v>555</v>
      </c>
      <c r="D165" s="5" t="s">
        <v>559</v>
      </c>
      <c r="E165" s="6" t="s">
        <v>560</v>
      </c>
      <c r="F165" s="7" t="s">
        <v>15</v>
      </c>
      <c r="G165" s="7" t="s">
        <v>28</v>
      </c>
      <c r="H165" s="8" t="s">
        <v>23</v>
      </c>
    </row>
    <row r="166" spans="1:8" ht="27.6" x14ac:dyDescent="0.3">
      <c r="A166" s="24" t="s">
        <v>561</v>
      </c>
      <c r="B166" s="25" t="s">
        <v>550</v>
      </c>
      <c r="C166" s="26" t="s">
        <v>555</v>
      </c>
      <c r="D166" s="5" t="s">
        <v>562</v>
      </c>
      <c r="E166" s="6" t="s">
        <v>563</v>
      </c>
      <c r="F166" s="7" t="s">
        <v>15</v>
      </c>
      <c r="G166" s="7" t="s">
        <v>16</v>
      </c>
      <c r="H166" s="8" t="s">
        <v>23</v>
      </c>
    </row>
    <row r="167" spans="1:8" ht="27.6" x14ac:dyDescent="0.3">
      <c r="A167" s="24" t="s">
        <v>564</v>
      </c>
      <c r="B167" s="25" t="s">
        <v>550</v>
      </c>
      <c r="C167" s="26" t="s">
        <v>555</v>
      </c>
      <c r="D167" s="5" t="s">
        <v>565</v>
      </c>
      <c r="E167" s="6" t="s">
        <v>566</v>
      </c>
      <c r="F167" s="7" t="s">
        <v>15</v>
      </c>
      <c r="G167" s="7" t="s">
        <v>16</v>
      </c>
      <c r="H167" s="8" t="s">
        <v>23</v>
      </c>
    </row>
    <row r="168" spans="1:8" ht="27.6" x14ac:dyDescent="0.3">
      <c r="A168" s="24" t="s">
        <v>567</v>
      </c>
      <c r="B168" s="25" t="s">
        <v>550</v>
      </c>
      <c r="C168" s="26" t="s">
        <v>555</v>
      </c>
      <c r="D168" s="5" t="s">
        <v>568</v>
      </c>
      <c r="E168" s="6" t="s">
        <v>569</v>
      </c>
      <c r="F168" s="7" t="s">
        <v>15</v>
      </c>
      <c r="G168" s="7" t="s">
        <v>28</v>
      </c>
      <c r="H168" s="8" t="s">
        <v>23</v>
      </c>
    </row>
    <row r="169" spans="1:8" ht="27.6" x14ac:dyDescent="0.3">
      <c r="A169" s="24" t="s">
        <v>570</v>
      </c>
      <c r="B169" s="25" t="s">
        <v>550</v>
      </c>
      <c r="C169" s="26" t="s">
        <v>555</v>
      </c>
      <c r="D169" s="5" t="s">
        <v>571</v>
      </c>
      <c r="E169" s="6" t="s">
        <v>572</v>
      </c>
      <c r="F169" s="7" t="s">
        <v>15</v>
      </c>
      <c r="G169" s="7" t="s">
        <v>28</v>
      </c>
      <c r="H169" s="8" t="s">
        <v>23</v>
      </c>
    </row>
    <row r="170" spans="1:8" ht="27.6" x14ac:dyDescent="0.3">
      <c r="A170" s="24" t="s">
        <v>573</v>
      </c>
      <c r="B170" s="25" t="s">
        <v>550</v>
      </c>
      <c r="C170" s="26" t="s">
        <v>555</v>
      </c>
      <c r="D170" s="5" t="s">
        <v>574</v>
      </c>
      <c r="E170" s="6" t="s">
        <v>575</v>
      </c>
      <c r="F170" s="7" t="s">
        <v>15</v>
      </c>
      <c r="G170" s="7" t="s">
        <v>28</v>
      </c>
      <c r="H170" s="8" t="s">
        <v>23</v>
      </c>
    </row>
    <row r="171" spans="1:8" ht="27.6" x14ac:dyDescent="0.3">
      <c r="A171" s="24" t="s">
        <v>576</v>
      </c>
      <c r="B171" s="25" t="s">
        <v>550</v>
      </c>
      <c r="C171" s="26" t="s">
        <v>577</v>
      </c>
      <c r="D171" s="5" t="s">
        <v>578</v>
      </c>
      <c r="E171" s="6" t="s">
        <v>579</v>
      </c>
      <c r="F171" s="7" t="s">
        <v>15</v>
      </c>
      <c r="G171" s="7" t="s">
        <v>28</v>
      </c>
      <c r="H171" s="8" t="s">
        <v>17</v>
      </c>
    </row>
    <row r="172" spans="1:8" ht="27.6" x14ac:dyDescent="0.3">
      <c r="A172" s="24" t="s">
        <v>580</v>
      </c>
      <c r="B172" s="25" t="s">
        <v>550</v>
      </c>
      <c r="C172" s="26" t="s">
        <v>581</v>
      </c>
      <c r="D172" s="5" t="s">
        <v>582</v>
      </c>
      <c r="E172" s="6" t="s">
        <v>583</v>
      </c>
      <c r="F172" s="7" t="s">
        <v>15</v>
      </c>
      <c r="G172" s="7" t="s">
        <v>28</v>
      </c>
      <c r="H172" s="8" t="s">
        <v>23</v>
      </c>
    </row>
    <row r="173" spans="1:8" ht="27.6" x14ac:dyDescent="0.3">
      <c r="A173" s="24" t="s">
        <v>584</v>
      </c>
      <c r="B173" s="25" t="s">
        <v>550</v>
      </c>
      <c r="C173" s="26" t="s">
        <v>66</v>
      </c>
      <c r="D173" s="5" t="s">
        <v>585</v>
      </c>
      <c r="E173" s="6" t="s">
        <v>586</v>
      </c>
      <c r="F173" s="7" t="s">
        <v>15</v>
      </c>
      <c r="G173" s="7" t="s">
        <v>16</v>
      </c>
      <c r="H173" s="8" t="s">
        <v>23</v>
      </c>
    </row>
    <row r="174" spans="1:8" x14ac:dyDescent="0.3">
      <c r="A174" s="27" t="s">
        <v>587</v>
      </c>
      <c r="B174" s="28" t="s">
        <v>588</v>
      </c>
      <c r="C174" s="29" t="s">
        <v>589</v>
      </c>
      <c r="D174" s="5" t="s">
        <v>590</v>
      </c>
      <c r="E174" s="6" t="s">
        <v>591</v>
      </c>
      <c r="F174" s="7" t="s">
        <v>15</v>
      </c>
      <c r="G174" s="7" t="s">
        <v>16</v>
      </c>
      <c r="H174" s="8" t="s">
        <v>17</v>
      </c>
    </row>
    <row r="175" spans="1:8" x14ac:dyDescent="0.3">
      <c r="A175" s="27" t="s">
        <v>592</v>
      </c>
      <c r="B175" s="28" t="s">
        <v>588</v>
      </c>
      <c r="C175" s="29" t="s">
        <v>589</v>
      </c>
      <c r="D175" s="5" t="s">
        <v>593</v>
      </c>
      <c r="E175" s="6" t="s">
        <v>594</v>
      </c>
      <c r="F175" s="7" t="s">
        <v>15</v>
      </c>
      <c r="G175" s="7" t="s">
        <v>16</v>
      </c>
      <c r="H175" s="8" t="s">
        <v>23</v>
      </c>
    </row>
    <row r="176" spans="1:8" x14ac:dyDescent="0.3">
      <c r="A176" s="27" t="s">
        <v>595</v>
      </c>
      <c r="B176" s="28" t="s">
        <v>588</v>
      </c>
      <c r="C176" s="29" t="s">
        <v>589</v>
      </c>
      <c r="D176" s="5" t="s">
        <v>596</v>
      </c>
      <c r="E176" s="6" t="s">
        <v>597</v>
      </c>
      <c r="F176" s="7" t="s">
        <v>15</v>
      </c>
      <c r="G176" s="7" t="s">
        <v>16</v>
      </c>
      <c r="H176" s="8" t="s">
        <v>17</v>
      </c>
    </row>
    <row r="177" spans="1:8" x14ac:dyDescent="0.3">
      <c r="A177" s="27" t="s">
        <v>598</v>
      </c>
      <c r="B177" s="28" t="s">
        <v>588</v>
      </c>
      <c r="C177" s="29" t="s">
        <v>589</v>
      </c>
      <c r="D177" s="5" t="s">
        <v>599</v>
      </c>
      <c r="E177" s="6" t="s">
        <v>600</v>
      </c>
      <c r="F177" s="7" t="s">
        <v>15</v>
      </c>
      <c r="G177" s="7" t="s">
        <v>28</v>
      </c>
      <c r="H177" s="8" t="s">
        <v>17</v>
      </c>
    </row>
    <row r="178" spans="1:8" x14ac:dyDescent="0.3">
      <c r="A178" s="27" t="s">
        <v>601</v>
      </c>
      <c r="B178" s="28" t="s">
        <v>588</v>
      </c>
      <c r="C178" s="29" t="s">
        <v>602</v>
      </c>
      <c r="D178" s="5" t="s">
        <v>603</v>
      </c>
      <c r="E178" s="6" t="s">
        <v>604</v>
      </c>
      <c r="F178" s="7" t="s">
        <v>15</v>
      </c>
      <c r="G178" s="7" t="s">
        <v>16</v>
      </c>
      <c r="H178" s="8" t="s">
        <v>17</v>
      </c>
    </row>
    <row r="179" spans="1:8" x14ac:dyDescent="0.3">
      <c r="A179" s="27" t="s">
        <v>605</v>
      </c>
      <c r="B179" s="28" t="s">
        <v>588</v>
      </c>
      <c r="C179" s="29" t="s">
        <v>602</v>
      </c>
      <c r="D179" s="5" t="s">
        <v>606</v>
      </c>
      <c r="E179" s="6" t="s">
        <v>607</v>
      </c>
      <c r="F179" s="7" t="s">
        <v>15</v>
      </c>
      <c r="G179" s="7" t="s">
        <v>16</v>
      </c>
      <c r="H179" s="8" t="s">
        <v>23</v>
      </c>
    </row>
    <row r="180" spans="1:8" x14ac:dyDescent="0.3">
      <c r="A180" s="27" t="s">
        <v>608</v>
      </c>
      <c r="B180" s="28" t="s">
        <v>588</v>
      </c>
      <c r="C180" s="29" t="s">
        <v>602</v>
      </c>
      <c r="D180" s="5" t="s">
        <v>609</v>
      </c>
      <c r="E180" s="6" t="s">
        <v>610</v>
      </c>
      <c r="F180" s="7" t="s">
        <v>15</v>
      </c>
      <c r="G180" s="7" t="s">
        <v>16</v>
      </c>
      <c r="H180" s="8" t="s">
        <v>23</v>
      </c>
    </row>
    <row r="181" spans="1:8" x14ac:dyDescent="0.3">
      <c r="A181" s="27" t="s">
        <v>611</v>
      </c>
      <c r="B181" s="28" t="s">
        <v>588</v>
      </c>
      <c r="C181" s="29" t="s">
        <v>602</v>
      </c>
      <c r="D181" s="5" t="s">
        <v>612</v>
      </c>
      <c r="E181" s="6" t="s">
        <v>613</v>
      </c>
      <c r="F181" s="7" t="s">
        <v>15</v>
      </c>
      <c r="G181" s="7" t="s">
        <v>16</v>
      </c>
      <c r="H181" s="8" t="s">
        <v>17</v>
      </c>
    </row>
    <row r="182" spans="1:8" x14ac:dyDescent="0.3">
      <c r="A182" s="27" t="s">
        <v>614</v>
      </c>
      <c r="B182" s="28" t="s">
        <v>588</v>
      </c>
      <c r="C182" s="29" t="s">
        <v>615</v>
      </c>
      <c r="D182" s="5" t="s">
        <v>616</v>
      </c>
      <c r="E182" s="6" t="s">
        <v>617</v>
      </c>
      <c r="F182" s="7" t="s">
        <v>15</v>
      </c>
      <c r="G182" s="7" t="s">
        <v>16</v>
      </c>
      <c r="H182" s="8" t="s">
        <v>23</v>
      </c>
    </row>
    <row r="183" spans="1:8" x14ac:dyDescent="0.3">
      <c r="A183" s="27" t="s">
        <v>618</v>
      </c>
      <c r="B183" s="28" t="s">
        <v>588</v>
      </c>
      <c r="C183" s="29" t="s">
        <v>615</v>
      </c>
      <c r="D183" s="5" t="s">
        <v>619</v>
      </c>
      <c r="E183" s="6" t="s">
        <v>620</v>
      </c>
      <c r="F183" s="7" t="s">
        <v>15</v>
      </c>
      <c r="G183" s="7" t="s">
        <v>16</v>
      </c>
      <c r="H183" s="8" t="s">
        <v>23</v>
      </c>
    </row>
    <row r="184" spans="1:8" x14ac:dyDescent="0.3">
      <c r="A184" s="27" t="s">
        <v>621</v>
      </c>
      <c r="B184" s="28" t="s">
        <v>588</v>
      </c>
      <c r="C184" s="29" t="s">
        <v>615</v>
      </c>
      <c r="D184" s="5" t="s">
        <v>622</v>
      </c>
      <c r="E184" s="6" t="s">
        <v>623</v>
      </c>
      <c r="F184" s="7" t="s">
        <v>15</v>
      </c>
      <c r="G184" s="7" t="s">
        <v>16</v>
      </c>
      <c r="H184" s="8" t="s">
        <v>23</v>
      </c>
    </row>
    <row r="185" spans="1:8" x14ac:dyDescent="0.3">
      <c r="A185" s="27" t="s">
        <v>624</v>
      </c>
      <c r="B185" s="28" t="s">
        <v>588</v>
      </c>
      <c r="C185" s="29" t="s">
        <v>615</v>
      </c>
      <c r="D185" s="5" t="s">
        <v>625</v>
      </c>
      <c r="E185" s="6" t="s">
        <v>626</v>
      </c>
      <c r="F185" s="7" t="s">
        <v>15</v>
      </c>
      <c r="G185" s="7" t="s">
        <v>16</v>
      </c>
      <c r="H185" s="8" t="s">
        <v>23</v>
      </c>
    </row>
    <row r="186" spans="1:8" x14ac:dyDescent="0.3">
      <c r="A186" s="27" t="s">
        <v>627</v>
      </c>
      <c r="B186" s="28" t="s">
        <v>588</v>
      </c>
      <c r="C186" s="29" t="s">
        <v>628</v>
      </c>
      <c r="D186" s="5" t="s">
        <v>629</v>
      </c>
      <c r="E186" s="6" t="s">
        <v>630</v>
      </c>
      <c r="F186" s="7" t="s">
        <v>15</v>
      </c>
      <c r="G186" s="7" t="s">
        <v>16</v>
      </c>
      <c r="H186" s="8" t="s">
        <v>23</v>
      </c>
    </row>
    <row r="187" spans="1:8" x14ac:dyDescent="0.3">
      <c r="A187" s="27" t="s">
        <v>631</v>
      </c>
      <c r="B187" s="28" t="s">
        <v>588</v>
      </c>
      <c r="C187" s="29" t="s">
        <v>628</v>
      </c>
      <c r="D187" s="5" t="s">
        <v>632</v>
      </c>
      <c r="E187" s="6" t="s">
        <v>633</v>
      </c>
      <c r="F187" s="7" t="s">
        <v>15</v>
      </c>
      <c r="G187" s="7" t="s">
        <v>16</v>
      </c>
      <c r="H187" s="8" t="s">
        <v>23</v>
      </c>
    </row>
    <row r="188" spans="1:8" x14ac:dyDescent="0.3">
      <c r="A188" s="27" t="s">
        <v>634</v>
      </c>
      <c r="B188" s="28" t="s">
        <v>588</v>
      </c>
      <c r="C188" s="29" t="s">
        <v>628</v>
      </c>
      <c r="D188" s="5" t="s">
        <v>635</v>
      </c>
      <c r="E188" s="6" t="s">
        <v>636</v>
      </c>
      <c r="F188" s="7" t="s">
        <v>15</v>
      </c>
      <c r="G188" s="7" t="s">
        <v>16</v>
      </c>
      <c r="H188" s="8" t="s">
        <v>17</v>
      </c>
    </row>
    <row r="189" spans="1:8" x14ac:dyDescent="0.3">
      <c r="A189" s="27" t="s">
        <v>637</v>
      </c>
      <c r="B189" s="28" t="s">
        <v>588</v>
      </c>
      <c r="C189" s="29" t="s">
        <v>628</v>
      </c>
      <c r="D189" s="5" t="s">
        <v>638</v>
      </c>
      <c r="E189" s="6" t="s">
        <v>639</v>
      </c>
      <c r="F189" s="7" t="s">
        <v>15</v>
      </c>
      <c r="G189" s="7" t="s">
        <v>16</v>
      </c>
      <c r="H189" s="8" t="s">
        <v>17</v>
      </c>
    </row>
    <row r="190" spans="1:8" x14ac:dyDescent="0.3">
      <c r="A190" s="27" t="s">
        <v>640</v>
      </c>
      <c r="B190" s="28" t="s">
        <v>588</v>
      </c>
      <c r="C190" s="29" t="s">
        <v>641</v>
      </c>
      <c r="D190" s="5" t="s">
        <v>642</v>
      </c>
      <c r="E190" s="6" t="s">
        <v>643</v>
      </c>
      <c r="F190" s="7" t="s">
        <v>22</v>
      </c>
      <c r="G190" s="7" t="s">
        <v>16</v>
      </c>
      <c r="H190" s="8" t="s">
        <v>23</v>
      </c>
    </row>
    <row r="191" spans="1:8" x14ac:dyDescent="0.3">
      <c r="A191" s="27" t="s">
        <v>644</v>
      </c>
      <c r="B191" s="28" t="s">
        <v>588</v>
      </c>
      <c r="C191" s="29" t="s">
        <v>641</v>
      </c>
      <c r="D191" s="5" t="s">
        <v>645</v>
      </c>
      <c r="E191" s="6" t="s">
        <v>646</v>
      </c>
      <c r="F191" s="7" t="s">
        <v>15</v>
      </c>
      <c r="G191" s="7" t="s">
        <v>16</v>
      </c>
      <c r="H191" s="8" t="s">
        <v>17</v>
      </c>
    </row>
    <row r="192" spans="1:8" x14ac:dyDescent="0.3">
      <c r="A192" s="27" t="s">
        <v>647</v>
      </c>
      <c r="B192" s="28" t="s">
        <v>588</v>
      </c>
      <c r="C192" s="29" t="s">
        <v>641</v>
      </c>
      <c r="D192" s="5" t="s">
        <v>648</v>
      </c>
      <c r="E192" s="6" t="s">
        <v>649</v>
      </c>
      <c r="F192" s="7" t="s">
        <v>15</v>
      </c>
      <c r="G192" s="7" t="s">
        <v>16</v>
      </c>
      <c r="H192" s="8" t="s">
        <v>17</v>
      </c>
    </row>
    <row r="193" spans="1:8" x14ac:dyDescent="0.3">
      <c r="A193" s="27" t="s">
        <v>650</v>
      </c>
      <c r="B193" s="28" t="s">
        <v>588</v>
      </c>
      <c r="C193" s="29" t="s">
        <v>641</v>
      </c>
      <c r="D193" s="5" t="s">
        <v>651</v>
      </c>
      <c r="E193" s="6" t="s">
        <v>652</v>
      </c>
      <c r="F193" s="7" t="s">
        <v>15</v>
      </c>
      <c r="G193" s="7" t="s">
        <v>16</v>
      </c>
      <c r="H193" s="8" t="s">
        <v>23</v>
      </c>
    </row>
    <row r="194" spans="1:8" ht="27.6" x14ac:dyDescent="0.3">
      <c r="A194" s="27" t="s">
        <v>653</v>
      </c>
      <c r="B194" s="28" t="s">
        <v>588</v>
      </c>
      <c r="C194" s="29" t="s">
        <v>654</v>
      </c>
      <c r="D194" s="5" t="s">
        <v>655</v>
      </c>
      <c r="E194" s="6" t="s">
        <v>656</v>
      </c>
      <c r="F194" s="7" t="s">
        <v>15</v>
      </c>
      <c r="G194" s="7" t="s">
        <v>16</v>
      </c>
      <c r="H194" s="8" t="s">
        <v>17</v>
      </c>
    </row>
    <row r="195" spans="1:8" ht="27.6" x14ac:dyDescent="0.3">
      <c r="A195" s="27" t="s">
        <v>657</v>
      </c>
      <c r="B195" s="28" t="s">
        <v>588</v>
      </c>
      <c r="C195" s="29" t="s">
        <v>654</v>
      </c>
      <c r="D195" s="5" t="s">
        <v>658</v>
      </c>
      <c r="E195" s="6" t="s">
        <v>659</v>
      </c>
      <c r="F195" s="7" t="s">
        <v>15</v>
      </c>
      <c r="G195" s="7" t="s">
        <v>28</v>
      </c>
      <c r="H195" s="8" t="s">
        <v>17</v>
      </c>
    </row>
    <row r="196" spans="1:8" ht="27.6" x14ac:dyDescent="0.3">
      <c r="A196" s="27" t="s">
        <v>660</v>
      </c>
      <c r="B196" s="28" t="s">
        <v>588</v>
      </c>
      <c r="C196" s="29" t="s">
        <v>654</v>
      </c>
      <c r="D196" s="5" t="s">
        <v>661</v>
      </c>
      <c r="E196" s="6" t="s">
        <v>662</v>
      </c>
      <c r="F196" s="7" t="s">
        <v>15</v>
      </c>
      <c r="G196" s="7" t="s">
        <v>28</v>
      </c>
      <c r="H196" s="8" t="s">
        <v>17</v>
      </c>
    </row>
    <row r="197" spans="1:8" ht="27.6" x14ac:dyDescent="0.3">
      <c r="A197" s="27" t="s">
        <v>663</v>
      </c>
      <c r="B197" s="28" t="s">
        <v>588</v>
      </c>
      <c r="C197" s="29" t="s">
        <v>654</v>
      </c>
      <c r="D197" s="5" t="s">
        <v>664</v>
      </c>
      <c r="E197" s="6" t="s">
        <v>665</v>
      </c>
      <c r="F197" s="7" t="s">
        <v>15</v>
      </c>
      <c r="G197" s="7" t="s">
        <v>16</v>
      </c>
      <c r="H197" s="8" t="s">
        <v>23</v>
      </c>
    </row>
    <row r="198" spans="1:8" x14ac:dyDescent="0.3">
      <c r="A198" s="27" t="s">
        <v>666</v>
      </c>
      <c r="B198" s="28" t="s">
        <v>588</v>
      </c>
      <c r="C198" s="29" t="s">
        <v>444</v>
      </c>
      <c r="D198" s="5" t="s">
        <v>667</v>
      </c>
      <c r="E198" s="6" t="s">
        <v>668</v>
      </c>
      <c r="F198" s="7" t="s">
        <v>15</v>
      </c>
      <c r="G198" s="7" t="s">
        <v>16</v>
      </c>
      <c r="H198" s="8" t="s">
        <v>23</v>
      </c>
    </row>
    <row r="199" spans="1:8" x14ac:dyDescent="0.3">
      <c r="A199" s="27" t="s">
        <v>669</v>
      </c>
      <c r="B199" s="28" t="s">
        <v>588</v>
      </c>
      <c r="C199" s="29" t="s">
        <v>444</v>
      </c>
      <c r="D199" s="5" t="s">
        <v>670</v>
      </c>
      <c r="E199" s="6" t="s">
        <v>671</v>
      </c>
      <c r="F199" s="7" t="s">
        <v>15</v>
      </c>
      <c r="G199" s="7" t="s">
        <v>28</v>
      </c>
      <c r="H199" s="8" t="s">
        <v>23</v>
      </c>
    </row>
    <row r="200" spans="1:8" x14ac:dyDescent="0.3">
      <c r="A200" s="27" t="s">
        <v>672</v>
      </c>
      <c r="B200" s="28" t="s">
        <v>588</v>
      </c>
      <c r="C200" s="29" t="s">
        <v>444</v>
      </c>
      <c r="D200" s="5" t="s">
        <v>673</v>
      </c>
      <c r="E200" s="6" t="s">
        <v>674</v>
      </c>
      <c r="F200" s="7" t="s">
        <v>15</v>
      </c>
      <c r="G200" s="7" t="s">
        <v>16</v>
      </c>
      <c r="H200" s="8" t="s">
        <v>23</v>
      </c>
    </row>
    <row r="201" spans="1:8" x14ac:dyDescent="0.3">
      <c r="A201" s="27" t="s">
        <v>675</v>
      </c>
      <c r="B201" s="28" t="s">
        <v>588</v>
      </c>
      <c r="C201" s="29" t="s">
        <v>444</v>
      </c>
      <c r="D201" s="5" t="s">
        <v>676</v>
      </c>
      <c r="E201" s="6" t="s">
        <v>677</v>
      </c>
      <c r="F201" s="7" t="s">
        <v>15</v>
      </c>
      <c r="G201" s="7" t="s">
        <v>107</v>
      </c>
      <c r="H201" s="8" t="s">
        <v>17</v>
      </c>
    </row>
    <row r="202" spans="1:8" x14ac:dyDescent="0.3">
      <c r="A202" s="27" t="s">
        <v>678</v>
      </c>
      <c r="B202" s="28" t="s">
        <v>588</v>
      </c>
      <c r="C202" s="29" t="s">
        <v>679</v>
      </c>
      <c r="D202" s="5" t="s">
        <v>680</v>
      </c>
      <c r="E202" s="6" t="s">
        <v>681</v>
      </c>
      <c r="F202" s="7" t="s">
        <v>15</v>
      </c>
      <c r="G202" s="7" t="s">
        <v>16</v>
      </c>
      <c r="H202" s="8" t="s">
        <v>17</v>
      </c>
    </row>
    <row r="203" spans="1:8" x14ac:dyDescent="0.3">
      <c r="A203" s="27" t="s">
        <v>682</v>
      </c>
      <c r="B203" s="28" t="s">
        <v>588</v>
      </c>
      <c r="C203" s="29" t="s">
        <v>679</v>
      </c>
      <c r="D203" s="5" t="s">
        <v>683</v>
      </c>
      <c r="E203" s="6" t="s">
        <v>684</v>
      </c>
      <c r="F203" s="7" t="s">
        <v>22</v>
      </c>
      <c r="G203" s="7" t="s">
        <v>16</v>
      </c>
      <c r="H203" s="8" t="s">
        <v>17</v>
      </c>
    </row>
    <row r="204" spans="1:8" x14ac:dyDescent="0.3">
      <c r="A204" s="27" t="s">
        <v>685</v>
      </c>
      <c r="B204" s="28" t="s">
        <v>588</v>
      </c>
      <c r="C204" s="29" t="s">
        <v>679</v>
      </c>
      <c r="D204" s="5" t="s">
        <v>686</v>
      </c>
      <c r="E204" s="6" t="s">
        <v>687</v>
      </c>
      <c r="F204" s="7" t="s">
        <v>15</v>
      </c>
      <c r="G204" s="7" t="s">
        <v>28</v>
      </c>
      <c r="H204" s="8" t="s">
        <v>23</v>
      </c>
    </row>
    <row r="205" spans="1:8" x14ac:dyDescent="0.3">
      <c r="A205" s="27" t="s">
        <v>688</v>
      </c>
      <c r="B205" s="28" t="s">
        <v>588</v>
      </c>
      <c r="C205" s="29" t="s">
        <v>679</v>
      </c>
      <c r="D205" s="5" t="s">
        <v>689</v>
      </c>
      <c r="E205" s="6" t="s">
        <v>690</v>
      </c>
      <c r="F205" s="7" t="s">
        <v>15</v>
      </c>
      <c r="G205" s="7" t="s">
        <v>28</v>
      </c>
      <c r="H205" s="8" t="s">
        <v>17</v>
      </c>
    </row>
    <row r="206" spans="1:8" x14ac:dyDescent="0.3">
      <c r="A206" s="27" t="s">
        <v>691</v>
      </c>
      <c r="B206" s="28" t="s">
        <v>588</v>
      </c>
      <c r="C206" s="29" t="s">
        <v>692</v>
      </c>
      <c r="D206" s="5" t="s">
        <v>693</v>
      </c>
      <c r="E206" s="6" t="s">
        <v>694</v>
      </c>
      <c r="F206" s="7" t="s">
        <v>15</v>
      </c>
      <c r="G206" s="7" t="s">
        <v>28</v>
      </c>
      <c r="H206" s="8" t="s">
        <v>23</v>
      </c>
    </row>
    <row r="207" spans="1:8" x14ac:dyDescent="0.3">
      <c r="A207" s="27" t="s">
        <v>695</v>
      </c>
      <c r="B207" s="28" t="s">
        <v>588</v>
      </c>
      <c r="C207" s="29" t="s">
        <v>692</v>
      </c>
      <c r="D207" s="5" t="s">
        <v>696</v>
      </c>
      <c r="E207" s="6" t="s">
        <v>697</v>
      </c>
      <c r="F207" s="7" t="s">
        <v>15</v>
      </c>
      <c r="G207" s="7" t="s">
        <v>16</v>
      </c>
      <c r="H207" s="8" t="s">
        <v>23</v>
      </c>
    </row>
    <row r="208" spans="1:8" x14ac:dyDescent="0.3">
      <c r="A208" s="27" t="s">
        <v>698</v>
      </c>
      <c r="B208" s="28" t="s">
        <v>588</v>
      </c>
      <c r="C208" s="29" t="s">
        <v>692</v>
      </c>
      <c r="D208" s="5" t="s">
        <v>699</v>
      </c>
      <c r="E208" s="6" t="s">
        <v>700</v>
      </c>
      <c r="F208" s="7" t="s">
        <v>15</v>
      </c>
      <c r="G208" s="7" t="s">
        <v>28</v>
      </c>
      <c r="H208" s="8" t="s">
        <v>23</v>
      </c>
    </row>
    <row r="209" spans="1:8" x14ac:dyDescent="0.3">
      <c r="A209" s="27" t="s">
        <v>701</v>
      </c>
      <c r="B209" s="28" t="s">
        <v>588</v>
      </c>
      <c r="C209" s="29" t="s">
        <v>692</v>
      </c>
      <c r="D209" s="5" t="s">
        <v>702</v>
      </c>
      <c r="E209" s="6" t="s">
        <v>703</v>
      </c>
      <c r="F209" s="7" t="s">
        <v>15</v>
      </c>
      <c r="G209" s="7" t="s">
        <v>107</v>
      </c>
      <c r="H209" s="8" t="s">
        <v>23</v>
      </c>
    </row>
    <row r="210" spans="1:8" x14ac:dyDescent="0.3">
      <c r="A210" s="27" t="s">
        <v>704</v>
      </c>
      <c r="B210" s="28" t="s">
        <v>588</v>
      </c>
      <c r="C210" s="29" t="s">
        <v>705</v>
      </c>
      <c r="D210" s="5" t="s">
        <v>706</v>
      </c>
      <c r="E210" s="6" t="s">
        <v>707</v>
      </c>
      <c r="F210" s="7" t="s">
        <v>15</v>
      </c>
      <c r="G210" s="7" t="s">
        <v>16</v>
      </c>
      <c r="H210" s="8" t="s">
        <v>17</v>
      </c>
    </row>
    <row r="211" spans="1:8" x14ac:dyDescent="0.3">
      <c r="A211" s="27" t="s">
        <v>708</v>
      </c>
      <c r="B211" s="28" t="s">
        <v>588</v>
      </c>
      <c r="C211" s="29" t="s">
        <v>705</v>
      </c>
      <c r="D211" s="5" t="s">
        <v>709</v>
      </c>
      <c r="E211" s="6" t="s">
        <v>710</v>
      </c>
      <c r="F211" s="7" t="s">
        <v>15</v>
      </c>
      <c r="G211" s="7" t="s">
        <v>16</v>
      </c>
      <c r="H211" s="8" t="s">
        <v>17</v>
      </c>
    </row>
    <row r="212" spans="1:8" x14ac:dyDescent="0.3">
      <c r="A212" s="27" t="s">
        <v>711</v>
      </c>
      <c r="B212" s="28" t="s">
        <v>588</v>
      </c>
      <c r="C212" s="29" t="s">
        <v>705</v>
      </c>
      <c r="D212" s="5" t="s">
        <v>712</v>
      </c>
      <c r="E212" s="6" t="s">
        <v>713</v>
      </c>
      <c r="F212" s="7" t="s">
        <v>15</v>
      </c>
      <c r="G212" s="7" t="s">
        <v>28</v>
      </c>
      <c r="H212" s="8" t="s">
        <v>17</v>
      </c>
    </row>
    <row r="213" spans="1:8" x14ac:dyDescent="0.3">
      <c r="A213" s="27" t="s">
        <v>714</v>
      </c>
      <c r="B213" s="28" t="s">
        <v>588</v>
      </c>
      <c r="C213" s="29" t="s">
        <v>705</v>
      </c>
      <c r="D213" s="5" t="s">
        <v>715</v>
      </c>
      <c r="E213" s="6" t="s">
        <v>716</v>
      </c>
      <c r="F213" s="7" t="s">
        <v>15</v>
      </c>
      <c r="G213" s="7" t="s">
        <v>16</v>
      </c>
      <c r="H213" s="8" t="s">
        <v>23</v>
      </c>
    </row>
    <row r="214" spans="1:8" x14ac:dyDescent="0.3">
      <c r="A214" s="27" t="s">
        <v>717</v>
      </c>
      <c r="B214" s="28" t="s">
        <v>588</v>
      </c>
      <c r="C214" s="29" t="s">
        <v>718</v>
      </c>
      <c r="D214" s="5" t="s">
        <v>719</v>
      </c>
      <c r="E214" s="6" t="s">
        <v>720</v>
      </c>
      <c r="F214" s="7" t="s">
        <v>15</v>
      </c>
      <c r="G214" s="7" t="s">
        <v>16</v>
      </c>
      <c r="H214" s="8" t="s">
        <v>23</v>
      </c>
    </row>
    <row r="215" spans="1:8" x14ac:dyDescent="0.3">
      <c r="A215" s="27" t="s">
        <v>721</v>
      </c>
      <c r="B215" s="28" t="s">
        <v>588</v>
      </c>
      <c r="C215" s="29" t="s">
        <v>718</v>
      </c>
      <c r="D215" s="5" t="s">
        <v>722</v>
      </c>
      <c r="E215" s="6" t="s">
        <v>723</v>
      </c>
      <c r="F215" s="7" t="s">
        <v>15</v>
      </c>
      <c r="G215" s="7" t="s">
        <v>16</v>
      </c>
      <c r="H215" s="8" t="s">
        <v>23</v>
      </c>
    </row>
    <row r="216" spans="1:8" x14ac:dyDescent="0.3">
      <c r="A216" s="27" t="s">
        <v>724</v>
      </c>
      <c r="B216" s="28" t="s">
        <v>588</v>
      </c>
      <c r="C216" s="29" t="s">
        <v>718</v>
      </c>
      <c r="D216" s="5" t="s">
        <v>725</v>
      </c>
      <c r="E216" s="6" t="s">
        <v>726</v>
      </c>
      <c r="F216" s="7" t="s">
        <v>15</v>
      </c>
      <c r="G216" s="7" t="s">
        <v>16</v>
      </c>
      <c r="H216" s="8" t="s">
        <v>23</v>
      </c>
    </row>
    <row r="217" spans="1:8" x14ac:dyDescent="0.3">
      <c r="A217" s="27" t="s">
        <v>727</v>
      </c>
      <c r="B217" s="28" t="s">
        <v>588</v>
      </c>
      <c r="C217" s="29" t="s">
        <v>728</v>
      </c>
      <c r="D217" s="5" t="s">
        <v>729</v>
      </c>
      <c r="E217" s="6" t="s">
        <v>730</v>
      </c>
      <c r="F217" s="7" t="s">
        <v>15</v>
      </c>
      <c r="G217" s="7" t="s">
        <v>28</v>
      </c>
      <c r="H217" s="8" t="s">
        <v>17</v>
      </c>
    </row>
    <row r="218" spans="1:8" x14ac:dyDescent="0.3">
      <c r="A218" s="27" t="s">
        <v>731</v>
      </c>
      <c r="B218" s="28" t="s">
        <v>588</v>
      </c>
      <c r="C218" s="29" t="s">
        <v>728</v>
      </c>
      <c r="D218" s="5" t="s">
        <v>732</v>
      </c>
      <c r="E218" s="6" t="s">
        <v>733</v>
      </c>
      <c r="F218" s="7" t="s">
        <v>15</v>
      </c>
      <c r="G218" s="7" t="s">
        <v>28</v>
      </c>
      <c r="H218" s="8" t="s">
        <v>23</v>
      </c>
    </row>
    <row r="219" spans="1:8" x14ac:dyDescent="0.3">
      <c r="A219" s="27" t="s">
        <v>734</v>
      </c>
      <c r="B219" s="28" t="s">
        <v>588</v>
      </c>
      <c r="C219" s="29" t="s">
        <v>728</v>
      </c>
      <c r="D219" s="5" t="s">
        <v>735</v>
      </c>
      <c r="E219" s="6" t="s">
        <v>736</v>
      </c>
      <c r="F219" s="7" t="s">
        <v>15</v>
      </c>
      <c r="G219" s="7" t="s">
        <v>28</v>
      </c>
      <c r="H219" s="8" t="s">
        <v>17</v>
      </c>
    </row>
    <row r="220" spans="1:8" ht="27.6" x14ac:dyDescent="0.3">
      <c r="A220" s="27" t="s">
        <v>737</v>
      </c>
      <c r="B220" s="28" t="s">
        <v>588</v>
      </c>
      <c r="C220" s="29" t="s">
        <v>738</v>
      </c>
      <c r="D220" s="5" t="s">
        <v>739</v>
      </c>
      <c r="E220" s="6" t="s">
        <v>740</v>
      </c>
      <c r="F220" s="7" t="s">
        <v>15</v>
      </c>
      <c r="G220" s="7" t="s">
        <v>16</v>
      </c>
      <c r="H220" s="8" t="s">
        <v>23</v>
      </c>
    </row>
    <row r="221" spans="1:8" ht="27.6" x14ac:dyDescent="0.3">
      <c r="A221" s="27" t="s">
        <v>741</v>
      </c>
      <c r="B221" s="28" t="s">
        <v>588</v>
      </c>
      <c r="C221" s="29" t="s">
        <v>738</v>
      </c>
      <c r="D221" s="5" t="s">
        <v>742</v>
      </c>
      <c r="E221" s="6" t="s">
        <v>743</v>
      </c>
      <c r="F221" s="7" t="s">
        <v>15</v>
      </c>
      <c r="G221" s="7" t="s">
        <v>28</v>
      </c>
      <c r="H221" s="8" t="s">
        <v>23</v>
      </c>
    </row>
    <row r="222" spans="1:8" ht="27.6" x14ac:dyDescent="0.3">
      <c r="A222" s="27" t="s">
        <v>744</v>
      </c>
      <c r="B222" s="28" t="s">
        <v>588</v>
      </c>
      <c r="C222" s="29" t="s">
        <v>738</v>
      </c>
      <c r="D222" s="5" t="s">
        <v>745</v>
      </c>
      <c r="E222" s="6" t="s">
        <v>746</v>
      </c>
      <c r="F222" s="7" t="s">
        <v>15</v>
      </c>
      <c r="G222" s="7" t="s">
        <v>28</v>
      </c>
      <c r="H222" s="8" t="s">
        <v>23</v>
      </c>
    </row>
    <row r="223" spans="1:8" x14ac:dyDescent="0.3">
      <c r="A223" s="27" t="s">
        <v>747</v>
      </c>
      <c r="B223" s="28" t="s">
        <v>588</v>
      </c>
      <c r="C223" s="29" t="s">
        <v>748</v>
      </c>
      <c r="D223" s="5" t="s">
        <v>749</v>
      </c>
      <c r="E223" s="6" t="s">
        <v>750</v>
      </c>
      <c r="F223" s="7" t="s">
        <v>15</v>
      </c>
      <c r="G223" s="7" t="s">
        <v>28</v>
      </c>
      <c r="H223" s="8" t="s">
        <v>23</v>
      </c>
    </row>
    <row r="224" spans="1:8" x14ac:dyDescent="0.3">
      <c r="A224" s="27" t="s">
        <v>751</v>
      </c>
      <c r="B224" s="28" t="s">
        <v>588</v>
      </c>
      <c r="C224" s="29" t="s">
        <v>748</v>
      </c>
      <c r="D224" s="5" t="s">
        <v>752</v>
      </c>
      <c r="E224" s="6" t="s">
        <v>753</v>
      </c>
      <c r="F224" s="7" t="s">
        <v>15</v>
      </c>
      <c r="G224" s="7" t="s">
        <v>16</v>
      </c>
      <c r="H224" s="8" t="s">
        <v>23</v>
      </c>
    </row>
    <row r="225" spans="1:8" x14ac:dyDescent="0.3">
      <c r="A225" s="27" t="s">
        <v>754</v>
      </c>
      <c r="B225" s="28" t="s">
        <v>588</v>
      </c>
      <c r="C225" s="29" t="s">
        <v>748</v>
      </c>
      <c r="D225" s="5" t="s">
        <v>755</v>
      </c>
      <c r="E225" s="6" t="s">
        <v>756</v>
      </c>
      <c r="F225" s="7" t="s">
        <v>15</v>
      </c>
      <c r="G225" s="7" t="s">
        <v>16</v>
      </c>
      <c r="H225" s="8" t="s">
        <v>23</v>
      </c>
    </row>
    <row r="226" spans="1:8" ht="27.6" x14ac:dyDescent="0.3">
      <c r="A226" s="27" t="s">
        <v>757</v>
      </c>
      <c r="B226" s="28" t="s">
        <v>588</v>
      </c>
      <c r="C226" s="29" t="s">
        <v>748</v>
      </c>
      <c r="D226" s="5" t="s">
        <v>758</v>
      </c>
      <c r="E226" s="6" t="s">
        <v>759</v>
      </c>
      <c r="F226" s="7" t="s">
        <v>15</v>
      </c>
      <c r="G226" s="7" t="s">
        <v>28</v>
      </c>
      <c r="H226" s="8" t="s">
        <v>23</v>
      </c>
    </row>
    <row r="227" spans="1:8" x14ac:dyDescent="0.3">
      <c r="A227" s="27" t="s">
        <v>760</v>
      </c>
      <c r="B227" s="28" t="s">
        <v>588</v>
      </c>
      <c r="C227" s="29" t="s">
        <v>524</v>
      </c>
      <c r="D227" s="5" t="s">
        <v>761</v>
      </c>
      <c r="E227" s="6" t="s">
        <v>762</v>
      </c>
      <c r="F227" s="7" t="s">
        <v>15</v>
      </c>
      <c r="G227" s="7" t="s">
        <v>16</v>
      </c>
      <c r="H227" s="8" t="s">
        <v>23</v>
      </c>
    </row>
    <row r="228" spans="1:8" x14ac:dyDescent="0.3">
      <c r="A228" s="27" t="s">
        <v>763</v>
      </c>
      <c r="B228" s="28" t="s">
        <v>588</v>
      </c>
      <c r="C228" s="29" t="s">
        <v>524</v>
      </c>
      <c r="D228" s="5" t="s">
        <v>764</v>
      </c>
      <c r="E228" s="6" t="s">
        <v>765</v>
      </c>
      <c r="F228" s="7" t="s">
        <v>15</v>
      </c>
      <c r="G228" s="7" t="s">
        <v>16</v>
      </c>
      <c r="H228" s="8" t="s">
        <v>23</v>
      </c>
    </row>
    <row r="229" spans="1:8" x14ac:dyDescent="0.3">
      <c r="A229" s="27" t="s">
        <v>766</v>
      </c>
      <c r="B229" s="28" t="s">
        <v>588</v>
      </c>
      <c r="C229" s="29" t="s">
        <v>524</v>
      </c>
      <c r="D229" s="5" t="s">
        <v>767</v>
      </c>
      <c r="E229" s="6" t="s">
        <v>768</v>
      </c>
      <c r="F229" s="7" t="s">
        <v>15</v>
      </c>
      <c r="G229" s="7" t="s">
        <v>16</v>
      </c>
      <c r="H229" s="8" t="s">
        <v>23</v>
      </c>
    </row>
    <row r="230" spans="1:8" ht="27.6" x14ac:dyDescent="0.3">
      <c r="A230" s="30" t="s">
        <v>769</v>
      </c>
      <c r="B230" s="31" t="s">
        <v>770</v>
      </c>
      <c r="C230" s="32" t="s">
        <v>771</v>
      </c>
      <c r="D230" s="5" t="s">
        <v>772</v>
      </c>
      <c r="E230" s="6" t="s">
        <v>773</v>
      </c>
      <c r="F230" s="7" t="s">
        <v>15</v>
      </c>
      <c r="G230" s="7" t="s">
        <v>28</v>
      </c>
      <c r="H230" s="8" t="s">
        <v>17</v>
      </c>
    </row>
    <row r="231" spans="1:8" ht="27.6" x14ac:dyDescent="0.3">
      <c r="A231" s="30" t="s">
        <v>774</v>
      </c>
      <c r="B231" s="31" t="s">
        <v>770</v>
      </c>
      <c r="C231" s="32" t="s">
        <v>775</v>
      </c>
      <c r="D231" s="5" t="s">
        <v>776</v>
      </c>
      <c r="E231" s="6" t="s">
        <v>777</v>
      </c>
      <c r="F231" s="7" t="s">
        <v>15</v>
      </c>
      <c r="G231" s="7" t="s">
        <v>16</v>
      </c>
      <c r="H231" s="8" t="s">
        <v>17</v>
      </c>
    </row>
    <row r="232" spans="1:8" ht="27.6" x14ac:dyDescent="0.3">
      <c r="A232" s="30" t="s">
        <v>778</v>
      </c>
      <c r="B232" s="31" t="s">
        <v>770</v>
      </c>
      <c r="C232" s="32" t="s">
        <v>779</v>
      </c>
      <c r="D232" s="5" t="s">
        <v>780</v>
      </c>
      <c r="E232" s="6" t="s">
        <v>781</v>
      </c>
      <c r="F232" s="7" t="s">
        <v>15</v>
      </c>
      <c r="G232" s="7" t="s">
        <v>28</v>
      </c>
      <c r="H232" s="8" t="s">
        <v>23</v>
      </c>
    </row>
  </sheetData>
  <autoFilter ref="A4:H232" xr:uid="{00000000-0009-0000-0000-000000000000}"/>
  <mergeCells count="2">
    <mergeCell ref="A2:H2"/>
    <mergeCell ref="A1:H1"/>
  </mergeCells>
  <conditionalFormatting sqref="F5:F232">
    <cfRule type="cellIs" dxfId="6" priority="1" operator="equal">
      <formula>"Must-Have"</formula>
    </cfRule>
    <cfRule type="cellIs" dxfId="5" priority="2" operator="equal">
      <formula>"Should-Have"</formula>
    </cfRule>
  </conditionalFormatting>
  <conditionalFormatting sqref="G5:G232">
    <cfRule type="cellIs" dxfId="4" priority="3" operator="equal">
      <formula>"High"</formula>
    </cfRule>
    <cfRule type="cellIs" dxfId="3" priority="4" operator="equal">
      <formula>"Medium"</formula>
    </cfRule>
    <cfRule type="cellIs" dxfId="2" priority="5" operator="equal">
      <formula>"Low"</formula>
    </cfRule>
  </conditionalFormatting>
  <conditionalFormatting sqref="H5:H232">
    <cfRule type="cellIs" dxfId="1" priority="6" operator="equal">
      <formula>"Yes"</formula>
    </cfRule>
    <cfRule type="cellIs" dxfId="0" priority="7" operator="equal">
      <formula>"No"</formula>
    </cfRule>
  </conditionalFormatting>
  <dataValidations count="3">
    <dataValidation type="list" sqref="F5:F232" xr:uid="{00000000-0002-0000-0000-000000000000}">
      <formula1>"Must-Have,Should-Have"</formula1>
    </dataValidation>
    <dataValidation type="list" sqref="G5:G232" xr:uid="{00000000-0002-0000-0000-000001000000}">
      <formula1>"High,Medium,Low"</formula1>
    </dataValidation>
    <dataValidation type="list" showErrorMessage="1" errorTitle="Invalid entry" error="Select Yes or No." sqref="H5:H232" xr:uid="{00000000-0002-0000-0000-000002000000}">
      <formula1>"Yes,No"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Completion Summary</vt:lpstr>
      <vt:lpstr>Functional Requirements</vt:lpstr>
      <vt:lpstr>'Functional Requirements'!Print_Titles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Akshit Mahajan (IND)</cp:lastModifiedBy>
  <dcterms:created xsi:type="dcterms:W3CDTF">2026-08-30T16:52:43Z</dcterms:created>
  <dcterms:modified xsi:type="dcterms:W3CDTF">2026-08-30T17:45:27Z</dcterms:modified>
</cp:coreProperties>
</file>