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ctional Requirements" sheetId="1" state="visible" r:id="rId1"/>
    <sheet xmlns:r="http://schemas.openxmlformats.org/officeDocument/2006/relationships" name="Completion Summary" sheetId="2" state="visible" r:id="rId2"/>
  </sheets>
  <definedNames>
    <definedName name="_xlnm._FilterDatabase" localSheetId="0" hidden="1">'Functional Requirements'!$A$4:$H$232</definedName>
    <definedName name="_xlnm.Print_Titles" localSheetId="0">'Functional Requirements'!$4:$4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1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17456F"/>
      <sz val="9"/>
    </font>
    <font>
      <name val="Calibri"/>
      <b val="1"/>
      <color rgb="00FFFFFF"/>
      <sz val="10"/>
    </font>
    <font>
      <name val="Calibri"/>
      <color rgb="001A1A1A"/>
      <sz val="10"/>
    </font>
    <font>
      <name val="Calibri"/>
      <b val="1"/>
      <color rgb="001F6FB2"/>
      <sz val="10"/>
    </font>
    <font>
      <name val="Calibri"/>
      <color rgb="00333333"/>
      <sz val="10"/>
    </font>
    <font>
      <name val="Calibri"/>
      <b val="1"/>
      <color rgb="001A1A1A"/>
      <sz val="10"/>
    </font>
    <font>
      <name val="Calibri"/>
      <b val="1"/>
      <color rgb="002E8B7A"/>
      <sz val="10"/>
    </font>
    <font>
      <name val="Calibri"/>
      <b val="1"/>
      <color rgb="009C5AA8"/>
      <sz val="10"/>
    </font>
    <font>
      <name val="Calibri"/>
      <b val="1"/>
      <color rgb="00C1743C"/>
      <sz val="10"/>
    </font>
    <font>
      <name val="Calibri"/>
      <b val="1"/>
      <color rgb="005A7DA8"/>
      <sz val="10"/>
    </font>
    <font>
      <name val="Calibri"/>
      <b val="1"/>
      <color rgb="003F7F53"/>
      <sz val="10"/>
    </font>
    <font>
      <name val="Calibri"/>
      <b val="1"/>
      <color rgb="008A6D3B"/>
      <sz val="10"/>
    </font>
    <font>
      <name val="Calibri"/>
      <b val="1"/>
      <color rgb="00B03A48"/>
      <sz val="10"/>
    </font>
    <font>
      <name val="Calibri"/>
      <b val="1"/>
      <color rgb="004A6FA5"/>
      <sz val="10"/>
    </font>
    <font>
      <name val="Calibri"/>
      <b val="1"/>
      <color rgb="000B6B33"/>
      <sz val="10"/>
    </font>
    <font>
      <name val="Calibri"/>
      <b val="1"/>
      <color rgb="009C0006"/>
      <sz val="10"/>
    </font>
    <font>
      <name val="Calibri"/>
      <b val="1"/>
      <color rgb="0017456F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14">
    <fill>
      <patternFill/>
    </fill>
    <fill>
      <patternFill patternType="gray125"/>
    </fill>
    <fill>
      <patternFill patternType="solid">
        <fgColor rgb="000B2A4A"/>
      </patternFill>
    </fill>
    <fill>
      <patternFill patternType="solid">
        <fgColor rgb="00E4EEF8"/>
      </patternFill>
    </fill>
    <fill>
      <patternFill patternType="solid">
        <fgColor rgb="00E8F1F9"/>
      </patternFill>
    </fill>
    <fill>
      <patternFill patternType="solid">
        <fgColor rgb="00E7F4F1"/>
      </patternFill>
    </fill>
    <fill>
      <patternFill patternType="solid">
        <fgColor rgb="00F3ECF5"/>
      </patternFill>
    </fill>
    <fill>
      <patternFill patternType="solid">
        <fgColor rgb="00FAF0E7"/>
      </patternFill>
    </fill>
    <fill>
      <patternFill patternType="solid">
        <fgColor rgb="00ECF1F7"/>
      </patternFill>
    </fill>
    <fill>
      <patternFill patternType="solid">
        <fgColor rgb="00EAF3ED"/>
      </patternFill>
    </fill>
    <fill>
      <patternFill patternType="solid">
        <fgColor rgb="00F5F1E8"/>
      </patternFill>
    </fill>
    <fill>
      <patternFill patternType="solid">
        <fgColor rgb="00F9ECEE"/>
      </patternFill>
    </fill>
    <fill>
      <patternFill patternType="solid">
        <fgColor rgb="00EDF1F7"/>
      </patternFill>
    </fill>
    <fill>
      <patternFill patternType="solid">
        <fgColor rgb="0017456F"/>
      </patternFill>
    </fill>
  </fills>
  <borders count="2">
    <border>
      <left/>
      <right/>
      <top/>
      <bottom/>
      <diagonal/>
    </border>
    <border>
      <left style="thin">
        <color rgb="00D6DCE4"/>
      </left>
      <right style="thin">
        <color rgb="00D6DCE4"/>
      </right>
      <top style="thin">
        <color rgb="00D6DCE4"/>
      </top>
      <bottom style="thin">
        <color rgb="00D6DCE4"/>
      </bottom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/>
    </xf>
    <xf numFmtId="0" fontId="5" fillId="4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/>
    </xf>
    <xf numFmtId="0" fontId="8" fillId="5" borderId="1" applyAlignment="1" pivotButton="0" quotePrefix="0" xfId="0">
      <alignment horizontal="center" vertical="top"/>
    </xf>
    <xf numFmtId="0" fontId="8" fillId="5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left" vertical="top" wrapText="1"/>
    </xf>
    <xf numFmtId="0" fontId="9" fillId="6" borderId="1" applyAlignment="1" pivotButton="0" quotePrefix="0" xfId="0">
      <alignment horizontal="center" vertical="top"/>
    </xf>
    <xf numFmtId="0" fontId="9" fillId="6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left" vertical="top" wrapText="1"/>
    </xf>
    <xf numFmtId="0" fontId="10" fillId="7" borderId="1" applyAlignment="1" pivotButton="0" quotePrefix="0" xfId="0">
      <alignment horizontal="center" vertical="top"/>
    </xf>
    <xf numFmtId="0" fontId="10" fillId="7" borderId="1" applyAlignment="1" pivotButton="0" quotePrefix="0" xfId="0">
      <alignment horizontal="left" vertical="top" wrapText="1"/>
    </xf>
    <xf numFmtId="0" fontId="6" fillId="7" borderId="1" applyAlignment="1" pivotButton="0" quotePrefix="0" xfId="0">
      <alignment horizontal="left" vertical="top" wrapText="1"/>
    </xf>
    <xf numFmtId="0" fontId="11" fillId="8" borderId="1" applyAlignment="1" pivotButton="0" quotePrefix="0" xfId="0">
      <alignment horizontal="center" vertical="top"/>
    </xf>
    <xf numFmtId="0" fontId="11" fillId="8" borderId="1" applyAlignment="1" pivotButton="0" quotePrefix="0" xfId="0">
      <alignment horizontal="left" vertical="top" wrapText="1"/>
    </xf>
    <xf numFmtId="0" fontId="6" fillId="8" borderId="1" applyAlignment="1" pivotButton="0" quotePrefix="0" xfId="0">
      <alignment horizontal="left" vertical="top" wrapText="1"/>
    </xf>
    <xf numFmtId="0" fontId="12" fillId="9" borderId="1" applyAlignment="1" pivotButton="0" quotePrefix="0" xfId="0">
      <alignment horizontal="center" vertical="top"/>
    </xf>
    <xf numFmtId="0" fontId="12" fillId="9" borderId="1" applyAlignment="1" pivotButton="0" quotePrefix="0" xfId="0">
      <alignment horizontal="left" vertical="top" wrapText="1"/>
    </xf>
    <xf numFmtId="0" fontId="6" fillId="9" borderId="1" applyAlignment="1" pivotButton="0" quotePrefix="0" xfId="0">
      <alignment horizontal="left" vertical="top" wrapText="1"/>
    </xf>
    <xf numFmtId="0" fontId="13" fillId="10" borderId="1" applyAlignment="1" pivotButton="0" quotePrefix="0" xfId="0">
      <alignment horizontal="center" vertical="top"/>
    </xf>
    <xf numFmtId="0" fontId="13" fillId="10" borderId="1" applyAlignment="1" pivotButton="0" quotePrefix="0" xfId="0">
      <alignment horizontal="left" vertical="top" wrapText="1"/>
    </xf>
    <xf numFmtId="0" fontId="6" fillId="10" borderId="1" applyAlignment="1" pivotButton="0" quotePrefix="0" xfId="0">
      <alignment horizontal="left" vertical="top" wrapText="1"/>
    </xf>
    <xf numFmtId="0" fontId="14" fillId="11" borderId="1" applyAlignment="1" pivotButton="0" quotePrefix="0" xfId="0">
      <alignment horizontal="center" vertical="top"/>
    </xf>
    <xf numFmtId="0" fontId="14" fillId="11" borderId="1" applyAlignment="1" pivotButton="0" quotePrefix="0" xfId="0">
      <alignment horizontal="left" vertical="top" wrapText="1"/>
    </xf>
    <xf numFmtId="0" fontId="6" fillId="11" borderId="1" applyAlignment="1" pivotButton="0" quotePrefix="0" xfId="0">
      <alignment horizontal="left" vertical="top" wrapText="1"/>
    </xf>
    <xf numFmtId="0" fontId="15" fillId="12" borderId="1" applyAlignment="1" pivotButton="0" quotePrefix="0" xfId="0">
      <alignment horizontal="center" vertical="top"/>
    </xf>
    <xf numFmtId="0" fontId="15" fillId="12" borderId="1" applyAlignment="1" pivotButton="0" quotePrefix="0" xfId="0">
      <alignment horizontal="left" vertical="top" wrapText="1"/>
    </xf>
    <xf numFmtId="0" fontId="6" fillId="12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indent="1"/>
    </xf>
    <xf numFmtId="0" fontId="4" fillId="0" borderId="1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/>
    </xf>
    <xf numFmtId="0" fontId="17" fillId="0" borderId="1" applyAlignment="1" pivotButton="0" quotePrefix="0" xfId="0">
      <alignment horizontal="center" vertical="center"/>
    </xf>
    <xf numFmtId="164" fontId="18" fillId="0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 indent="1"/>
    </xf>
    <xf numFmtId="0" fontId="9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left" vertical="center" indent="1"/>
    </xf>
    <xf numFmtId="0" fontId="10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 indent="1"/>
    </xf>
    <xf numFmtId="0" fontId="11" fillId="8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left" vertical="center" indent="1"/>
    </xf>
    <xf numFmtId="0" fontId="12" fillId="9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left" vertical="center" indent="1"/>
    </xf>
    <xf numFmtId="0" fontId="13" fillId="10" borderId="1" applyAlignment="1" pivotButton="0" quotePrefix="0" xfId="0">
      <alignment horizontal="center" vertical="center"/>
    </xf>
    <xf numFmtId="0" fontId="13" fillId="10" borderId="1" applyAlignment="1" pivotButton="0" quotePrefix="0" xfId="0">
      <alignment horizontal="left" vertical="center" indent="1"/>
    </xf>
    <xf numFmtId="0" fontId="14" fillId="11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left" vertical="center" indent="1"/>
    </xf>
    <xf numFmtId="0" fontId="15" fillId="12" borderId="1" applyAlignment="1" pivotButton="0" quotePrefix="0" xfId="0">
      <alignment horizontal="center" vertical="center"/>
    </xf>
    <xf numFmtId="0" fontId="15" fillId="12" borderId="1" applyAlignment="1" pivotButton="0" quotePrefix="0" xfId="0">
      <alignment horizontal="left" vertical="center" indent="1"/>
    </xf>
    <xf numFmtId="0" fontId="19" fillId="13" borderId="1" applyAlignment="1" pivotButton="0" quotePrefix="0" xfId="0">
      <alignment horizontal="center" vertical="center"/>
    </xf>
    <xf numFmtId="0" fontId="19" fillId="13" borderId="1" applyAlignment="1" pivotButton="0" quotePrefix="0" xfId="0">
      <alignment horizontal="left" vertical="center" indent="1"/>
    </xf>
    <xf numFmtId="164" fontId="19" fillId="13" borderId="1" applyAlignment="1" pivotButton="0" quotePrefix="0" xfId="0">
      <alignment horizontal="center" vertical="center"/>
    </xf>
    <xf numFmtId="0" fontId="20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dxfs count="7">
    <dxf>
      <font>
        <name val="Calibri"/>
        <b val="1"/>
        <color rgb="009C0006"/>
        <sz val="10"/>
      </font>
      <fill>
        <patternFill patternType="solid">
          <bgColor rgb="00FFE3E3"/>
        </patternFill>
      </fill>
    </dxf>
    <dxf>
      <font>
        <name val="Calibri"/>
        <color rgb="008A6D00"/>
        <sz val="10"/>
      </font>
      <fill>
        <patternFill patternType="solid">
          <bgColor rgb="00FFF6DC"/>
        </patternFill>
      </fill>
    </dxf>
    <dxf>
      <font>
        <name val="Calibri"/>
        <b val="1"/>
        <color rgb="00A33A00"/>
        <sz val="10"/>
      </font>
      <fill>
        <patternFill patternType="solid">
          <bgColor rgb="00FFEADD"/>
        </patternFill>
      </fill>
    </dxf>
    <dxf>
      <font>
        <name val="Calibri"/>
        <color rgb="006B5A00"/>
        <sz val="10"/>
      </font>
      <fill>
        <patternFill patternType="solid">
          <bgColor rgb="00FFF9E0"/>
        </patternFill>
      </fill>
    </dxf>
    <dxf>
      <font>
        <name val="Calibri"/>
        <color rgb="002E6B3E"/>
        <sz val="10"/>
      </font>
      <fill>
        <patternFill patternType="solid">
          <bgColor rgb="00E8F5EC"/>
        </patternFill>
      </fill>
    </dxf>
    <dxf>
      <font>
        <name val="Calibri"/>
        <b val="1"/>
        <color rgb="000B6B33"/>
        <sz val="10"/>
      </font>
      <fill>
        <patternFill patternType="solid">
          <bgColor rgb="00C6EFCE"/>
        </patternFill>
      </fill>
    </dxf>
    <dxf>
      <font>
        <name val="Calibri"/>
        <b val="1"/>
        <color rgb="009C0006"/>
        <sz val="10"/>
      </font>
      <fill>
        <patternFill patternType="solid"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Completion % by Solution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'Completion Summary'!F4</f>
            </strRef>
          </tx>
          <spPr>
            <a:ln xmlns:a="http://schemas.openxmlformats.org/drawingml/2006/main">
              <a:prstDash val="solid"/>
            </a:ln>
          </spPr>
          <cat>
            <numRef>
              <f>'Completion Summary'!$B$5:$B$13</f>
            </numRef>
          </cat>
          <val>
            <numRef>
              <f>'Completion Summary'!$F$5:$F$13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16</row>
      <rowOff>0</rowOff>
    </from>
    <ext cx="6840000" cy="34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F6FB2"/>
    <outlinePr summaryBelow="1" summaryRight="1"/>
    <pageSetUpPr fitToPage="1"/>
  </sheetPr>
  <dimension ref="A1:H232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30" customWidth="1" min="2" max="2"/>
    <col width="30" customWidth="1" min="3" max="3"/>
    <col width="44" customWidth="1" min="4" max="4"/>
    <col width="82" customWidth="1" min="5" max="5"/>
    <col width="14" customWidth="1" min="6" max="6"/>
    <col width="13" customWidth="1" min="7" max="7"/>
    <col width="14" customWidth="1" min="8" max="8"/>
  </cols>
  <sheetData>
    <row r="1" ht="30" customHeight="1">
      <c r="A1" s="1" t="inlineStr">
        <is>
          <t>FUNCTIONAL REQUIREMENTS - MASTER TRACEABILITY MATRIX</t>
        </is>
      </c>
    </row>
    <row r="2" ht="18" customHeight="1">
      <c r="A2" s="2" t="inlineStr">
        <is>
          <t>Source: RFI - AI Powered Audit Intelligence System v1.2, Section 3.1 Scope of Work. 228 requirements across the 9 in-scope solutions. Priority, Complexity and Completion are drop-downs. Filter or sort on any column.</t>
        </is>
      </c>
    </row>
    <row r="4" ht="34" customHeight="1">
      <c r="A4" s="3" t="inlineStr">
        <is>
          <t>Req ID</t>
        </is>
      </c>
      <c r="B4" s="3" t="inlineStr">
        <is>
          <t>Module / Solution</t>
        </is>
      </c>
      <c r="C4" s="3" t="inlineStr">
        <is>
          <t>Sub-Module / Category</t>
        </is>
      </c>
      <c r="D4" s="3" t="inlineStr">
        <is>
          <t>Requirement</t>
        </is>
      </c>
      <c r="E4" s="3" t="inlineStr">
        <is>
          <t>Detailed Description</t>
        </is>
      </c>
      <c r="F4" s="3" t="inlineStr">
        <is>
          <t>Priority</t>
        </is>
      </c>
      <c r="G4" s="3" t="inlineStr">
        <is>
          <t>Complexity</t>
        </is>
      </c>
      <c r="H4" s="3" t="inlineStr">
        <is>
          <t>Completion</t>
        </is>
      </c>
    </row>
    <row r="5">
      <c r="A5" s="4" t="inlineStr">
        <is>
          <t>CCM-001</t>
        </is>
      </c>
      <c r="B5" s="5" t="inlineStr">
        <is>
          <t>Continuous Control Monitoring (CCM)</t>
        </is>
      </c>
      <c r="C5" s="6" t="inlineStr">
        <is>
          <t>Control Evaluation</t>
        </is>
      </c>
      <c r="D5" s="7" t="inlineStr">
        <is>
          <t>Automated and Continuous Control Evaluation</t>
        </is>
      </c>
      <c r="E5" s="8" t="inlineStr">
        <is>
          <t>The solution must be capable of performing automated, periodic, and continuous evaluation of key controls, ensuring timely identification of control deficiencies.</t>
        </is>
      </c>
      <c r="F5" s="9" t="inlineStr">
        <is>
          <t>Must-Have</t>
        </is>
      </c>
      <c r="G5" s="9" t="inlineStr">
        <is>
          <t>High</t>
        </is>
      </c>
      <c r="H5" s="10" t="inlineStr">
        <is>
          <t>Yes</t>
        </is>
      </c>
    </row>
    <row r="6">
      <c r="A6" s="4" t="inlineStr">
        <is>
          <t>CCM-002</t>
        </is>
      </c>
      <c r="B6" s="5" t="inlineStr">
        <is>
          <t>Continuous Control Monitoring (CCM)</t>
        </is>
      </c>
      <c r="C6" s="6" t="inlineStr">
        <is>
          <t>Data Ingestion</t>
        </is>
      </c>
      <c r="D6" s="7" t="inlineStr">
        <is>
          <t>Real-Time and Flexible Data Ingestion</t>
        </is>
      </c>
      <c r="E6" s="8" t="inlineStr">
        <is>
          <t>The system should support near real-time ingestion of data from the Data Warehouse or source systems, including API-based, modular ingestion mechanisms and other integration methods.</t>
        </is>
      </c>
      <c r="F6" s="9" t="inlineStr">
        <is>
          <t>Should-Have</t>
        </is>
      </c>
      <c r="G6" s="9" t="inlineStr">
        <is>
          <t>High</t>
        </is>
      </c>
      <c r="H6" s="10" t="inlineStr">
        <is>
          <t>No</t>
        </is>
      </c>
    </row>
    <row r="7">
      <c r="A7" s="4" t="inlineStr">
        <is>
          <t>CCM-003</t>
        </is>
      </c>
      <c r="B7" s="5" t="inlineStr">
        <is>
          <t>Continuous Control Monitoring (CCM)</t>
        </is>
      </c>
      <c r="C7" s="6" t="inlineStr">
        <is>
          <t>Exception Management</t>
        </is>
      </c>
      <c r="D7" s="7" t="inlineStr">
        <is>
          <t>Exception Management and Risk Analytics</t>
        </is>
      </c>
      <c r="E7" s="8" t="inlineStr">
        <is>
          <t>The platform must provide exception flagging, automated alerting, risk scoring, and trend analysis to enable proactive monitoring and timely intervention.</t>
        </is>
      </c>
      <c r="F7" s="9" t="inlineStr">
        <is>
          <t>Must-Have</t>
        </is>
      </c>
      <c r="G7" s="9" t="inlineStr">
        <is>
          <t>Medium</t>
        </is>
      </c>
      <c r="H7" s="10" t="inlineStr">
        <is>
          <t>Yes</t>
        </is>
      </c>
    </row>
    <row r="8">
      <c r="A8" s="4" t="inlineStr">
        <is>
          <t>CCM-004</t>
        </is>
      </c>
      <c r="B8" s="5" t="inlineStr">
        <is>
          <t>Continuous Control Monitoring (CCM)</t>
        </is>
      </c>
      <c r="C8" s="6" t="inlineStr">
        <is>
          <t>Rules Engine</t>
        </is>
      </c>
      <c r="D8" s="7" t="inlineStr">
        <is>
          <t>Configurable Rules and Thresholds</t>
        </is>
      </c>
      <c r="E8" s="8" t="inlineStr">
        <is>
          <t>Users must be able to configure rules, thresholds, control logic, and risk indicators through a no-code or low-code interface.</t>
        </is>
      </c>
      <c r="F8" s="9" t="inlineStr">
        <is>
          <t>Must-Have</t>
        </is>
      </c>
      <c r="G8" s="9" t="inlineStr">
        <is>
          <t>High</t>
        </is>
      </c>
      <c r="H8" s="10" t="inlineStr">
        <is>
          <t>Yes</t>
        </is>
      </c>
    </row>
    <row r="9">
      <c r="A9" s="4" t="inlineStr">
        <is>
          <t>CCM-005</t>
        </is>
      </c>
      <c r="B9" s="5" t="inlineStr">
        <is>
          <t>Continuous Control Monitoring (CCM)</t>
        </is>
      </c>
      <c r="C9" s="6" t="inlineStr">
        <is>
          <t>Alerting</t>
        </is>
      </c>
      <c r="D9" s="7" t="inlineStr">
        <is>
          <t>Automated Alerting for Control Breaches</t>
        </is>
      </c>
      <c r="E9" s="8" t="inlineStr">
        <is>
          <t>The workflow must automatically trigger alerts for threshold breaches, anomalous behaviour, and non-compliance with defined controls.</t>
        </is>
      </c>
      <c r="F9" s="9" t="inlineStr">
        <is>
          <t>Must-Have</t>
        </is>
      </c>
      <c r="G9" s="9" t="inlineStr">
        <is>
          <t>Medium</t>
        </is>
      </c>
      <c r="H9" s="10" t="inlineStr">
        <is>
          <t>Yes</t>
        </is>
      </c>
    </row>
    <row r="10">
      <c r="A10" s="4" t="inlineStr">
        <is>
          <t>CCM-006</t>
        </is>
      </c>
      <c r="B10" s="5" t="inlineStr">
        <is>
          <t>Continuous Control Monitoring (CCM)</t>
        </is>
      </c>
      <c r="C10" s="6" t="inlineStr">
        <is>
          <t>Workflow</t>
        </is>
      </c>
      <c r="D10" s="7" t="inlineStr">
        <is>
          <t>Workflow-Driven Analytics and Remediation</t>
        </is>
      </c>
      <c r="E10" s="8" t="inlineStr">
        <is>
          <t>The system should offer workflows that enable correlation analysis, root-cause identification, assignment to auditees for action, and end-to-end remediation tracking.</t>
        </is>
      </c>
      <c r="F10" s="9" t="inlineStr">
        <is>
          <t>Should-Have</t>
        </is>
      </c>
      <c r="G10" s="9" t="inlineStr">
        <is>
          <t>High</t>
        </is>
      </c>
      <c r="H10" s="10" t="inlineStr">
        <is>
          <t>No</t>
        </is>
      </c>
    </row>
    <row r="11">
      <c r="A11" s="4" t="inlineStr">
        <is>
          <t>CCM-007</t>
        </is>
      </c>
      <c r="B11" s="5" t="inlineStr">
        <is>
          <t>Continuous Control Monitoring (CCM)</t>
        </is>
      </c>
      <c r="C11" s="6" t="inlineStr">
        <is>
          <t>Orchestration</t>
        </is>
      </c>
      <c r="D11" s="7" t="inlineStr">
        <is>
          <t>Automated Response and Orchestration</t>
        </is>
      </c>
      <c r="E11" s="8" t="inlineStr">
        <is>
          <t>The solution must support automated response actions and orchestration hooks that can initiate remediation workflows or downstream processes.</t>
        </is>
      </c>
      <c r="F11" s="9" t="inlineStr">
        <is>
          <t>Must-Have</t>
        </is>
      </c>
      <c r="G11" s="9" t="inlineStr">
        <is>
          <t>High</t>
        </is>
      </c>
      <c r="H11" s="10" t="inlineStr">
        <is>
          <t>No</t>
        </is>
      </c>
    </row>
    <row r="12">
      <c r="A12" s="4" t="inlineStr">
        <is>
          <t>CCM-008</t>
        </is>
      </c>
      <c r="B12" s="5" t="inlineStr">
        <is>
          <t>Continuous Control Monitoring (CCM)</t>
        </is>
      </c>
      <c r="C12" s="6" t="inlineStr">
        <is>
          <t>Monitoring</t>
        </is>
      </c>
      <c r="D12" s="7" t="inlineStr">
        <is>
          <t>Advanced Monitoring and Anomaly Detection</t>
        </is>
      </c>
      <c r="E12" s="8" t="inlineStr">
        <is>
          <t>The system must provide automated alerting, correlation, anomaly detection, and intelligence-aligned monitoring capabilities for enhanced risk visibility.</t>
        </is>
      </c>
      <c r="F12" s="9" t="inlineStr">
        <is>
          <t>Must-Have</t>
        </is>
      </c>
      <c r="G12" s="9" t="inlineStr">
        <is>
          <t>High</t>
        </is>
      </c>
      <c r="H12" s="10" t="inlineStr">
        <is>
          <t>Yes</t>
        </is>
      </c>
    </row>
    <row r="13">
      <c r="A13" s="4" t="inlineStr">
        <is>
          <t>CCM-009</t>
        </is>
      </c>
      <c r="B13" s="5" t="inlineStr">
        <is>
          <t>Continuous Control Monitoring (CCM)</t>
        </is>
      </c>
      <c r="C13" s="6" t="inlineStr">
        <is>
          <t>Drift Detection</t>
        </is>
      </c>
      <c r="D13" s="7" t="inlineStr">
        <is>
          <t>Change and Configuration Drift Detection</t>
        </is>
      </c>
      <c r="E13" s="8" t="inlineStr">
        <is>
          <t>The platform should detect unauthorised changes, baseline deviations, and control drift automatically.</t>
        </is>
      </c>
      <c r="F13" s="9" t="inlineStr">
        <is>
          <t>Should-Have</t>
        </is>
      </c>
      <c r="G13" s="9" t="inlineStr">
        <is>
          <t>High</t>
        </is>
      </c>
      <c r="H13" s="10" t="inlineStr">
        <is>
          <t>No</t>
        </is>
      </c>
    </row>
    <row r="14">
      <c r="A14" s="4" t="inlineStr">
        <is>
          <t>CCM-010</t>
        </is>
      </c>
      <c r="B14" s="5" t="inlineStr">
        <is>
          <t>Continuous Control Monitoring (CCM)</t>
        </is>
      </c>
      <c r="C14" s="6" t="inlineStr">
        <is>
          <t>Dashboards</t>
        </is>
      </c>
      <c r="D14" s="7" t="inlineStr">
        <is>
          <t>Real-Time Dashboards and Visualisation</t>
        </is>
      </c>
      <c r="E14" s="8" t="inlineStr">
        <is>
          <t>The system must generate real-time dashboards for continuous visibility into control performance, risk indicators, and remediation status.</t>
        </is>
      </c>
      <c r="F14" s="9" t="inlineStr">
        <is>
          <t>Must-Have</t>
        </is>
      </c>
      <c r="G14" s="9" t="inlineStr">
        <is>
          <t>Medium</t>
        </is>
      </c>
      <c r="H14" s="10" t="inlineStr">
        <is>
          <t>Yes</t>
        </is>
      </c>
    </row>
    <row r="15">
      <c r="A15" s="4" t="inlineStr">
        <is>
          <t>CCM-011</t>
        </is>
      </c>
      <c r="B15" s="5" t="inlineStr">
        <is>
          <t>Continuous Control Monitoring (CCM)</t>
        </is>
      </c>
      <c r="C15" s="6" t="inlineStr">
        <is>
          <t>Architecture</t>
        </is>
      </c>
      <c r="D15" s="7" t="inlineStr">
        <is>
          <t>API-Driven, Modular Architecture</t>
        </is>
      </c>
      <c r="E15" s="8" t="inlineStr">
        <is>
          <t>The platform should follow an API-driven, modular, microservices-friendly architecture, enabling seamless ingestion and export of monitoring data, audit logs, and continuous assessment results.</t>
        </is>
      </c>
      <c r="F15" s="9" t="inlineStr">
        <is>
          <t>Should-Have</t>
        </is>
      </c>
      <c r="G15" s="9" t="inlineStr">
        <is>
          <t>High</t>
        </is>
      </c>
      <c r="H15" s="10" t="inlineStr">
        <is>
          <t>Yes</t>
        </is>
      </c>
    </row>
    <row r="16">
      <c r="A16" s="4" t="inlineStr">
        <is>
          <t>CCM-012</t>
        </is>
      </c>
      <c r="B16" s="5" t="inlineStr">
        <is>
          <t>Continuous Control Monitoring (CCM)</t>
        </is>
      </c>
      <c r="C16" s="6" t="inlineStr">
        <is>
          <t>Evidence</t>
        </is>
      </c>
      <c r="D16" s="7" t="inlineStr">
        <is>
          <t>Regulatory Evidence Generation</t>
        </is>
      </c>
      <c r="E16" s="8" t="inlineStr">
        <is>
          <t>The system should support automated evidence generation aligned with regulatory expectations for continuous monitoring.</t>
        </is>
      </c>
      <c r="F16" s="9" t="inlineStr">
        <is>
          <t>Should-Have</t>
        </is>
      </c>
      <c r="G16" s="9" t="inlineStr">
        <is>
          <t>Medium</t>
        </is>
      </c>
      <c r="H16" s="10" t="inlineStr">
        <is>
          <t>Yes</t>
        </is>
      </c>
    </row>
    <row r="17">
      <c r="A17" s="4" t="inlineStr">
        <is>
          <t>CCM-013</t>
        </is>
      </c>
      <c r="B17" s="5" t="inlineStr">
        <is>
          <t>Continuous Control Monitoring (CCM)</t>
        </is>
      </c>
      <c r="C17" s="6" t="inlineStr">
        <is>
          <t>Integration</t>
        </is>
      </c>
      <c r="D17" s="7" t="inlineStr">
        <is>
          <t>Integration with Audit Management Application</t>
        </is>
      </c>
      <c r="E17" s="8" t="inlineStr">
        <is>
          <t>The CCM solution must integrate with the Audit Management Application to generate CCM Audit Reports for presentation to the Audit Committee Board (ACB).</t>
        </is>
      </c>
      <c r="F17" s="9" t="inlineStr">
        <is>
          <t>Must-Have</t>
        </is>
      </c>
      <c r="G17" s="9" t="inlineStr">
        <is>
          <t>Medium</t>
        </is>
      </c>
      <c r="H17" s="10" t="inlineStr">
        <is>
          <t>No</t>
        </is>
      </c>
    </row>
    <row r="18">
      <c r="A18" s="4" t="inlineStr">
        <is>
          <t>CCM-014</t>
        </is>
      </c>
      <c r="B18" s="5" t="inlineStr">
        <is>
          <t>Continuous Control Monitoring (CCM)</t>
        </is>
      </c>
      <c r="C18" s="6" t="inlineStr">
        <is>
          <t>Reporting</t>
        </is>
      </c>
      <c r="D18" s="7" t="inlineStr">
        <is>
          <t>Customisable Reporting</t>
        </is>
      </c>
      <c r="E18" s="8" t="inlineStr">
        <is>
          <t>The application must support customisation of reports to meet audit, risk, regulatory, and management requirements.</t>
        </is>
      </c>
      <c r="F18" s="9" t="inlineStr">
        <is>
          <t>Must-Have</t>
        </is>
      </c>
      <c r="G18" s="9" t="inlineStr">
        <is>
          <t>Medium</t>
        </is>
      </c>
      <c r="H18" s="10" t="inlineStr">
        <is>
          <t>No</t>
        </is>
      </c>
    </row>
    <row r="19">
      <c r="A19" s="11" t="inlineStr">
        <is>
          <t>PAC-001</t>
        </is>
      </c>
      <c r="B19" s="12" t="inlineStr">
        <is>
          <t>Pre-Audit Checks Automation</t>
        </is>
      </c>
      <c r="C19" s="13" t="inlineStr">
        <is>
          <t>Data Ingestion &amp; Connectivity</t>
        </is>
      </c>
      <c r="D19" s="7" t="inlineStr">
        <is>
          <t>Multi-System Secure Data Ingestion</t>
        </is>
      </c>
      <c r="E19" s="8" t="inlineStr">
        <is>
          <t>The solution must support secure ingestion of data from multiple internal systems (Core Banking, LMS, GL, CBS extracts, HRMS, LOS, CRM, etc.).</t>
        </is>
      </c>
      <c r="F19" s="9" t="inlineStr">
        <is>
          <t>Must-Have</t>
        </is>
      </c>
      <c r="G19" s="9" t="inlineStr">
        <is>
          <t>High</t>
        </is>
      </c>
      <c r="H19" s="10" t="inlineStr">
        <is>
          <t>No</t>
        </is>
      </c>
    </row>
    <row r="20">
      <c r="A20" s="11" t="inlineStr">
        <is>
          <t>PAC-002</t>
        </is>
      </c>
      <c r="B20" s="12" t="inlineStr">
        <is>
          <t>Pre-Audit Checks Automation</t>
        </is>
      </c>
      <c r="C20" s="13" t="inlineStr">
        <is>
          <t>Data Ingestion &amp; Connectivity</t>
        </is>
      </c>
      <c r="D20" s="7" t="inlineStr">
        <is>
          <t>Scheduled and On-Demand Data Pulls</t>
        </is>
      </c>
      <c r="E20" s="8" t="inlineStr">
        <is>
          <t>The solution must support scheduled and on-demand data pulls based on configurable frequency.</t>
        </is>
      </c>
      <c r="F20" s="9" t="inlineStr">
        <is>
          <t>Must-Have</t>
        </is>
      </c>
      <c r="G20" s="9" t="inlineStr">
        <is>
          <t>Medium</t>
        </is>
      </c>
      <c r="H20" s="10" t="inlineStr">
        <is>
          <t>No</t>
        </is>
      </c>
    </row>
    <row r="21">
      <c r="A21" s="11" t="inlineStr">
        <is>
          <t>PAC-003</t>
        </is>
      </c>
      <c r="B21" s="12" t="inlineStr">
        <is>
          <t>Pre-Audit Checks Automation</t>
        </is>
      </c>
      <c r="C21" s="13" t="inlineStr">
        <is>
          <t>Data Ingestion &amp; Connectivity</t>
        </is>
      </c>
      <c r="D21" s="7" t="inlineStr">
        <is>
          <t>Audit-Trail Enabled Integration Channels</t>
        </is>
      </c>
      <c r="E21" s="8" t="inlineStr">
        <is>
          <t>All integrations must support audit-trail-enabled APIs / SFTP mechanisms and comply with bank security standards.</t>
        </is>
      </c>
      <c r="F21" s="9" t="inlineStr">
        <is>
          <t>Must-Have</t>
        </is>
      </c>
      <c r="G21" s="9" t="inlineStr">
        <is>
          <t>Medium</t>
        </is>
      </c>
      <c r="H21" s="10" t="inlineStr">
        <is>
          <t>No</t>
        </is>
      </c>
    </row>
    <row r="22">
      <c r="A22" s="11" t="inlineStr">
        <is>
          <t>PAC-004</t>
        </is>
      </c>
      <c r="B22" s="12" t="inlineStr">
        <is>
          <t>Pre-Audit Checks Automation</t>
        </is>
      </c>
      <c r="C22" s="13" t="inlineStr">
        <is>
          <t>Data Ingestion &amp; Connectivity</t>
        </is>
      </c>
      <c r="D22" s="7" t="inlineStr">
        <is>
          <t>File-Based Ingestion with Schema Validation</t>
        </is>
      </c>
      <c r="E22" s="8" t="inlineStr">
        <is>
          <t>Must allow file-based ingestion (Excel, CSV, PDF, text) with automated schema validation and error reporting.</t>
        </is>
      </c>
      <c r="F22" s="9" t="inlineStr">
        <is>
          <t>Must-Have</t>
        </is>
      </c>
      <c r="G22" s="9" t="inlineStr">
        <is>
          <t>Medium</t>
        </is>
      </c>
      <c r="H22" s="10" t="inlineStr">
        <is>
          <t>Yes</t>
        </is>
      </c>
    </row>
    <row r="23">
      <c r="A23" s="11" t="inlineStr">
        <is>
          <t>PAC-005</t>
        </is>
      </c>
      <c r="B23" s="12" t="inlineStr">
        <is>
          <t>Pre-Audit Checks Automation</t>
        </is>
      </c>
      <c r="C23" s="13" t="inlineStr">
        <is>
          <t>Automated Validations</t>
        </is>
      </c>
      <c r="D23" s="7" t="inlineStr">
        <is>
          <t>Audit-Program Driven Validations</t>
        </is>
      </c>
      <c r="E23" s="8" t="inlineStr">
        <is>
          <t>System must perform automated validations based on audit program requirements (e.g. completeness, accuracy, ageing, threshold breaches, duplicates, parameter mismatches).</t>
        </is>
      </c>
      <c r="F23" s="9" t="inlineStr">
        <is>
          <t>Must-Have</t>
        </is>
      </c>
      <c r="G23" s="9" t="inlineStr">
        <is>
          <t>High</t>
        </is>
      </c>
      <c r="H23" s="10" t="inlineStr">
        <is>
          <t>Yes</t>
        </is>
      </c>
    </row>
    <row r="24">
      <c r="A24" s="11" t="inlineStr">
        <is>
          <t>PAC-006</t>
        </is>
      </c>
      <c r="B24" s="12" t="inlineStr">
        <is>
          <t>Pre-Audit Checks Automation</t>
        </is>
      </c>
      <c r="C24" s="13" t="inlineStr">
        <is>
          <t>Automated Validations</t>
        </is>
      </c>
      <c r="D24" s="7" t="inlineStr">
        <is>
          <t>Rule-Based and Exception-Based Validation Coverage</t>
        </is>
      </c>
      <c r="E24" s="8" t="inlineStr">
        <is>
          <t>Must support rule-based and exception-based validations for: Regulatory controls; Branch operations; Credit underwriting and monitoring; Financial reporting and reconciliations; AML / KYC checks.</t>
        </is>
      </c>
      <c r="F24" s="9" t="inlineStr">
        <is>
          <t>Must-Have</t>
        </is>
      </c>
      <c r="G24" s="9" t="inlineStr">
        <is>
          <t>High</t>
        </is>
      </c>
      <c r="H24" s="10" t="inlineStr">
        <is>
          <t>Yes</t>
        </is>
      </c>
    </row>
    <row r="25">
      <c r="A25" s="11" t="inlineStr">
        <is>
          <t>PAC-007</t>
        </is>
      </c>
      <c r="B25" s="12" t="inlineStr">
        <is>
          <t>Pre-Audit Checks Automation</t>
        </is>
      </c>
      <c r="C25" s="13" t="inlineStr">
        <is>
          <t>Automated Validations</t>
        </is>
      </c>
      <c r="D25" s="7" t="inlineStr">
        <is>
          <t>Custom Rule Creation without Vendor Dependency</t>
        </is>
      </c>
      <c r="E25" s="8" t="inlineStr">
        <is>
          <t>Solution must support creation of custom validation rules without vendor dependency (e.g. rule builder interface).</t>
        </is>
      </c>
      <c r="F25" s="9" t="inlineStr">
        <is>
          <t>Must-Have</t>
        </is>
      </c>
      <c r="G25" s="9" t="inlineStr">
        <is>
          <t>High</t>
        </is>
      </c>
      <c r="H25" s="10" t="inlineStr">
        <is>
          <t>Yes</t>
        </is>
      </c>
    </row>
    <row r="26">
      <c r="A26" s="11" t="inlineStr">
        <is>
          <t>PAC-008</t>
        </is>
      </c>
      <c r="B26" s="12" t="inlineStr">
        <is>
          <t>Pre-Audit Checks Automation</t>
        </is>
      </c>
      <c r="C26" s="13" t="inlineStr">
        <is>
          <t>Automated Validations</t>
        </is>
      </c>
      <c r="D26" s="7" t="inlineStr">
        <is>
          <t>High-Risk Deviation Scoring</t>
        </is>
      </c>
      <c r="E26" s="8" t="inlineStr">
        <is>
          <t>Must highlight high-risk deviations with scoring, prioritisation and categorisation.</t>
        </is>
      </c>
      <c r="F26" s="9" t="inlineStr">
        <is>
          <t>Must-Have</t>
        </is>
      </c>
      <c r="G26" s="9" t="inlineStr">
        <is>
          <t>Medium</t>
        </is>
      </c>
      <c r="H26" s="10" t="inlineStr">
        <is>
          <t>Yes</t>
        </is>
      </c>
    </row>
    <row r="27">
      <c r="A27" s="11" t="inlineStr">
        <is>
          <t>PAC-009</t>
        </is>
      </c>
      <c r="B27" s="12" t="inlineStr">
        <is>
          <t>Pre-Audit Checks Automation</t>
        </is>
      </c>
      <c r="C27" s="13" t="inlineStr">
        <is>
          <t>Sample Selection</t>
        </is>
      </c>
      <c r="D27" s="7" t="inlineStr">
        <is>
          <t>Automated Sample Generation</t>
        </is>
      </c>
      <c r="E27" s="8" t="inlineStr">
        <is>
          <t>Ability to auto-generate samples based on predefined sampling logic (risk-based, random, stratified, judgmental).</t>
        </is>
      </c>
      <c r="F27" s="9" t="inlineStr">
        <is>
          <t>Must-Have</t>
        </is>
      </c>
      <c r="G27" s="9" t="inlineStr">
        <is>
          <t>Medium</t>
        </is>
      </c>
      <c r="H27" s="10" t="inlineStr">
        <is>
          <t>No</t>
        </is>
      </c>
    </row>
    <row r="28">
      <c r="A28" s="11" t="inlineStr">
        <is>
          <t>PAC-010</t>
        </is>
      </c>
      <c r="B28" s="12" t="inlineStr">
        <is>
          <t>Pre-Audit Checks Automation</t>
        </is>
      </c>
      <c r="C28" s="13" t="inlineStr">
        <is>
          <t>Sample Selection</t>
        </is>
      </c>
      <c r="D28" s="7" t="inlineStr">
        <is>
          <t>Auditor Override with Justification</t>
        </is>
      </c>
      <c r="E28" s="8" t="inlineStr">
        <is>
          <t>Must allow auditors to override sampling logic with justification capture.</t>
        </is>
      </c>
      <c r="F28" s="9" t="inlineStr">
        <is>
          <t>Must-Have</t>
        </is>
      </c>
      <c r="G28" s="9" t="inlineStr">
        <is>
          <t>Low</t>
        </is>
      </c>
      <c r="H28" s="10" t="inlineStr">
        <is>
          <t>No</t>
        </is>
      </c>
    </row>
    <row r="29">
      <c r="A29" s="11" t="inlineStr">
        <is>
          <t>PAC-011</t>
        </is>
      </c>
      <c r="B29" s="12" t="inlineStr">
        <is>
          <t>Pre-Audit Checks Automation</t>
        </is>
      </c>
      <c r="C29" s="13" t="inlineStr">
        <is>
          <t>Sample Selection</t>
        </is>
      </c>
      <c r="D29" s="7" t="inlineStr">
        <is>
          <t>Configurable Sample Size per Audit Type</t>
        </is>
      </c>
      <c r="E29" s="8" t="inlineStr">
        <is>
          <t>Must provide configurable sample size settings per audit type (branch, credit, operations, etc.).</t>
        </is>
      </c>
      <c r="F29" s="9" t="inlineStr">
        <is>
          <t>Must-Have</t>
        </is>
      </c>
      <c r="G29" s="9" t="inlineStr">
        <is>
          <t>Low</t>
        </is>
      </c>
      <c r="H29" s="10" t="inlineStr">
        <is>
          <t>Yes</t>
        </is>
      </c>
    </row>
    <row r="30">
      <c r="A30" s="11" t="inlineStr">
        <is>
          <t>PAC-012</t>
        </is>
      </c>
      <c r="B30" s="12" t="inlineStr">
        <is>
          <t>Pre-Audit Checks Automation</t>
        </is>
      </c>
      <c r="C30" s="13" t="inlineStr">
        <is>
          <t>Sample Selection</t>
        </is>
      </c>
      <c r="D30" s="7" t="inlineStr">
        <is>
          <t>Sampling Audit Trail</t>
        </is>
      </c>
      <c r="E30" s="8" t="inlineStr">
        <is>
          <t>Must generate a complete audit trail of sampling decisions.</t>
        </is>
      </c>
      <c r="F30" s="9" t="inlineStr">
        <is>
          <t>Must-Have</t>
        </is>
      </c>
      <c r="G30" s="9" t="inlineStr">
        <is>
          <t>Low</t>
        </is>
      </c>
      <c r="H30" s="10" t="inlineStr">
        <is>
          <t>Yes</t>
        </is>
      </c>
    </row>
    <row r="31">
      <c r="A31" s="11" t="inlineStr">
        <is>
          <t>PAC-013</t>
        </is>
      </c>
      <c r="B31" s="12" t="inlineStr">
        <is>
          <t>Pre-Audit Checks Automation</t>
        </is>
      </c>
      <c r="C31" s="13" t="inlineStr">
        <is>
          <t>Checklist &amp; Documentation</t>
        </is>
      </c>
      <c r="D31" s="7" t="inlineStr">
        <is>
          <t>Dynamic Pre-Audit Checklist Generation</t>
        </is>
      </c>
      <c r="E31" s="8" t="inlineStr">
        <is>
          <t>System must generate pre-audit checklists dynamically based on entity, branch type, process, and risk category.</t>
        </is>
      </c>
      <c r="F31" s="9" t="inlineStr">
        <is>
          <t>Must-Have</t>
        </is>
      </c>
      <c r="G31" s="9" t="inlineStr">
        <is>
          <t>High</t>
        </is>
      </c>
      <c r="H31" s="10" t="inlineStr">
        <is>
          <t>No</t>
        </is>
      </c>
    </row>
    <row r="32">
      <c r="A32" s="11" t="inlineStr">
        <is>
          <t>PAC-014</t>
        </is>
      </c>
      <c r="B32" s="12" t="inlineStr">
        <is>
          <t>Pre-Audit Checks Automation</t>
        </is>
      </c>
      <c r="C32" s="13" t="inlineStr">
        <is>
          <t>Checklist &amp; Documentation</t>
        </is>
      </c>
      <c r="D32" s="7" t="inlineStr">
        <is>
          <t>Auto-Population of Checklist Fields</t>
        </is>
      </c>
      <c r="E32" s="8" t="inlineStr">
        <is>
          <t>Must auto-populate checklist fields using ingested system data, reducing manual tasks.</t>
        </is>
      </c>
      <c r="F32" s="9" t="inlineStr">
        <is>
          <t>Must-Have</t>
        </is>
      </c>
      <c r="G32" s="9" t="inlineStr">
        <is>
          <t>Medium</t>
        </is>
      </c>
      <c r="H32" s="10" t="inlineStr">
        <is>
          <t>No</t>
        </is>
      </c>
    </row>
    <row r="33">
      <c r="A33" s="11" t="inlineStr">
        <is>
          <t>PAC-015</t>
        </is>
      </c>
      <c r="B33" s="12" t="inlineStr">
        <is>
          <t>Pre-Audit Checks Automation</t>
        </is>
      </c>
      <c r="C33" s="13" t="inlineStr">
        <is>
          <t>Checklist &amp; Documentation</t>
        </is>
      </c>
      <c r="D33" s="7" t="inlineStr">
        <is>
          <t>Document Upload with Metadata Tagging</t>
        </is>
      </c>
      <c r="E33" s="8" t="inlineStr">
        <is>
          <t>Must support uploading and linking of supporting documents with metadata tagging.</t>
        </is>
      </c>
      <c r="F33" s="9" t="inlineStr">
        <is>
          <t>Must-Have</t>
        </is>
      </c>
      <c r="G33" s="9" t="inlineStr">
        <is>
          <t>Low</t>
        </is>
      </c>
      <c r="H33" s="10" t="inlineStr">
        <is>
          <t>Yes</t>
        </is>
      </c>
    </row>
    <row r="34">
      <c r="A34" s="11" t="inlineStr">
        <is>
          <t>PAC-016</t>
        </is>
      </c>
      <c r="B34" s="12" t="inlineStr">
        <is>
          <t>Pre-Audit Checks Automation</t>
        </is>
      </c>
      <c r="C34" s="13" t="inlineStr">
        <is>
          <t>Checklist &amp; Documentation</t>
        </is>
      </c>
      <c r="D34" s="7" t="inlineStr">
        <is>
          <t>Checklist Version Control and Approval</t>
        </is>
      </c>
      <c r="E34" s="8" t="inlineStr">
        <is>
          <t>Checklists must be version-controlled and approval-enabled.</t>
        </is>
      </c>
      <c r="F34" s="9" t="inlineStr">
        <is>
          <t>Must-Have</t>
        </is>
      </c>
      <c r="G34" s="9" t="inlineStr">
        <is>
          <t>Medium</t>
        </is>
      </c>
      <c r="H34" s="10" t="inlineStr">
        <is>
          <t>No</t>
        </is>
      </c>
    </row>
    <row r="35">
      <c r="A35" s="11" t="inlineStr">
        <is>
          <t>PAC-017</t>
        </is>
      </c>
      <c r="B35" s="12" t="inlineStr">
        <is>
          <t>Pre-Audit Checks Automation</t>
        </is>
      </c>
      <c r="C35" s="13" t="inlineStr">
        <is>
          <t>Exception Reporting</t>
        </is>
      </c>
      <c r="D35" s="7" t="inlineStr">
        <is>
          <t>Exception Dashboard with Severity and Ownership</t>
        </is>
      </c>
      <c r="E35" s="8" t="inlineStr">
        <is>
          <t>Automated dashboard for exception identification, severity tagging, owner assignment, and status tracking.</t>
        </is>
      </c>
      <c r="F35" s="9" t="inlineStr">
        <is>
          <t>Must-Have</t>
        </is>
      </c>
      <c r="G35" s="9" t="inlineStr">
        <is>
          <t>Medium</t>
        </is>
      </c>
      <c r="H35" s="10" t="inlineStr">
        <is>
          <t>Yes</t>
        </is>
      </c>
    </row>
    <row r="36">
      <c r="A36" s="11" t="inlineStr">
        <is>
          <t>PAC-018</t>
        </is>
      </c>
      <c r="B36" s="12" t="inlineStr">
        <is>
          <t>Pre-Audit Checks Automation</t>
        </is>
      </c>
      <c r="C36" s="13" t="inlineStr">
        <is>
          <t>Exception Reporting</t>
        </is>
      </c>
      <c r="D36" s="7" t="inlineStr">
        <is>
          <t>Configurable Exception Thresholds</t>
        </is>
      </c>
      <c r="E36" s="8" t="inlineStr">
        <is>
          <t>Ability to configure exception thresholds (financial, operational, compliance).</t>
        </is>
      </c>
      <c r="F36" s="9" t="inlineStr">
        <is>
          <t>Must-Have</t>
        </is>
      </c>
      <c r="G36" s="9" t="inlineStr">
        <is>
          <t>Medium</t>
        </is>
      </c>
      <c r="H36" s="10" t="inlineStr">
        <is>
          <t>Yes</t>
        </is>
      </c>
    </row>
    <row r="37">
      <c r="A37" s="11" t="inlineStr">
        <is>
          <t>PAC-019</t>
        </is>
      </c>
      <c r="B37" s="12" t="inlineStr">
        <is>
          <t>Pre-Audit Checks Automation</t>
        </is>
      </c>
      <c r="C37" s="13" t="inlineStr">
        <is>
          <t>Exception Reporting</t>
        </is>
      </c>
      <c r="D37" s="7" t="inlineStr">
        <is>
          <t>Exception Outputs</t>
        </is>
      </c>
      <c r="E37" s="8" t="inlineStr">
        <is>
          <t>Must generate exception summaries, detailed exception logs, and trend analysis over periods.</t>
        </is>
      </c>
      <c r="F37" s="9" t="inlineStr">
        <is>
          <t>Must-Have</t>
        </is>
      </c>
      <c r="G37" s="9" t="inlineStr">
        <is>
          <t>Medium</t>
        </is>
      </c>
      <c r="H37" s="10" t="inlineStr">
        <is>
          <t>Yes</t>
        </is>
      </c>
    </row>
    <row r="38">
      <c r="A38" s="11" t="inlineStr">
        <is>
          <t>PAC-020</t>
        </is>
      </c>
      <c r="B38" s="12" t="inlineStr">
        <is>
          <t>Pre-Audit Checks Automation</t>
        </is>
      </c>
      <c r="C38" s="13" t="inlineStr">
        <is>
          <t>Exception Reporting</t>
        </is>
      </c>
      <c r="D38" s="7" t="inlineStr">
        <is>
          <t>Exception Export</t>
        </is>
      </c>
      <c r="E38" s="8" t="inlineStr">
        <is>
          <t>Solution must allow export of exceptions to standard formats (Excel / PDF / CSV).</t>
        </is>
      </c>
      <c r="F38" s="9" t="inlineStr">
        <is>
          <t>Must-Have</t>
        </is>
      </c>
      <c r="G38" s="9" t="inlineStr">
        <is>
          <t>Low</t>
        </is>
      </c>
      <c r="H38" s="10" t="inlineStr">
        <is>
          <t>Yes</t>
        </is>
      </c>
    </row>
    <row r="39">
      <c r="A39" s="11" t="inlineStr">
        <is>
          <t>PAC-021</t>
        </is>
      </c>
      <c r="B39" s="12" t="inlineStr">
        <is>
          <t>Pre-Audit Checks Automation</t>
        </is>
      </c>
      <c r="C39" s="13" t="inlineStr">
        <is>
          <t>Workflow &amp; Collaboration</t>
        </is>
      </c>
      <c r="D39" s="7" t="inlineStr">
        <is>
          <t>End-to-End Pre-Audit Workflow</t>
        </is>
      </c>
      <c r="E39" s="8" t="inlineStr">
        <is>
          <t>Must support end-to-end workflow from data ingestion to validation to sampling to exception clearance.</t>
        </is>
      </c>
      <c r="F39" s="9" t="inlineStr">
        <is>
          <t>Must-Have</t>
        </is>
      </c>
      <c r="G39" s="9" t="inlineStr">
        <is>
          <t>High</t>
        </is>
      </c>
      <c r="H39" s="10" t="inlineStr">
        <is>
          <t>No</t>
        </is>
      </c>
    </row>
    <row r="40">
      <c r="A40" s="11" t="inlineStr">
        <is>
          <t>PAC-022</t>
        </is>
      </c>
      <c r="B40" s="12" t="inlineStr">
        <is>
          <t>Pre-Audit Checks Automation</t>
        </is>
      </c>
      <c r="C40" s="13" t="inlineStr">
        <is>
          <t>Workflow &amp; Collaboration</t>
        </is>
      </c>
      <c r="D40" s="7" t="inlineStr">
        <is>
          <t>Configurable Roles and Segregation of Duties</t>
        </is>
      </c>
      <c r="E40" s="8" t="inlineStr">
        <is>
          <t>Configurable user roles (IA, Vertical Heads, approvers) with rights and segregation of duties.</t>
        </is>
      </c>
      <c r="F40" s="9" t="inlineStr">
        <is>
          <t>Must-Have</t>
        </is>
      </c>
      <c r="G40" s="9" t="inlineStr">
        <is>
          <t>Medium</t>
        </is>
      </c>
      <c r="H40" s="10" t="inlineStr">
        <is>
          <t>Yes</t>
        </is>
      </c>
    </row>
    <row r="41">
      <c r="A41" s="11" t="inlineStr">
        <is>
          <t>PAC-023</t>
        </is>
      </c>
      <c r="B41" s="12" t="inlineStr">
        <is>
          <t>Pre-Audit Checks Automation</t>
        </is>
      </c>
      <c r="C41" s="13" t="inlineStr">
        <is>
          <t>Workflow &amp; Collaboration</t>
        </is>
      </c>
      <c r="D41" s="7" t="inlineStr">
        <is>
          <t>Auditee Query Management</t>
        </is>
      </c>
      <c r="E41" s="8" t="inlineStr">
        <is>
          <t>Ability to raise queries to auditees and track responses with audit trails.</t>
        </is>
      </c>
      <c r="F41" s="9" t="inlineStr">
        <is>
          <t>Must-Have</t>
        </is>
      </c>
      <c r="G41" s="9" t="inlineStr">
        <is>
          <t>Medium</t>
        </is>
      </c>
      <c r="H41" s="10" t="inlineStr">
        <is>
          <t>No</t>
        </is>
      </c>
    </row>
    <row r="42">
      <c r="A42" s="11" t="inlineStr">
        <is>
          <t>PAC-024</t>
        </is>
      </c>
      <c r="B42" s="12" t="inlineStr">
        <is>
          <t>Pre-Audit Checks Automation</t>
        </is>
      </c>
      <c r="C42" s="13" t="inlineStr">
        <is>
          <t>Workflow &amp; Collaboration</t>
        </is>
      </c>
      <c r="D42" s="7" t="inlineStr">
        <is>
          <t>Collaboration Features</t>
        </is>
      </c>
      <c r="E42" s="8" t="inlineStr">
        <is>
          <t>Must support comments, tagging, and internal collaboration features.</t>
        </is>
      </c>
      <c r="F42" s="9" t="inlineStr">
        <is>
          <t>Must-Have</t>
        </is>
      </c>
      <c r="G42" s="9" t="inlineStr">
        <is>
          <t>Low</t>
        </is>
      </c>
      <c r="H42" s="10" t="inlineStr">
        <is>
          <t>Yes</t>
        </is>
      </c>
    </row>
    <row r="43">
      <c r="A43" s="11" t="inlineStr">
        <is>
          <t>PAC-025</t>
        </is>
      </c>
      <c r="B43" s="12" t="inlineStr">
        <is>
          <t>Pre-Audit Checks Automation</t>
        </is>
      </c>
      <c r="C43" s="13" t="inlineStr">
        <is>
          <t>Dashboards &amp; Analytics</t>
        </is>
      </c>
      <c r="D43" s="7" t="inlineStr">
        <is>
          <t>Audit Readiness Dashboards</t>
        </is>
      </c>
      <c r="E43" s="8" t="inlineStr">
        <is>
          <t>Real-time dashboards for audit readiness, high-risk areas, branch-wise exceptions, and control maturity.</t>
        </is>
      </c>
      <c r="F43" s="9" t="inlineStr">
        <is>
          <t>Must-Have</t>
        </is>
      </c>
      <c r="G43" s="9" t="inlineStr">
        <is>
          <t>Medium</t>
        </is>
      </c>
      <c r="H43" s="10" t="inlineStr">
        <is>
          <t>No</t>
        </is>
      </c>
    </row>
    <row r="44">
      <c r="A44" s="11" t="inlineStr">
        <is>
          <t>PAC-026</t>
        </is>
      </c>
      <c r="B44" s="12" t="inlineStr">
        <is>
          <t>Pre-Audit Checks Automation</t>
        </is>
      </c>
      <c r="C44" s="13" t="inlineStr">
        <is>
          <t>Dashboards &amp; Analytics</t>
        </is>
      </c>
      <c r="D44" s="7" t="inlineStr">
        <is>
          <t>Drill-Down Capability</t>
        </is>
      </c>
      <c r="E44" s="8" t="inlineStr">
        <is>
          <t>Drill-down capabilities to entity / branch / transaction level.</t>
        </is>
      </c>
      <c r="F44" s="9" t="inlineStr">
        <is>
          <t>Must-Have</t>
        </is>
      </c>
      <c r="G44" s="9" t="inlineStr">
        <is>
          <t>Medium</t>
        </is>
      </c>
      <c r="H44" s="10" t="inlineStr">
        <is>
          <t>Yes</t>
        </is>
      </c>
    </row>
    <row r="45">
      <c r="A45" s="11" t="inlineStr">
        <is>
          <t>PAC-027</t>
        </is>
      </c>
      <c r="B45" s="12" t="inlineStr">
        <is>
          <t>Pre-Audit Checks Automation</t>
        </is>
      </c>
      <c r="C45" s="13" t="inlineStr">
        <is>
          <t>Dashboards &amp; Analytics</t>
        </is>
      </c>
      <c r="D45" s="7" t="inlineStr">
        <is>
          <t>Dashboard and Raw Data Export</t>
        </is>
      </c>
      <c r="E45" s="8" t="inlineStr">
        <is>
          <t>Support for exporting dashboards and raw data.</t>
        </is>
      </c>
      <c r="F45" s="9" t="inlineStr">
        <is>
          <t>Must-Have</t>
        </is>
      </c>
      <c r="G45" s="9" t="inlineStr">
        <is>
          <t>Low</t>
        </is>
      </c>
      <c r="H45" s="10" t="inlineStr">
        <is>
          <t>Yes</t>
        </is>
      </c>
    </row>
    <row r="46">
      <c r="A46" s="11" t="inlineStr">
        <is>
          <t>PAC-028</t>
        </is>
      </c>
      <c r="B46" s="12" t="inlineStr">
        <is>
          <t>Pre-Audit Checks Automation</t>
        </is>
      </c>
      <c r="C46" s="13" t="inlineStr">
        <is>
          <t>Dashboards &amp; Analytics</t>
        </is>
      </c>
      <c r="D46" s="7" t="inlineStr">
        <is>
          <t>Predictive Insights and Risk Scoring</t>
        </is>
      </c>
      <c r="E46" s="8" t="inlineStr">
        <is>
          <t>Capability for trends, patterns, predictive insights, and risk scoring.</t>
        </is>
      </c>
      <c r="F46" s="9" t="inlineStr">
        <is>
          <t>Must-Have</t>
        </is>
      </c>
      <c r="G46" s="9" t="inlineStr">
        <is>
          <t>High</t>
        </is>
      </c>
      <c r="H46" s="10" t="inlineStr">
        <is>
          <t>Yes</t>
        </is>
      </c>
    </row>
    <row r="47">
      <c r="A47" s="11" t="inlineStr">
        <is>
          <t>PAC-029</t>
        </is>
      </c>
      <c r="B47" s="12" t="inlineStr">
        <is>
          <t>Pre-Audit Checks Automation</t>
        </is>
      </c>
      <c r="C47" s="13" t="inlineStr">
        <is>
          <t>Rule Governance</t>
        </is>
      </c>
      <c r="D47" s="7" t="inlineStr">
        <is>
          <t>Centralised Rule Engine with Version Control</t>
        </is>
      </c>
      <c r="E47" s="8" t="inlineStr">
        <is>
          <t>A centralised rule engine with independent creation / editing of rules and version control.</t>
        </is>
      </c>
      <c r="F47" s="9" t="inlineStr">
        <is>
          <t>Must-Have</t>
        </is>
      </c>
      <c r="G47" s="9" t="inlineStr">
        <is>
          <t>High</t>
        </is>
      </c>
      <c r="H47" s="10" t="inlineStr">
        <is>
          <t>No</t>
        </is>
      </c>
    </row>
    <row r="48">
      <c r="A48" s="11" t="inlineStr">
        <is>
          <t>PAC-030</t>
        </is>
      </c>
      <c r="B48" s="12" t="inlineStr">
        <is>
          <t>Pre-Audit Checks Automation</t>
        </is>
      </c>
      <c r="C48" s="13" t="inlineStr">
        <is>
          <t>Rule Governance</t>
        </is>
      </c>
      <c r="D48" s="7" t="inlineStr">
        <is>
          <t>AI-Based Data Analytics</t>
        </is>
      </c>
      <c r="E48" s="8" t="inlineStr">
        <is>
          <t>AI-based data analytics including trend analysis and cluster analysis.</t>
        </is>
      </c>
      <c r="F48" s="9" t="inlineStr">
        <is>
          <t>Must-Have</t>
        </is>
      </c>
      <c r="G48" s="9" t="inlineStr">
        <is>
          <t>High</t>
        </is>
      </c>
      <c r="H48" s="10" t="inlineStr">
        <is>
          <t>Yes</t>
        </is>
      </c>
    </row>
    <row r="49">
      <c r="A49" s="11" t="inlineStr">
        <is>
          <t>PAC-031</t>
        </is>
      </c>
      <c r="B49" s="12" t="inlineStr">
        <is>
          <t>Pre-Audit Checks Automation</t>
        </is>
      </c>
      <c r="C49" s="13" t="inlineStr">
        <is>
          <t>Rule Governance</t>
        </is>
      </c>
      <c r="D49" s="7" t="inlineStr">
        <is>
          <t>What-If Scenario Simulation</t>
        </is>
      </c>
      <c r="E49" s="8" t="inlineStr">
        <is>
          <t>Capability to run What-If scenarios before new rule deployment.</t>
        </is>
      </c>
      <c r="F49" s="9" t="inlineStr">
        <is>
          <t>Must-Have</t>
        </is>
      </c>
      <c r="G49" s="9" t="inlineStr">
        <is>
          <t>High</t>
        </is>
      </c>
      <c r="H49" s="10" t="inlineStr">
        <is>
          <t>Yes</t>
        </is>
      </c>
    </row>
    <row r="50">
      <c r="A50" s="11" t="inlineStr">
        <is>
          <t>PAC-032</t>
        </is>
      </c>
      <c r="B50" s="12" t="inlineStr">
        <is>
          <t>Pre-Audit Checks Automation</t>
        </is>
      </c>
      <c r="C50" s="13" t="inlineStr">
        <is>
          <t>Rule Governance</t>
        </is>
      </c>
      <c r="D50" s="7" t="inlineStr">
        <is>
          <t>Rule Change Logging</t>
        </is>
      </c>
      <c r="E50" s="8" t="inlineStr">
        <is>
          <t>Must maintain detailed logs of rule changes: who changed, what changed, and why.</t>
        </is>
      </c>
      <c r="F50" s="9" t="inlineStr">
        <is>
          <t>Must-Have</t>
        </is>
      </c>
      <c r="G50" s="9" t="inlineStr">
        <is>
          <t>Low</t>
        </is>
      </c>
      <c r="H50" s="10" t="inlineStr">
        <is>
          <t>No</t>
        </is>
      </c>
    </row>
    <row r="51">
      <c r="A51" s="11" t="inlineStr">
        <is>
          <t>PAC-033</t>
        </is>
      </c>
      <c r="B51" s="12" t="inlineStr">
        <is>
          <t>Pre-Audit Checks Automation</t>
        </is>
      </c>
      <c r="C51" s="13" t="inlineStr">
        <is>
          <t>Audit Trail &amp; Compliance</t>
        </is>
      </c>
      <c r="D51" s="7" t="inlineStr">
        <is>
          <t>Comprehensive Action Logging</t>
        </is>
      </c>
      <c r="E51" s="8" t="inlineStr">
        <is>
          <t>Every action must be logged (view, edit, approval, rule change, report generation).</t>
        </is>
      </c>
      <c r="F51" s="9" t="inlineStr">
        <is>
          <t>Must-Have</t>
        </is>
      </c>
      <c r="G51" s="9" t="inlineStr">
        <is>
          <t>Medium</t>
        </is>
      </c>
      <c r="H51" s="10" t="inlineStr">
        <is>
          <t>No</t>
        </is>
      </c>
    </row>
    <row r="52">
      <c r="A52" s="11" t="inlineStr">
        <is>
          <t>PAC-034</t>
        </is>
      </c>
      <c r="B52" s="12" t="inlineStr">
        <is>
          <t>Pre-Audit Checks Automation</t>
        </is>
      </c>
      <c r="C52" s="13" t="inlineStr">
        <is>
          <t>Audit Trail &amp; Compliance</t>
        </is>
      </c>
      <c r="D52" s="7" t="inlineStr">
        <is>
          <t>Security, Privacy and Regulatory Compliance</t>
        </is>
      </c>
      <c r="E52" s="8" t="inlineStr">
        <is>
          <t>Must comply with internal IT security, data privacy, and regulatory guidelines.</t>
        </is>
      </c>
      <c r="F52" s="9" t="inlineStr">
        <is>
          <t>Must-Have</t>
        </is>
      </c>
      <c r="G52" s="9" t="inlineStr">
        <is>
          <t>Medium</t>
        </is>
      </c>
      <c r="H52" s="10" t="inlineStr">
        <is>
          <t>No</t>
        </is>
      </c>
    </row>
    <row r="53">
      <c r="A53" s="11" t="inlineStr">
        <is>
          <t>PAC-035</t>
        </is>
      </c>
      <c r="B53" s="12" t="inlineStr">
        <is>
          <t>Pre-Audit Checks Automation</t>
        </is>
      </c>
      <c r="C53" s="13" t="inlineStr">
        <is>
          <t>Audit Trail &amp; Compliance</t>
        </is>
      </c>
      <c r="D53" s="7" t="inlineStr">
        <is>
          <t>Configurable Retention and Archival</t>
        </is>
      </c>
      <c r="E53" s="8" t="inlineStr">
        <is>
          <t>Data retention and archival policies must be configurable.</t>
        </is>
      </c>
      <c r="F53" s="9" t="inlineStr">
        <is>
          <t>Must-Have</t>
        </is>
      </c>
      <c r="G53" s="9" t="inlineStr">
        <is>
          <t>Medium</t>
        </is>
      </c>
      <c r="H53" s="10" t="inlineStr">
        <is>
          <t>No</t>
        </is>
      </c>
    </row>
    <row r="54">
      <c r="A54" s="11" t="inlineStr">
        <is>
          <t>PAC-036</t>
        </is>
      </c>
      <c r="B54" s="12" t="inlineStr">
        <is>
          <t>Pre-Audit Checks Automation</t>
        </is>
      </c>
      <c r="C54" s="13" t="inlineStr">
        <is>
          <t>Reporting &amp; Export</t>
        </is>
      </c>
      <c r="D54" s="7" t="inlineStr">
        <is>
          <t>Automated Pre-Audit Report Suite</t>
        </is>
      </c>
      <c r="E54" s="8" t="inlineStr">
        <is>
          <t>Automated generation of pre-audit reports: pre-audit exception report; high-risk observation summary; sample lists; audit preparedness score.</t>
        </is>
      </c>
      <c r="F54" s="9" t="inlineStr">
        <is>
          <t>Must-Have</t>
        </is>
      </c>
      <c r="G54" s="9" t="inlineStr">
        <is>
          <t>Medium</t>
        </is>
      </c>
      <c r="H54" s="10" t="inlineStr">
        <is>
          <t>No</t>
        </is>
      </c>
    </row>
    <row r="55">
      <c r="A55" s="11" t="inlineStr">
        <is>
          <t>PAC-037</t>
        </is>
      </c>
      <c r="B55" s="12" t="inlineStr">
        <is>
          <t>Pre-Audit Checks Automation</t>
        </is>
      </c>
      <c r="C55" s="13" t="inlineStr">
        <is>
          <t>Reporting &amp; Export</t>
        </is>
      </c>
      <c r="D55" s="7" t="inlineStr">
        <is>
          <t>Customised Reports without Coding</t>
        </is>
      </c>
      <c r="E55" s="8" t="inlineStr">
        <is>
          <t>Ability to generate customised reports without coding.</t>
        </is>
      </c>
      <c r="F55" s="9" t="inlineStr">
        <is>
          <t>Must-Have</t>
        </is>
      </c>
      <c r="G55" s="9" t="inlineStr">
        <is>
          <t>High</t>
        </is>
      </c>
      <c r="H55" s="10" t="inlineStr">
        <is>
          <t>No</t>
        </is>
      </c>
    </row>
    <row r="56">
      <c r="A56" s="11" t="inlineStr">
        <is>
          <t>PAC-038</t>
        </is>
      </c>
      <c r="B56" s="12" t="inlineStr">
        <is>
          <t>Pre-Audit Checks Automation</t>
        </is>
      </c>
      <c r="C56" s="13" t="inlineStr">
        <is>
          <t>Reporting &amp; Export</t>
        </is>
      </c>
      <c r="D56" s="7" t="inlineStr">
        <is>
          <t>Export Formats</t>
        </is>
      </c>
      <c r="E56" s="8" t="inlineStr">
        <is>
          <t>Export to PDF, Excel, and Word formats.</t>
        </is>
      </c>
      <c r="F56" s="9" t="inlineStr">
        <is>
          <t>Must-Have</t>
        </is>
      </c>
      <c r="G56" s="9" t="inlineStr">
        <is>
          <t>Low</t>
        </is>
      </c>
      <c r="H56" s="10" t="inlineStr">
        <is>
          <t>No</t>
        </is>
      </c>
    </row>
    <row r="57">
      <c r="A57" s="14" t="inlineStr">
        <is>
          <t>VKY-001</t>
        </is>
      </c>
      <c r="B57" s="15" t="inlineStr">
        <is>
          <t>VKYC Audit Automation</t>
        </is>
      </c>
      <c r="C57" s="16" t="inlineStr">
        <is>
          <t>Speech &amp; Text Analytics</t>
        </is>
      </c>
      <c r="D57" s="7" t="inlineStr">
        <is>
          <t>Cognitive Text and Speech Analytics</t>
        </is>
      </c>
      <c r="E57" s="8" t="inlineStr">
        <is>
          <t>Cognitive text and speech analytics for VKYC validation.</t>
        </is>
      </c>
      <c r="F57" s="9" t="inlineStr">
        <is>
          <t>Must-Have</t>
        </is>
      </c>
      <c r="G57" s="9" t="inlineStr">
        <is>
          <t>High</t>
        </is>
      </c>
      <c r="H57" s="10" t="inlineStr">
        <is>
          <t>Yes</t>
        </is>
      </c>
    </row>
    <row r="58">
      <c r="A58" s="14" t="inlineStr">
        <is>
          <t>VKY-002</t>
        </is>
      </c>
      <c r="B58" s="15" t="inlineStr">
        <is>
          <t>VKYC Audit Automation</t>
        </is>
      </c>
      <c r="C58" s="16" t="inlineStr">
        <is>
          <t>Artifact Extraction</t>
        </is>
      </c>
      <c r="D58" s="7" t="inlineStr">
        <is>
          <t>Automated VKYC Artifact Extraction</t>
        </is>
      </c>
      <c r="E58" s="8" t="inlineStr">
        <is>
          <t>Automated extraction of VKYC artifacts (video, audio, form data).</t>
        </is>
      </c>
      <c r="F58" s="9" t="inlineStr">
        <is>
          <t>Must-Have</t>
        </is>
      </c>
      <c r="G58" s="9" t="inlineStr">
        <is>
          <t>High</t>
        </is>
      </c>
      <c r="H58" s="10" t="inlineStr">
        <is>
          <t>No</t>
        </is>
      </c>
    </row>
    <row r="59">
      <c r="A59" s="14" t="inlineStr">
        <is>
          <t>VKY-003</t>
        </is>
      </c>
      <c r="B59" s="15" t="inlineStr">
        <is>
          <t>VKYC Audit Automation</t>
        </is>
      </c>
      <c r="C59" s="16" t="inlineStr">
        <is>
          <t>Rule Evaluation</t>
        </is>
      </c>
      <c r="D59" s="7" t="inlineStr">
        <is>
          <t>Rule-Driven Non-Compliance Evaluation</t>
        </is>
      </c>
      <c r="E59" s="8" t="inlineStr">
        <is>
          <t>Rule-driven evaluation to identify non-compliance.</t>
        </is>
      </c>
      <c r="F59" s="9" t="inlineStr">
        <is>
          <t>Must-Have</t>
        </is>
      </c>
      <c r="G59" s="9" t="inlineStr">
        <is>
          <t>Medium</t>
        </is>
      </c>
      <c r="H59" s="10" t="inlineStr">
        <is>
          <t>Yes</t>
        </is>
      </c>
    </row>
    <row r="60">
      <c r="A60" s="14" t="inlineStr">
        <is>
          <t>VKY-004</t>
        </is>
      </c>
      <c r="B60" s="15" t="inlineStr">
        <is>
          <t>VKYC Audit Automation</t>
        </is>
      </c>
      <c r="C60" s="16" t="inlineStr">
        <is>
          <t>Evidencing</t>
        </is>
      </c>
      <c r="D60" s="7" t="inlineStr">
        <is>
          <t>Audit Trail and Evidencing</t>
        </is>
      </c>
      <c r="E60" s="8" t="inlineStr">
        <is>
          <t>Audit trail generation and evidencing capability.</t>
        </is>
      </c>
      <c r="F60" s="9" t="inlineStr">
        <is>
          <t>Must-Have</t>
        </is>
      </c>
      <c r="G60" s="9" t="inlineStr">
        <is>
          <t>Medium</t>
        </is>
      </c>
      <c r="H60" s="10" t="inlineStr">
        <is>
          <t>Yes</t>
        </is>
      </c>
    </row>
    <row r="61">
      <c r="A61" s="17" t="inlineStr">
        <is>
          <t>KYC-001</t>
        </is>
      </c>
      <c r="B61" s="18" t="inlineStr">
        <is>
          <t>KYC Audit Automation</t>
        </is>
      </c>
      <c r="C61" s="19" t="inlineStr">
        <is>
          <t>Core Capability</t>
        </is>
      </c>
      <c r="D61" s="7" t="inlineStr">
        <is>
          <t>OCR / AI Document Screening</t>
        </is>
      </c>
      <c r="E61" s="8" t="inlineStr">
        <is>
          <t>Automated screening of KYC documents via OCR / AI.</t>
        </is>
      </c>
      <c r="F61" s="9" t="inlineStr">
        <is>
          <t>Must-Have</t>
        </is>
      </c>
      <c r="G61" s="9" t="inlineStr">
        <is>
          <t>High</t>
        </is>
      </c>
      <c r="H61" s="10" t="inlineStr">
        <is>
          <t>Yes</t>
        </is>
      </c>
    </row>
    <row r="62">
      <c r="A62" s="17" t="inlineStr">
        <is>
          <t>KYC-002</t>
        </is>
      </c>
      <c r="B62" s="18" t="inlineStr">
        <is>
          <t>KYC Audit Automation</t>
        </is>
      </c>
      <c r="C62" s="19" t="inlineStr">
        <is>
          <t>Core Capability</t>
        </is>
      </c>
      <c r="D62" s="7" t="inlineStr">
        <is>
          <t>Extracted Data vs System Record Comparison</t>
        </is>
      </c>
      <c r="E62" s="8" t="inlineStr">
        <is>
          <t>Comparison of extracted data against system records.</t>
        </is>
      </c>
      <c r="F62" s="9" t="inlineStr">
        <is>
          <t>Must-Have</t>
        </is>
      </c>
      <c r="G62" s="9" t="inlineStr">
        <is>
          <t>Medium</t>
        </is>
      </c>
      <c r="H62" s="10" t="inlineStr">
        <is>
          <t>Yes</t>
        </is>
      </c>
    </row>
    <row r="63">
      <c r="A63" s="17" t="inlineStr">
        <is>
          <t>KYC-003</t>
        </is>
      </c>
      <c r="B63" s="18" t="inlineStr">
        <is>
          <t>KYC Audit Automation</t>
        </is>
      </c>
      <c r="C63" s="19" t="inlineStr">
        <is>
          <t>Core Capability</t>
        </is>
      </c>
      <c r="D63" s="7" t="inlineStr">
        <is>
          <t>Incomplete or Incorrect Documentation Identification</t>
        </is>
      </c>
      <c r="E63" s="8" t="inlineStr">
        <is>
          <t>Identification of incomplete / incorrect documentation.</t>
        </is>
      </c>
      <c r="F63" s="9" t="inlineStr">
        <is>
          <t>Must-Have</t>
        </is>
      </c>
      <c r="G63" s="9" t="inlineStr">
        <is>
          <t>Medium</t>
        </is>
      </c>
      <c r="H63" s="10" t="inlineStr">
        <is>
          <t>Yes</t>
        </is>
      </c>
    </row>
    <row r="64">
      <c r="A64" s="17" t="inlineStr">
        <is>
          <t>KYC-004</t>
        </is>
      </c>
      <c r="B64" s="18" t="inlineStr">
        <is>
          <t>KYC Audit Automation</t>
        </is>
      </c>
      <c r="C64" s="19" t="inlineStr">
        <is>
          <t>Core Capability</t>
        </is>
      </c>
      <c r="D64" s="7" t="inlineStr">
        <is>
          <t>KYC Repository Integration</t>
        </is>
      </c>
      <c r="E64" s="8" t="inlineStr">
        <is>
          <t>Integration with the Bank's KYC repository.</t>
        </is>
      </c>
      <c r="F64" s="9" t="inlineStr">
        <is>
          <t>Must-Have</t>
        </is>
      </c>
      <c r="G64" s="9" t="inlineStr">
        <is>
          <t>Medium</t>
        </is>
      </c>
      <c r="H64" s="10" t="inlineStr">
        <is>
          <t>No</t>
        </is>
      </c>
    </row>
    <row r="65">
      <c r="A65" s="17" t="inlineStr">
        <is>
          <t>KYC-005</t>
        </is>
      </c>
      <c r="B65" s="18" t="inlineStr">
        <is>
          <t>KYC Audit Automation</t>
        </is>
      </c>
      <c r="C65" s="19" t="inlineStr">
        <is>
          <t>Data Ingestion &amp; Integration</t>
        </is>
      </c>
      <c r="D65" s="7" t="inlineStr">
        <is>
          <t>Multi-Source KYC Data Ingestion</t>
        </is>
      </c>
      <c r="E65" s="8" t="inlineStr">
        <is>
          <t>Support secure ingestion of KYC-related data from core banking, CRM, CIF, AML, LOS, and document management systems.</t>
        </is>
      </c>
      <c r="F65" s="9" t="inlineStr">
        <is>
          <t>Must-Have</t>
        </is>
      </c>
      <c r="G65" s="9" t="inlineStr">
        <is>
          <t>High</t>
        </is>
      </c>
      <c r="H65" s="10" t="inlineStr">
        <is>
          <t>No</t>
        </is>
      </c>
    </row>
    <row r="66">
      <c r="A66" s="17" t="inlineStr">
        <is>
          <t>KYC-006</t>
        </is>
      </c>
      <c r="B66" s="18" t="inlineStr">
        <is>
          <t>KYC Audit Automation</t>
        </is>
      </c>
      <c r="C66" s="19" t="inlineStr">
        <is>
          <t>Data Ingestion &amp; Integration</t>
        </is>
      </c>
      <c r="D66" s="7" t="inlineStr">
        <is>
          <t>Structured and Unstructured Data Ingestion</t>
        </is>
      </c>
      <c r="E66" s="8" t="inlineStr">
        <is>
          <t>Allow ingestion of structured and unstructured data (Excel, CSV, PDF, images).</t>
        </is>
      </c>
      <c r="F66" s="9" t="inlineStr">
        <is>
          <t>Must-Have</t>
        </is>
      </c>
      <c r="G66" s="9" t="inlineStr">
        <is>
          <t>Medium</t>
        </is>
      </c>
      <c r="H66" s="10" t="inlineStr">
        <is>
          <t>No</t>
        </is>
      </c>
    </row>
    <row r="67">
      <c r="A67" s="17" t="inlineStr">
        <is>
          <t>KYC-007</t>
        </is>
      </c>
      <c r="B67" s="18" t="inlineStr">
        <is>
          <t>KYC Audit Automation</t>
        </is>
      </c>
      <c r="C67" s="19" t="inlineStr">
        <is>
          <t>Data Ingestion &amp; Integration</t>
        </is>
      </c>
      <c r="D67" s="7" t="inlineStr">
        <is>
          <t>Schema Validation and Error Logging</t>
        </is>
      </c>
      <c r="E67" s="8" t="inlineStr">
        <is>
          <t>Perform schema validation, data quality checks, and record-level error logging.</t>
        </is>
      </c>
      <c r="F67" s="9" t="inlineStr">
        <is>
          <t>Must-Have</t>
        </is>
      </c>
      <c r="G67" s="9" t="inlineStr">
        <is>
          <t>Medium</t>
        </is>
      </c>
      <c r="H67" s="10" t="inlineStr">
        <is>
          <t>No</t>
        </is>
      </c>
    </row>
    <row r="68">
      <c r="A68" s="17" t="inlineStr">
        <is>
          <t>KYC-008</t>
        </is>
      </c>
      <c r="B68" s="18" t="inlineStr">
        <is>
          <t>KYC Audit Automation</t>
        </is>
      </c>
      <c r="C68" s="19" t="inlineStr">
        <is>
          <t>Data Ingestion &amp; Integration</t>
        </is>
      </c>
      <c r="D68" s="7" t="inlineStr">
        <is>
          <t>Scheduled and On-Demand Refresh</t>
        </is>
      </c>
      <c r="E68" s="8" t="inlineStr">
        <is>
          <t>Support scheduled and on-demand data refresh for customer and account-level data.</t>
        </is>
      </c>
      <c r="F68" s="9" t="inlineStr">
        <is>
          <t>Must-Have</t>
        </is>
      </c>
      <c r="G68" s="9" t="inlineStr">
        <is>
          <t>Medium</t>
        </is>
      </c>
      <c r="H68" s="10" t="inlineStr">
        <is>
          <t>No</t>
        </is>
      </c>
    </row>
    <row r="69">
      <c r="A69" s="17" t="inlineStr">
        <is>
          <t>KYC-009</t>
        </is>
      </c>
      <c r="B69" s="18" t="inlineStr">
        <is>
          <t>KYC Audit Automation</t>
        </is>
      </c>
      <c r="C69" s="19" t="inlineStr">
        <is>
          <t>Data Ingestion &amp; Integration</t>
        </is>
      </c>
      <c r="D69" s="7" t="inlineStr">
        <is>
          <t>Data Pull Audit Trails</t>
        </is>
      </c>
      <c r="E69" s="8" t="inlineStr">
        <is>
          <t>Maintain full audit trails for all data pulls.</t>
        </is>
      </c>
      <c r="F69" s="9" t="inlineStr">
        <is>
          <t>Must-Have</t>
        </is>
      </c>
      <c r="G69" s="9" t="inlineStr">
        <is>
          <t>Low</t>
        </is>
      </c>
      <c r="H69" s="10" t="inlineStr">
        <is>
          <t>Yes</t>
        </is>
      </c>
    </row>
    <row r="70">
      <c r="A70" s="17" t="inlineStr">
        <is>
          <t>KYC-010</t>
        </is>
      </c>
      <c r="B70" s="18" t="inlineStr">
        <is>
          <t>KYC Audit Automation</t>
        </is>
      </c>
      <c r="C70" s="19" t="inlineStr">
        <is>
          <t>Compliance Validation</t>
        </is>
      </c>
      <c r="D70" s="7" t="inlineStr">
        <is>
          <t>Customer Identity Verification (CIV)</t>
        </is>
      </c>
      <c r="E70" s="8" t="inlineStr">
        <is>
          <t>Automated verification of PAN, Aadhaar, Passport, Voter ID and Driving Licence; detection of name, date of birth, gender and demographic mismatches; identity document format checks and expiry checks.</t>
        </is>
      </c>
      <c r="F70" s="9" t="inlineStr">
        <is>
          <t>Must-Have</t>
        </is>
      </c>
      <c r="G70" s="9" t="inlineStr">
        <is>
          <t>High</t>
        </is>
      </c>
      <c r="H70" s="10" t="inlineStr">
        <is>
          <t>No</t>
        </is>
      </c>
    </row>
    <row r="71">
      <c r="A71" s="17" t="inlineStr">
        <is>
          <t>KYC-011</t>
        </is>
      </c>
      <c r="B71" s="18" t="inlineStr">
        <is>
          <t>KYC Audit Automation</t>
        </is>
      </c>
      <c r="C71" s="19" t="inlineStr">
        <is>
          <t>Compliance Validation</t>
        </is>
      </c>
      <c r="D71" s="7" t="inlineStr">
        <is>
          <t>Address Verification</t>
        </is>
      </c>
      <c r="E71" s="8" t="inlineStr">
        <is>
          <t>Correspondence and permanent address validation; document presence, expiry and mismatch identification.</t>
        </is>
      </c>
      <c r="F71" s="9" t="inlineStr">
        <is>
          <t>Must-Have</t>
        </is>
      </c>
      <c r="G71" s="9" t="inlineStr">
        <is>
          <t>Medium</t>
        </is>
      </c>
      <c r="H71" s="10" t="inlineStr">
        <is>
          <t>No</t>
        </is>
      </c>
    </row>
    <row r="72">
      <c r="A72" s="17" t="inlineStr">
        <is>
          <t>KYC-012</t>
        </is>
      </c>
      <c r="B72" s="18" t="inlineStr">
        <is>
          <t>KYC Audit Automation</t>
        </is>
      </c>
      <c r="C72" s="19" t="inlineStr">
        <is>
          <t>Compliance Validation</t>
        </is>
      </c>
      <c r="D72" s="7" t="inlineStr">
        <is>
          <t>CDD and EDD Checks</t>
        </is>
      </c>
      <c r="E72" s="8" t="inlineStr">
        <is>
          <t>Verification of customer risk categorisation (High / Medium / Low); presence and adequacy of Enhanced Due Diligence for high-risk customers; KYC risk score validations.</t>
        </is>
      </c>
      <c r="F72" s="9" t="inlineStr">
        <is>
          <t>Must-Have</t>
        </is>
      </c>
      <c r="G72" s="9" t="inlineStr">
        <is>
          <t>High</t>
        </is>
      </c>
      <c r="H72" s="10" t="inlineStr">
        <is>
          <t>Yes</t>
        </is>
      </c>
    </row>
    <row r="73">
      <c r="A73" s="17" t="inlineStr">
        <is>
          <t>KYC-013</t>
        </is>
      </c>
      <c r="B73" s="18" t="inlineStr">
        <is>
          <t>KYC Audit Automation</t>
        </is>
      </c>
      <c r="C73" s="19" t="inlineStr">
        <is>
          <t>Compliance Validation</t>
        </is>
      </c>
      <c r="D73" s="7" t="inlineStr">
        <is>
          <t>Periodic KYC Review Compliance</t>
        </is>
      </c>
      <c r="E73" s="8" t="inlineStr">
        <is>
          <t>Identification of overdue KYC refresh cases; validation of next review date and documentation completeness.</t>
        </is>
      </c>
      <c r="F73" s="9" t="inlineStr">
        <is>
          <t>Must-Have</t>
        </is>
      </c>
      <c r="G73" s="9" t="inlineStr">
        <is>
          <t>Medium</t>
        </is>
      </c>
      <c r="H73" s="10" t="inlineStr">
        <is>
          <t>No</t>
        </is>
      </c>
    </row>
    <row r="74">
      <c r="A74" s="17" t="inlineStr">
        <is>
          <t>KYC-014</t>
        </is>
      </c>
      <c r="B74" s="18" t="inlineStr">
        <is>
          <t>KYC Audit Automation</t>
        </is>
      </c>
      <c r="C74" s="19" t="inlineStr">
        <is>
          <t>Compliance Validation</t>
        </is>
      </c>
      <c r="D74" s="7" t="inlineStr">
        <is>
          <t>Regulatory and Internal Policy Adherence</t>
        </is>
      </c>
      <c r="E74" s="8" t="inlineStr">
        <is>
          <t>Alignment with RBI KYC Master Directions; bank-specific policy checks; FATCA / CRS field verification.</t>
        </is>
      </c>
      <c r="F74" s="9" t="inlineStr">
        <is>
          <t>Must-Have</t>
        </is>
      </c>
      <c r="G74" s="9" t="inlineStr">
        <is>
          <t>High</t>
        </is>
      </c>
      <c r="H74" s="10" t="inlineStr">
        <is>
          <t>No</t>
        </is>
      </c>
    </row>
    <row r="75">
      <c r="A75" s="17" t="inlineStr">
        <is>
          <t>KYC-015</t>
        </is>
      </c>
      <c r="B75" s="18" t="inlineStr">
        <is>
          <t>KYC Audit Automation</t>
        </is>
      </c>
      <c r="C75" s="19" t="inlineStr">
        <is>
          <t>Compliance Validation</t>
        </is>
      </c>
      <c r="D75" s="7" t="inlineStr">
        <is>
          <t>Document Completeness Validation</t>
        </is>
      </c>
      <c r="E75" s="8" t="inlineStr">
        <is>
          <t>Mandatory document checklist verification based on customer type; identification of missing or expired documents; validation of digital KYC / Video KYC metadata where applicable.</t>
        </is>
      </c>
      <c r="F75" s="9" t="inlineStr">
        <is>
          <t>Must-Have</t>
        </is>
      </c>
      <c r="G75" s="9" t="inlineStr">
        <is>
          <t>Medium</t>
        </is>
      </c>
      <c r="H75" s="10" t="inlineStr">
        <is>
          <t>Yes</t>
        </is>
      </c>
    </row>
    <row r="76">
      <c r="A76" s="17" t="inlineStr">
        <is>
          <t>KYC-016</t>
        </is>
      </c>
      <c r="B76" s="18" t="inlineStr">
        <is>
          <t>KYC Audit Automation</t>
        </is>
      </c>
      <c r="C76" s="19" t="inlineStr">
        <is>
          <t>Exception Detection</t>
        </is>
      </c>
      <c r="D76" s="7" t="inlineStr">
        <is>
          <t>High-Risk Deviation Auto-Flagging</t>
        </is>
      </c>
      <c r="E76" s="8" t="inlineStr">
        <is>
          <t>Auto-flag high-risk deviations such as expired KYC, incorrect risk category and AML non-adherence.</t>
        </is>
      </c>
      <c r="F76" s="9" t="inlineStr">
        <is>
          <t>Must-Have</t>
        </is>
      </c>
      <c r="G76" s="9" t="inlineStr">
        <is>
          <t>Medium</t>
        </is>
      </c>
      <c r="H76" s="10" t="inlineStr">
        <is>
          <t>Yes</t>
        </is>
      </c>
    </row>
    <row r="77">
      <c r="A77" s="17" t="inlineStr">
        <is>
          <t>KYC-017</t>
        </is>
      </c>
      <c r="B77" s="18" t="inlineStr">
        <is>
          <t>KYC Audit Automation</t>
        </is>
      </c>
      <c r="C77" s="19" t="inlineStr">
        <is>
          <t>Exception Detection</t>
        </is>
      </c>
      <c r="D77" s="7" t="inlineStr">
        <is>
          <t>Exception Categorisation</t>
        </is>
      </c>
      <c r="E77" s="8" t="inlineStr">
        <is>
          <t>Categorise exceptions as regulatory, operational, or documentation-related.</t>
        </is>
      </c>
      <c r="F77" s="9" t="inlineStr">
        <is>
          <t>Must-Have</t>
        </is>
      </c>
      <c r="G77" s="9" t="inlineStr">
        <is>
          <t>Low</t>
        </is>
      </c>
      <c r="H77" s="10" t="inlineStr">
        <is>
          <t>No</t>
        </is>
      </c>
    </row>
    <row r="78">
      <c r="A78" s="17" t="inlineStr">
        <is>
          <t>KYC-018</t>
        </is>
      </c>
      <c r="B78" s="18" t="inlineStr">
        <is>
          <t>KYC Audit Automation</t>
        </is>
      </c>
      <c r="C78" s="19" t="inlineStr">
        <is>
          <t>Exception Detection</t>
        </is>
      </c>
      <c r="D78" s="7" t="inlineStr">
        <is>
          <t>Rule-Based Severity Ranking</t>
        </is>
      </c>
      <c r="E78" s="8" t="inlineStr">
        <is>
          <t>Provide rule-based severity ranking (Critical, High, Medium, Low).</t>
        </is>
      </c>
      <c r="F78" s="9" t="inlineStr">
        <is>
          <t>Must-Have</t>
        </is>
      </c>
      <c r="G78" s="9" t="inlineStr">
        <is>
          <t>Low</t>
        </is>
      </c>
      <c r="H78" s="10" t="inlineStr">
        <is>
          <t>Yes</t>
        </is>
      </c>
    </row>
    <row r="79">
      <c r="A79" s="17" t="inlineStr">
        <is>
          <t>KYC-019</t>
        </is>
      </c>
      <c r="B79" s="18" t="inlineStr">
        <is>
          <t>KYC Audit Automation</t>
        </is>
      </c>
      <c r="C79" s="19" t="inlineStr">
        <is>
          <t>Exception Detection</t>
        </is>
      </c>
      <c r="D79" s="7" t="inlineStr">
        <is>
          <t>Bulk Closure and Revalidation</t>
        </is>
      </c>
      <c r="E79" s="8" t="inlineStr">
        <is>
          <t>Enable bulk closure, comments, and revalidation of exceptions.</t>
        </is>
      </c>
      <c r="F79" s="9" t="inlineStr">
        <is>
          <t>Must-Have</t>
        </is>
      </c>
      <c r="G79" s="9" t="inlineStr">
        <is>
          <t>Medium</t>
        </is>
      </c>
      <c r="H79" s="10" t="inlineStr">
        <is>
          <t>No</t>
        </is>
      </c>
    </row>
    <row r="80">
      <c r="A80" s="17" t="inlineStr">
        <is>
          <t>KYC-020</t>
        </is>
      </c>
      <c r="B80" s="18" t="inlineStr">
        <is>
          <t>KYC Audit Automation</t>
        </is>
      </c>
      <c r="C80" s="19" t="inlineStr">
        <is>
          <t>Exception Detection</t>
        </is>
      </c>
      <c r="D80" s="7" t="inlineStr">
        <is>
          <t>Traceable Exception Evidence</t>
        </is>
      </c>
      <c r="E80" s="8" t="inlineStr">
        <is>
          <t>Maintain traceable evidence for each exception raised and closed.</t>
        </is>
      </c>
      <c r="F80" s="9" t="inlineStr">
        <is>
          <t>Must-Have</t>
        </is>
      </c>
      <c r="G80" s="9" t="inlineStr">
        <is>
          <t>Medium</t>
        </is>
      </c>
      <c r="H80" s="10" t="inlineStr">
        <is>
          <t>Yes</t>
        </is>
      </c>
    </row>
    <row r="81">
      <c r="A81" s="17" t="inlineStr">
        <is>
          <t>KYC-021</t>
        </is>
      </c>
      <c r="B81" s="18" t="inlineStr">
        <is>
          <t>KYC Audit Automation</t>
        </is>
      </c>
      <c r="C81" s="19" t="inlineStr">
        <is>
          <t>Automated Sampling</t>
        </is>
      </c>
      <c r="D81" s="7" t="inlineStr">
        <is>
          <t>Rule-Based Automated Sampling</t>
        </is>
      </c>
      <c r="E81" s="8" t="inlineStr">
        <is>
          <t>Rule-based automated sampling (risk-based, random, judgmental).</t>
        </is>
      </c>
      <c r="F81" s="9" t="inlineStr">
        <is>
          <t>Should-Have</t>
        </is>
      </c>
      <c r="G81" s="9" t="inlineStr">
        <is>
          <t>Medium</t>
        </is>
      </c>
      <c r="H81" s="10" t="inlineStr">
        <is>
          <t>Yes</t>
        </is>
      </c>
    </row>
    <row r="82">
      <c r="A82" s="17" t="inlineStr">
        <is>
          <t>KYC-022</t>
        </is>
      </c>
      <c r="B82" s="18" t="inlineStr">
        <is>
          <t>KYC Audit Automation</t>
        </is>
      </c>
      <c r="C82" s="19" t="inlineStr">
        <is>
          <t>Automated Sampling</t>
        </is>
      </c>
      <c r="D82" s="7" t="inlineStr">
        <is>
          <t>Stratified Sampling by Customer Type</t>
        </is>
      </c>
      <c r="E82" s="8" t="inlineStr">
        <is>
          <t>Stratified sampling based on customer type (Retail, SME, Corporate, NRI, HNI, etc.).</t>
        </is>
      </c>
      <c r="F82" s="9" t="inlineStr">
        <is>
          <t>Should-Have</t>
        </is>
      </c>
      <c r="G82" s="9" t="inlineStr">
        <is>
          <t>Medium</t>
        </is>
      </c>
      <c r="H82" s="10" t="inlineStr">
        <is>
          <t>No</t>
        </is>
      </c>
    </row>
    <row r="83">
      <c r="A83" s="17" t="inlineStr">
        <is>
          <t>KYC-023</t>
        </is>
      </c>
      <c r="B83" s="18" t="inlineStr">
        <is>
          <t>KYC Audit Automation</t>
        </is>
      </c>
      <c r="C83" s="19" t="inlineStr">
        <is>
          <t>Automated Sampling</t>
        </is>
      </c>
      <c r="D83" s="7" t="inlineStr">
        <is>
          <t>Auditor Override with Justification</t>
        </is>
      </c>
      <c r="E83" s="8" t="inlineStr">
        <is>
          <t>Auditor override capability with justification capture.</t>
        </is>
      </c>
      <c r="F83" s="9" t="inlineStr">
        <is>
          <t>Should-Have</t>
        </is>
      </c>
      <c r="G83" s="9" t="inlineStr">
        <is>
          <t>Low</t>
        </is>
      </c>
      <c r="H83" s="10" t="inlineStr">
        <is>
          <t>No</t>
        </is>
      </c>
    </row>
    <row r="84">
      <c r="A84" s="17" t="inlineStr">
        <is>
          <t>KYC-024</t>
        </is>
      </c>
      <c r="B84" s="18" t="inlineStr">
        <is>
          <t>KYC Audit Automation</t>
        </is>
      </c>
      <c r="C84" s="19" t="inlineStr">
        <is>
          <t>Automated Sampling</t>
        </is>
      </c>
      <c r="D84" s="7" t="inlineStr">
        <is>
          <t>Sampling Logic Audit Trail</t>
        </is>
      </c>
      <c r="E84" s="8" t="inlineStr">
        <is>
          <t>Audit trail of sampling logic and selection decisions.</t>
        </is>
      </c>
      <c r="F84" s="9" t="inlineStr">
        <is>
          <t>Should-Have</t>
        </is>
      </c>
      <c r="G84" s="9" t="inlineStr">
        <is>
          <t>Low</t>
        </is>
      </c>
      <c r="H84" s="10" t="inlineStr">
        <is>
          <t>Yes</t>
        </is>
      </c>
    </row>
    <row r="85">
      <c r="A85" s="17" t="inlineStr">
        <is>
          <t>KYC-025</t>
        </is>
      </c>
      <c r="B85" s="18" t="inlineStr">
        <is>
          <t>KYC Audit Automation</t>
        </is>
      </c>
      <c r="C85" s="19" t="inlineStr">
        <is>
          <t>Checklist Automation</t>
        </is>
      </c>
      <c r="D85" s="7" t="inlineStr">
        <is>
          <t>Dynamic KYC Checklist Generation</t>
        </is>
      </c>
      <c r="E85" s="8" t="inlineStr">
        <is>
          <t>Generate dynamic KYC audit checklists based on customer segment, product, and risk category.</t>
        </is>
      </c>
      <c r="F85" s="9" t="inlineStr">
        <is>
          <t>Must-Have</t>
        </is>
      </c>
      <c r="G85" s="9" t="inlineStr">
        <is>
          <t>Medium</t>
        </is>
      </c>
      <c r="H85" s="10" t="inlineStr">
        <is>
          <t>No</t>
        </is>
      </c>
    </row>
    <row r="86">
      <c r="A86" s="17" t="inlineStr">
        <is>
          <t>KYC-026</t>
        </is>
      </c>
      <c r="B86" s="18" t="inlineStr">
        <is>
          <t>KYC Audit Automation</t>
        </is>
      </c>
      <c r="C86" s="19" t="inlineStr">
        <is>
          <t>Checklist Automation</t>
        </is>
      </c>
      <c r="D86" s="7" t="inlineStr">
        <is>
          <t>Auto-Population from Customer Data</t>
        </is>
      </c>
      <c r="E86" s="8" t="inlineStr">
        <is>
          <t>Auto-populate checklist fields using ingested customer data.</t>
        </is>
      </c>
      <c r="F86" s="9" t="inlineStr">
        <is>
          <t>Must-Have</t>
        </is>
      </c>
      <c r="G86" s="9" t="inlineStr">
        <is>
          <t>Medium</t>
        </is>
      </c>
      <c r="H86" s="10" t="inlineStr">
        <is>
          <t>No</t>
        </is>
      </c>
    </row>
    <row r="87">
      <c r="A87" s="17" t="inlineStr">
        <is>
          <t>KYC-027</t>
        </is>
      </c>
      <c r="B87" s="18" t="inlineStr">
        <is>
          <t>KYC Audit Automation</t>
        </is>
      </c>
      <c r="C87" s="19" t="inlineStr">
        <is>
          <t>Checklist Automation</t>
        </is>
      </c>
      <c r="D87" s="7" t="inlineStr">
        <is>
          <t>Version-Controlled Checklist Templates</t>
        </is>
      </c>
      <c r="E87" s="8" t="inlineStr">
        <is>
          <t>Support version-controlled, configurable checklist templates.</t>
        </is>
      </c>
      <c r="F87" s="9" t="inlineStr">
        <is>
          <t>Must-Have</t>
        </is>
      </c>
      <c r="G87" s="9" t="inlineStr">
        <is>
          <t>Medium</t>
        </is>
      </c>
      <c r="H87" s="10" t="inlineStr">
        <is>
          <t>No</t>
        </is>
      </c>
    </row>
    <row r="88">
      <c r="A88" s="17" t="inlineStr">
        <is>
          <t>KYC-028</t>
        </is>
      </c>
      <c r="B88" s="18" t="inlineStr">
        <is>
          <t>KYC Audit Automation</t>
        </is>
      </c>
      <c r="C88" s="19" t="inlineStr">
        <is>
          <t>Checklist Automation</t>
        </is>
      </c>
      <c r="D88" s="7" t="inlineStr">
        <is>
          <t>Supporting Document Attachment and Tagging</t>
        </is>
      </c>
      <c r="E88" s="8" t="inlineStr">
        <is>
          <t>Allow attachment and tagging of supporting documents.</t>
        </is>
      </c>
      <c r="F88" s="9" t="inlineStr">
        <is>
          <t>Must-Have</t>
        </is>
      </c>
      <c r="G88" s="9" t="inlineStr">
        <is>
          <t>Low</t>
        </is>
      </c>
      <c r="H88" s="10" t="inlineStr">
        <is>
          <t>Yes</t>
        </is>
      </c>
    </row>
    <row r="89">
      <c r="A89" s="17" t="inlineStr">
        <is>
          <t>KYC-029</t>
        </is>
      </c>
      <c r="B89" s="18" t="inlineStr">
        <is>
          <t>KYC Audit Automation</t>
        </is>
      </c>
      <c r="C89" s="19" t="inlineStr">
        <is>
          <t>Workflow &amp; Query Management</t>
        </is>
      </c>
      <c r="D89" s="7" t="inlineStr">
        <is>
          <t>Exception Review, Approval and Closure Workflow</t>
        </is>
      </c>
      <c r="E89" s="8" t="inlineStr">
        <is>
          <t>Provide workflows for exception review, approval, and closure.</t>
        </is>
      </c>
      <c r="F89" s="9" t="inlineStr">
        <is>
          <t>Must-Have</t>
        </is>
      </c>
      <c r="G89" s="9" t="inlineStr">
        <is>
          <t>Medium</t>
        </is>
      </c>
      <c r="H89" s="10" t="inlineStr">
        <is>
          <t>Yes</t>
        </is>
      </c>
    </row>
    <row r="90">
      <c r="A90" s="17" t="inlineStr">
        <is>
          <t>KYC-030</t>
        </is>
      </c>
      <c r="B90" s="18" t="inlineStr">
        <is>
          <t>KYC Audit Automation</t>
        </is>
      </c>
      <c r="C90" s="19" t="inlineStr">
        <is>
          <t>Workflow &amp; Query Management</t>
        </is>
      </c>
      <c r="D90" s="7" t="inlineStr">
        <is>
          <t>Branch and Auditee Query Raising</t>
        </is>
      </c>
      <c r="E90" s="8" t="inlineStr">
        <is>
          <t>Enable auditors to raise queries to branches / auditees with email and portal notifications.</t>
        </is>
      </c>
      <c r="F90" s="9" t="inlineStr">
        <is>
          <t>Must-Have</t>
        </is>
      </c>
      <c r="G90" s="9" t="inlineStr">
        <is>
          <t>Medium</t>
        </is>
      </c>
      <c r="H90" s="10" t="inlineStr">
        <is>
          <t>No</t>
        </is>
      </c>
    </row>
    <row r="91">
      <c r="A91" s="17" t="inlineStr">
        <is>
          <t>KYC-031</t>
        </is>
      </c>
      <c r="B91" s="18" t="inlineStr">
        <is>
          <t>KYC Audit Automation</t>
        </is>
      </c>
      <c r="C91" s="19" t="inlineStr">
        <is>
          <t>Workflow &amp; Query Management</t>
        </is>
      </c>
      <c r="D91" s="7" t="inlineStr">
        <is>
          <t>Response and Document Capture</t>
        </is>
      </c>
      <c r="E91" s="8" t="inlineStr">
        <is>
          <t>Capture responses, documents, and comments with full audit trails.</t>
        </is>
      </c>
      <c r="F91" s="9" t="inlineStr">
        <is>
          <t>Must-Have</t>
        </is>
      </c>
      <c r="G91" s="9" t="inlineStr">
        <is>
          <t>Medium</t>
        </is>
      </c>
      <c r="H91" s="10" t="inlineStr">
        <is>
          <t>Yes</t>
        </is>
      </c>
    </row>
    <row r="92">
      <c r="A92" s="17" t="inlineStr">
        <is>
          <t>KYC-032</t>
        </is>
      </c>
      <c r="B92" s="18" t="inlineStr">
        <is>
          <t>KYC Audit Automation</t>
        </is>
      </c>
      <c r="C92" s="19" t="inlineStr">
        <is>
          <t>Workflow &amp; Query Management</t>
        </is>
      </c>
      <c r="D92" s="7" t="inlineStr">
        <is>
          <t>Team Collaboration</t>
        </is>
      </c>
      <c r="E92" s="8" t="inlineStr">
        <is>
          <t>Support team collaboration through notes, tagging, and case-level discussions.</t>
        </is>
      </c>
      <c r="F92" s="9" t="inlineStr">
        <is>
          <t>Must-Have</t>
        </is>
      </c>
      <c r="G92" s="9" t="inlineStr">
        <is>
          <t>Low</t>
        </is>
      </c>
      <c r="H92" s="10" t="inlineStr">
        <is>
          <t>Yes</t>
        </is>
      </c>
    </row>
    <row r="93">
      <c r="A93" s="17" t="inlineStr">
        <is>
          <t>KYC-033</t>
        </is>
      </c>
      <c r="B93" s="18" t="inlineStr">
        <is>
          <t>KYC Audit Automation</t>
        </is>
      </c>
      <c r="C93" s="19" t="inlineStr">
        <is>
          <t>Dashboards &amp; Analytics</t>
        </is>
      </c>
      <c r="D93" s="7" t="inlineStr">
        <is>
          <t>Multi-Dimensional Exception Dashboards</t>
        </is>
      </c>
      <c r="E93" s="8" t="inlineStr">
        <is>
          <t>Branch, region, customer-type and period-wise exception dashboards.</t>
        </is>
      </c>
      <c r="F93" s="9" t="inlineStr">
        <is>
          <t>Must-Have</t>
        </is>
      </c>
      <c r="G93" s="9" t="inlineStr">
        <is>
          <t>Medium</t>
        </is>
      </c>
      <c r="H93" s="10" t="inlineStr">
        <is>
          <t>No</t>
        </is>
      </c>
    </row>
    <row r="94">
      <c r="A94" s="17" t="inlineStr">
        <is>
          <t>KYC-034</t>
        </is>
      </c>
      <c r="B94" s="18" t="inlineStr">
        <is>
          <t>KYC Audit Automation</t>
        </is>
      </c>
      <c r="C94" s="19" t="inlineStr">
        <is>
          <t>Dashboards &amp; Analytics</t>
        </is>
      </c>
      <c r="D94" s="7" t="inlineStr">
        <is>
          <t>Risk Clustering Heat Maps</t>
        </is>
      </c>
      <c r="E94" s="8" t="inlineStr">
        <is>
          <t>Heat maps for risk clustering across geographies and customer categories.</t>
        </is>
      </c>
      <c r="F94" s="9" t="inlineStr">
        <is>
          <t>Must-Have</t>
        </is>
      </c>
      <c r="G94" s="9" t="inlineStr">
        <is>
          <t>Medium</t>
        </is>
      </c>
      <c r="H94" s="10" t="inlineStr">
        <is>
          <t>Yes</t>
        </is>
      </c>
    </row>
    <row r="95">
      <c r="A95" s="17" t="inlineStr">
        <is>
          <t>KYC-035</t>
        </is>
      </c>
      <c r="B95" s="18" t="inlineStr">
        <is>
          <t>KYC Audit Automation</t>
        </is>
      </c>
      <c r="C95" s="19" t="inlineStr">
        <is>
          <t>Dashboards &amp; Analytics</t>
        </is>
      </c>
      <c r="D95" s="7" t="inlineStr">
        <is>
          <t>Recurring Deficiency Trend Analysis</t>
        </is>
      </c>
      <c r="E95" s="8" t="inlineStr">
        <is>
          <t>Trend analysis for recurring KYC deficiencies.</t>
        </is>
      </c>
      <c r="F95" s="9" t="inlineStr">
        <is>
          <t>Must-Have</t>
        </is>
      </c>
      <c r="G95" s="9" t="inlineStr">
        <is>
          <t>Medium</t>
        </is>
      </c>
      <c r="H95" s="10" t="inlineStr">
        <is>
          <t>Yes</t>
        </is>
      </c>
    </row>
    <row r="96">
      <c r="A96" s="17" t="inlineStr">
        <is>
          <t>KYC-036</t>
        </is>
      </c>
      <c r="B96" s="18" t="inlineStr">
        <is>
          <t>KYC Audit Automation</t>
        </is>
      </c>
      <c r="C96" s="19" t="inlineStr">
        <is>
          <t>Dashboards &amp; Analytics</t>
        </is>
      </c>
      <c r="D96" s="7" t="inlineStr">
        <is>
          <t>Aggregate to Customer-Level Drill-Down</t>
        </is>
      </c>
      <c r="E96" s="8" t="inlineStr">
        <is>
          <t>Drill-down from aggregate to customer / account-level view.</t>
        </is>
      </c>
      <c r="F96" s="9" t="inlineStr">
        <is>
          <t>Must-Have</t>
        </is>
      </c>
      <c r="G96" s="9" t="inlineStr">
        <is>
          <t>Medium</t>
        </is>
      </c>
      <c r="H96" s="10" t="inlineStr">
        <is>
          <t>Yes</t>
        </is>
      </c>
    </row>
    <row r="97">
      <c r="A97" s="17" t="inlineStr">
        <is>
          <t>KYC-037</t>
        </is>
      </c>
      <c r="B97" s="18" t="inlineStr">
        <is>
          <t>KYC Audit Automation</t>
        </is>
      </c>
      <c r="C97" s="19" t="inlineStr">
        <is>
          <t>Dashboards &amp; Analytics</t>
        </is>
      </c>
      <c r="D97" s="7" t="inlineStr">
        <is>
          <t>Dashboard and Data Export</t>
        </is>
      </c>
      <c r="E97" s="8" t="inlineStr">
        <is>
          <t>Exportable dashboard and data outputs.</t>
        </is>
      </c>
      <c r="F97" s="9" t="inlineStr">
        <is>
          <t>Must-Have</t>
        </is>
      </c>
      <c r="G97" s="9" t="inlineStr">
        <is>
          <t>Low</t>
        </is>
      </c>
      <c r="H97" s="10" t="inlineStr">
        <is>
          <t>Yes</t>
        </is>
      </c>
    </row>
    <row r="98">
      <c r="A98" s="17" t="inlineStr">
        <is>
          <t>KYC-038</t>
        </is>
      </c>
      <c r="B98" s="18" t="inlineStr">
        <is>
          <t>KYC Audit Automation</t>
        </is>
      </c>
      <c r="C98" s="19" t="inlineStr">
        <is>
          <t>Rules Engine</t>
        </is>
      </c>
      <c r="D98" s="7" t="inlineStr">
        <is>
          <t>No-Code KYC Rule Engine</t>
        </is>
      </c>
      <c r="E98" s="8" t="inlineStr">
        <is>
          <t>A configurable, no-code rule engine to modify or add KYC validation rules.</t>
        </is>
      </c>
      <c r="F98" s="9" t="inlineStr">
        <is>
          <t>Must-Have</t>
        </is>
      </c>
      <c r="G98" s="9" t="inlineStr">
        <is>
          <t>High</t>
        </is>
      </c>
      <c r="H98" s="10" t="inlineStr">
        <is>
          <t>Yes</t>
        </is>
      </c>
    </row>
    <row r="99">
      <c r="A99" s="17" t="inlineStr">
        <is>
          <t>KYC-039</t>
        </is>
      </c>
      <c r="B99" s="18" t="inlineStr">
        <is>
          <t>KYC Audit Automation</t>
        </is>
      </c>
      <c r="C99" s="19" t="inlineStr">
        <is>
          <t>Rules Engine</t>
        </is>
      </c>
      <c r="D99" s="7" t="inlineStr">
        <is>
          <t>Rule Versioning and Historical Comparison</t>
        </is>
      </c>
      <c r="E99" s="8" t="inlineStr">
        <is>
          <t>Rule versioning, approvals, and historical comparison capability.</t>
        </is>
      </c>
      <c r="F99" s="9" t="inlineStr">
        <is>
          <t>Must-Have</t>
        </is>
      </c>
      <c r="G99" s="9" t="inlineStr">
        <is>
          <t>Medium</t>
        </is>
      </c>
      <c r="H99" s="10" t="inlineStr">
        <is>
          <t>No</t>
        </is>
      </c>
    </row>
    <row r="100">
      <c r="A100" s="17" t="inlineStr">
        <is>
          <t>KYC-040</t>
        </is>
      </c>
      <c r="B100" s="18" t="inlineStr">
        <is>
          <t>KYC Audit Automation</t>
        </is>
      </c>
      <c r="C100" s="19" t="inlineStr">
        <is>
          <t>Rules Engine</t>
        </is>
      </c>
      <c r="D100" s="7" t="inlineStr">
        <is>
          <t>Rule Impact Simulation</t>
        </is>
      </c>
      <c r="E100" s="8" t="inlineStr">
        <is>
          <t>Ability to simulate rule impact before deployment.</t>
        </is>
      </c>
      <c r="F100" s="9" t="inlineStr">
        <is>
          <t>Must-Have</t>
        </is>
      </c>
      <c r="G100" s="9" t="inlineStr">
        <is>
          <t>High</t>
        </is>
      </c>
      <c r="H100" s="10" t="inlineStr">
        <is>
          <t>Yes</t>
        </is>
      </c>
    </row>
    <row r="101">
      <c r="A101" s="17" t="inlineStr">
        <is>
          <t>KYC-041</t>
        </is>
      </c>
      <c r="B101" s="18" t="inlineStr">
        <is>
          <t>KYC Audit Automation</t>
        </is>
      </c>
      <c r="C101" s="19" t="inlineStr">
        <is>
          <t>Rules Engine</t>
        </is>
      </c>
      <c r="D101" s="7" t="inlineStr">
        <is>
          <t>Rule Change Logging</t>
        </is>
      </c>
      <c r="E101" s="8" t="inlineStr">
        <is>
          <t>Detailed logs of rule changes.</t>
        </is>
      </c>
      <c r="F101" s="9" t="inlineStr">
        <is>
          <t>Must-Have</t>
        </is>
      </c>
      <c r="G101" s="9" t="inlineStr">
        <is>
          <t>Low</t>
        </is>
      </c>
      <c r="H101" s="10" t="inlineStr">
        <is>
          <t>No</t>
        </is>
      </c>
    </row>
    <row r="102">
      <c r="A102" s="17" t="inlineStr">
        <is>
          <t>KYC-042</t>
        </is>
      </c>
      <c r="B102" s="18" t="inlineStr">
        <is>
          <t>KYC Audit Automation</t>
        </is>
      </c>
      <c r="C102" s="19" t="inlineStr">
        <is>
          <t>Reporting</t>
        </is>
      </c>
      <c r="D102" s="7" t="inlineStr">
        <is>
          <t>Standard KYC Audit Report Suite</t>
        </is>
      </c>
      <c r="E102" s="8" t="inlineStr">
        <is>
          <t>Automatic generation of: KYC Exception Report; High-Risk Customer Summary; Periodic KYC Review Status Report; Document Completeness Report; Sampled Customer List; and Compliance Scorecard for branches.</t>
        </is>
      </c>
      <c r="F102" s="9" t="inlineStr">
        <is>
          <t>Must-Have</t>
        </is>
      </c>
      <c r="G102" s="9" t="inlineStr">
        <is>
          <t>Medium</t>
        </is>
      </c>
      <c r="H102" s="10" t="inlineStr">
        <is>
          <t>No</t>
        </is>
      </c>
    </row>
    <row r="103">
      <c r="A103" s="17" t="inlineStr">
        <is>
          <t>KYC-043</t>
        </is>
      </c>
      <c r="B103" s="18" t="inlineStr">
        <is>
          <t>KYC Audit Automation</t>
        </is>
      </c>
      <c r="C103" s="19" t="inlineStr">
        <is>
          <t>Reporting</t>
        </is>
      </c>
      <c r="D103" s="7" t="inlineStr">
        <is>
          <t>Report Export Formats</t>
        </is>
      </c>
      <c r="E103" s="8" t="inlineStr">
        <is>
          <t>Reports must be exportable to Excel, PDF, and CSV.</t>
        </is>
      </c>
      <c r="F103" s="9" t="inlineStr">
        <is>
          <t>Must-Have</t>
        </is>
      </c>
      <c r="G103" s="9" t="inlineStr">
        <is>
          <t>Low</t>
        </is>
      </c>
      <c r="H103" s="10" t="inlineStr">
        <is>
          <t>Yes</t>
        </is>
      </c>
    </row>
    <row r="104">
      <c r="A104" s="20" t="inlineStr">
        <is>
          <t>ACL-001</t>
        </is>
      </c>
      <c r="B104" s="21" t="inlineStr">
        <is>
          <t>Audit Checklist Automation</t>
        </is>
      </c>
      <c r="C104" s="22" t="inlineStr">
        <is>
          <t>Generation</t>
        </is>
      </c>
      <c r="D104" s="7" t="inlineStr">
        <is>
          <t>Automated Checklist Generation from Source Documents</t>
        </is>
      </c>
      <c r="E104" s="8" t="inlineStr">
        <is>
          <t>The solution must provide automated generation and dynamic updating of audit checklists by interpreting inputs from regulatory guidelines, circulars, policy updates, standard operating procedures (SOPs), and internal governance documents.</t>
        </is>
      </c>
      <c r="F104" s="9" t="inlineStr">
        <is>
          <t>Must-Have</t>
        </is>
      </c>
      <c r="G104" s="9" t="inlineStr">
        <is>
          <t>High</t>
        </is>
      </c>
      <c r="H104" s="10" t="inlineStr">
        <is>
          <t>No</t>
        </is>
      </c>
    </row>
    <row r="105">
      <c r="A105" s="20" t="inlineStr">
        <is>
          <t>ACL-002</t>
        </is>
      </c>
      <c r="B105" s="21" t="inlineStr">
        <is>
          <t>Audit Checklist Automation</t>
        </is>
      </c>
      <c r="C105" s="22" t="inlineStr">
        <is>
          <t>Rule Repository</t>
        </is>
      </c>
      <c r="D105" s="7" t="inlineStr">
        <is>
          <t>Central Regulatory-to-Checklist Rule Repository</t>
        </is>
      </c>
      <c r="E105" s="8" t="inlineStr">
        <is>
          <t>The system should maintain a central rule repository that maps regulatory and policy requirements to specific checklist conditions.</t>
        </is>
      </c>
      <c r="F105" s="9" t="inlineStr">
        <is>
          <t>Should-Have</t>
        </is>
      </c>
      <c r="G105" s="9" t="inlineStr">
        <is>
          <t>High</t>
        </is>
      </c>
      <c r="H105" s="10" t="inlineStr">
        <is>
          <t>No</t>
        </is>
      </c>
    </row>
    <row r="106">
      <c r="A106" s="20" t="inlineStr">
        <is>
          <t>ACL-003</t>
        </is>
      </c>
      <c r="B106" s="21" t="inlineStr">
        <is>
          <t>Audit Checklist Automation</t>
        </is>
      </c>
      <c r="C106" s="22" t="inlineStr">
        <is>
          <t>Auto-Update</t>
        </is>
      </c>
      <c r="D106" s="7" t="inlineStr">
        <is>
          <t>Automatic Update on Regulatory or Policy Change</t>
        </is>
      </c>
      <c r="E106" s="8" t="inlineStr">
        <is>
          <t>It must automatically update checklist items when new regulatory releases, amendments, or internal policy changes occur, ensuring real-time compliance readiness.</t>
        </is>
      </c>
      <c r="F106" s="9" t="inlineStr">
        <is>
          <t>Must-Have</t>
        </is>
      </c>
      <c r="G106" s="9" t="inlineStr">
        <is>
          <t>High</t>
        </is>
      </c>
      <c r="H106" s="10" t="inlineStr">
        <is>
          <t>No</t>
        </is>
      </c>
    </row>
    <row r="107">
      <c r="A107" s="20" t="inlineStr">
        <is>
          <t>ACL-004</t>
        </is>
      </c>
      <c r="B107" s="21" t="inlineStr">
        <is>
          <t>Audit Checklist Automation</t>
        </is>
      </c>
      <c r="C107" s="22" t="inlineStr">
        <is>
          <t>Governance</t>
        </is>
      </c>
      <c r="D107" s="7" t="inlineStr">
        <is>
          <t>Version Control, Approval and Traceability</t>
        </is>
      </c>
      <c r="E107" s="8" t="inlineStr">
        <is>
          <t>The platform should support version control, approval workflows, and traceability for all checklist updates.</t>
        </is>
      </c>
      <c r="F107" s="9" t="inlineStr">
        <is>
          <t>Should-Have</t>
        </is>
      </c>
      <c r="G107" s="9" t="inlineStr">
        <is>
          <t>Medium</t>
        </is>
      </c>
      <c r="H107" s="10" t="inlineStr">
        <is>
          <t>No</t>
        </is>
      </c>
    </row>
    <row r="108">
      <c r="A108" s="20" t="inlineStr">
        <is>
          <t>ACL-005</t>
        </is>
      </c>
      <c r="B108" s="21" t="inlineStr">
        <is>
          <t>Audit Checklist Automation</t>
        </is>
      </c>
      <c r="C108" s="22" t="inlineStr">
        <is>
          <t>Customisation</t>
        </is>
      </c>
      <c r="D108" s="7" t="inlineStr">
        <is>
          <t>Auditor Customisation with Preserved Linkage</t>
        </is>
      </c>
      <c r="E108" s="8" t="inlineStr">
        <is>
          <t>The system must allow auditors to customise or add checklist items based on audit scope while preserving linkage to underlying regulatory or policy references.</t>
        </is>
      </c>
      <c r="F108" s="9" t="inlineStr">
        <is>
          <t>Must-Have</t>
        </is>
      </c>
      <c r="G108" s="9" t="inlineStr">
        <is>
          <t>Medium</t>
        </is>
      </c>
      <c r="H108" s="10" t="inlineStr">
        <is>
          <t>No</t>
        </is>
      </c>
    </row>
    <row r="109">
      <c r="A109" s="20" t="inlineStr">
        <is>
          <t>ACL-006</t>
        </is>
      </c>
      <c r="B109" s="21" t="inlineStr">
        <is>
          <t>Audit Checklist Automation</t>
        </is>
      </c>
      <c r="C109" s="22" t="inlineStr">
        <is>
          <t>Output Structure</t>
        </is>
      </c>
      <c r="D109" s="7" t="inlineStr">
        <is>
          <t>Process-wise, Entity-wise and Risk-Aligned Output</t>
        </is>
      </c>
      <c r="E109" s="8" t="inlineStr">
        <is>
          <t>The output checklists should be process-wise, entity-wise, and risk-aligned, ensuring consistency.</t>
        </is>
      </c>
      <c r="F109" s="9" t="inlineStr">
        <is>
          <t>Should-Have</t>
        </is>
      </c>
      <c r="G109" s="9" t="inlineStr">
        <is>
          <t>Medium</t>
        </is>
      </c>
      <c r="H109" s="10" t="inlineStr">
        <is>
          <t>No</t>
        </is>
      </c>
    </row>
    <row r="110">
      <c r="A110" s="20" t="inlineStr">
        <is>
          <t>ACL-007</t>
        </is>
      </c>
      <c r="B110" s="21" t="inlineStr">
        <is>
          <t>Audit Checklist Automation</t>
        </is>
      </c>
      <c r="C110" s="22" t="inlineStr">
        <is>
          <t>Triggering</t>
        </is>
      </c>
      <c r="D110" s="7" t="inlineStr">
        <is>
          <t>Automated Checklist Triggering</t>
        </is>
      </c>
      <c r="E110" s="8" t="inlineStr">
        <is>
          <t>Automated trigger of relevant checklists based on the area or process selected.</t>
        </is>
      </c>
      <c r="F110" s="9" t="inlineStr">
        <is>
          <t>Must-Have</t>
        </is>
      </c>
      <c r="G110" s="9" t="inlineStr">
        <is>
          <t>Medium</t>
        </is>
      </c>
      <c r="H110" s="10" t="inlineStr">
        <is>
          <t>No</t>
        </is>
      </c>
    </row>
    <row r="111">
      <c r="A111" s="20" t="inlineStr">
        <is>
          <t>ACL-008</t>
        </is>
      </c>
      <c r="B111" s="21" t="inlineStr">
        <is>
          <t>Audit Checklist Automation</t>
        </is>
      </c>
      <c r="C111" s="22" t="inlineStr">
        <is>
          <t>Evidence</t>
        </is>
      </c>
      <c r="D111" s="7" t="inlineStr">
        <is>
          <t>Evidence Upload and Status Tracking</t>
        </is>
      </c>
      <c r="E111" s="8" t="inlineStr">
        <is>
          <t>Evidence upload, tagging, and automated status tracking.</t>
        </is>
      </c>
      <c r="F111" s="9" t="inlineStr">
        <is>
          <t>Must-Have</t>
        </is>
      </c>
      <c r="G111" s="9" t="inlineStr">
        <is>
          <t>Medium</t>
        </is>
      </c>
      <c r="H111" s="10" t="inlineStr">
        <is>
          <t>Yes</t>
        </is>
      </c>
    </row>
    <row r="112">
      <c r="A112" s="23" t="inlineStr">
        <is>
          <t>DAN-001</t>
        </is>
      </c>
      <c r="B112" s="24" t="inlineStr">
        <is>
          <t>Data Analytics for Internal Audit</t>
        </is>
      </c>
      <c r="C112" s="25" t="inlineStr">
        <is>
          <t>Data Ingestion, Quality &amp; Preparation</t>
        </is>
      </c>
      <c r="D112" s="7" t="inlineStr">
        <is>
          <t>Enterprise Multi-System Ingestion</t>
        </is>
      </c>
      <c r="E112" s="8" t="inlineStr">
        <is>
          <t>Ingest data from multiple enterprise systems (CBS, LOS, LMS, GL, CRM, AML, HRMS, DMS).</t>
        </is>
      </c>
      <c r="F112" s="9" t="inlineStr">
        <is>
          <t>Must-Have</t>
        </is>
      </c>
      <c r="G112" s="9" t="inlineStr">
        <is>
          <t>High</t>
        </is>
      </c>
      <c r="H112" s="10" t="inlineStr">
        <is>
          <t>No</t>
        </is>
      </c>
    </row>
    <row r="113">
      <c r="A113" s="23" t="inlineStr">
        <is>
          <t>DAN-002</t>
        </is>
      </c>
      <c r="B113" s="24" t="inlineStr">
        <is>
          <t>Data Analytics for Internal Audit</t>
        </is>
      </c>
      <c r="C113" s="25" t="inlineStr">
        <is>
          <t>Data Ingestion, Quality &amp; Preparation</t>
        </is>
      </c>
      <c r="D113" s="7" t="inlineStr">
        <is>
          <t>Structured, Semi-Structured and Unstructured Support</t>
        </is>
      </c>
      <c r="E113" s="8" t="inlineStr">
        <is>
          <t>Support for structured, semi-structured, and unstructured data formats.</t>
        </is>
      </c>
      <c r="F113" s="9" t="inlineStr">
        <is>
          <t>Must-Have</t>
        </is>
      </c>
      <c r="G113" s="9" t="inlineStr">
        <is>
          <t>High</t>
        </is>
      </c>
      <c r="H113" s="10" t="inlineStr">
        <is>
          <t>No</t>
        </is>
      </c>
    </row>
    <row r="114">
      <c r="A114" s="23" t="inlineStr">
        <is>
          <t>DAN-003</t>
        </is>
      </c>
      <c r="B114" s="24" t="inlineStr">
        <is>
          <t>Data Analytics for Internal Audit</t>
        </is>
      </c>
      <c r="C114" s="25" t="inlineStr">
        <is>
          <t>Data Ingestion, Quality &amp; Preparation</t>
        </is>
      </c>
      <c r="D114" s="7" t="inlineStr">
        <is>
          <t>AI-Enabled Data Profiling</t>
        </is>
      </c>
      <c r="E114" s="8" t="inlineStr">
        <is>
          <t>AI-enabled data profiling to identify missing values, outliers, inconsistent patterns, and unusual data characteristics.</t>
        </is>
      </c>
      <c r="F114" s="9" t="inlineStr">
        <is>
          <t>Must-Have</t>
        </is>
      </c>
      <c r="G114" s="9" t="inlineStr">
        <is>
          <t>High</t>
        </is>
      </c>
      <c r="H114" s="10" t="inlineStr">
        <is>
          <t>No</t>
        </is>
      </c>
    </row>
    <row r="115">
      <c r="A115" s="23" t="inlineStr">
        <is>
          <t>DAN-004</t>
        </is>
      </c>
      <c r="B115" s="24" t="inlineStr">
        <is>
          <t>Data Analytics for Internal Audit</t>
        </is>
      </c>
      <c r="C115" s="25" t="inlineStr">
        <is>
          <t>Data Ingestion, Quality &amp; Preparation</t>
        </is>
      </c>
      <c r="D115" s="7" t="inlineStr">
        <is>
          <t>ML-Assisted Data Quality Scoring</t>
        </is>
      </c>
      <c r="E115" s="8" t="inlineStr">
        <is>
          <t>ML-assisted data quality scoring to highlight high-risk data segments.</t>
        </is>
      </c>
      <c r="F115" s="9" t="inlineStr">
        <is>
          <t>Must-Have</t>
        </is>
      </c>
      <c r="G115" s="9" t="inlineStr">
        <is>
          <t>Medium</t>
        </is>
      </c>
      <c r="H115" s="10" t="inlineStr">
        <is>
          <t>No</t>
        </is>
      </c>
    </row>
    <row r="116">
      <c r="A116" s="23" t="inlineStr">
        <is>
          <t>DAN-005</t>
        </is>
      </c>
      <c r="B116" s="24" t="inlineStr">
        <is>
          <t>Data Analytics for Internal Audit</t>
        </is>
      </c>
      <c r="C116" s="25" t="inlineStr">
        <is>
          <t>Data Ingestion, Quality &amp; Preparation</t>
        </is>
      </c>
      <c r="D116" s="7" t="inlineStr">
        <is>
          <t>Explainable Cleaning and Transformation Pipelines</t>
        </is>
      </c>
      <c r="E116" s="8" t="inlineStr">
        <is>
          <t>Automated data cleaning and transformation pipelines with explainability.</t>
        </is>
      </c>
      <c r="F116" s="9" t="inlineStr">
        <is>
          <t>Must-Have</t>
        </is>
      </c>
      <c r="G116" s="9" t="inlineStr">
        <is>
          <t>High</t>
        </is>
      </c>
      <c r="H116" s="10" t="inlineStr">
        <is>
          <t>No</t>
        </is>
      </c>
    </row>
    <row r="117">
      <c r="A117" s="23" t="inlineStr">
        <is>
          <t>DAN-006</t>
        </is>
      </c>
      <c r="B117" s="24" t="inlineStr">
        <is>
          <t>Data Analytics for Internal Audit</t>
        </is>
      </c>
      <c r="C117" s="25" t="inlineStr">
        <is>
          <t>Anomaly &amp; Outlier Detection</t>
        </is>
      </c>
      <c r="D117" s="7" t="inlineStr">
        <is>
          <t>ML Anomaly Detection Models</t>
        </is>
      </c>
      <c r="E117" s="8" t="inlineStr">
        <is>
          <t>ML models to detect unusual transactions, behavioural anomalies, exceptions, and deviations from normal patterns.</t>
        </is>
      </c>
      <c r="F117" s="9" t="inlineStr">
        <is>
          <t>Must-Have</t>
        </is>
      </c>
      <c r="G117" s="9" t="inlineStr">
        <is>
          <t>High</t>
        </is>
      </c>
      <c r="H117" s="10" t="inlineStr">
        <is>
          <t>Yes</t>
        </is>
      </c>
    </row>
    <row r="118">
      <c r="A118" s="23" t="inlineStr">
        <is>
          <t>DAN-007</t>
        </is>
      </c>
      <c r="B118" s="24" t="inlineStr">
        <is>
          <t>Data Analytics for Internal Audit</t>
        </is>
      </c>
      <c r="C118" s="25" t="inlineStr">
        <is>
          <t>Anomaly &amp; Outlier Detection</t>
        </is>
      </c>
      <c r="D118" s="7" t="inlineStr">
        <is>
          <t>Hidden Relationship Detection</t>
        </is>
      </c>
      <c r="E118" s="8" t="inlineStr">
        <is>
          <t>Ability to detect hidden relationships not captured by standard rule-based checks.</t>
        </is>
      </c>
      <c r="F118" s="9" t="inlineStr">
        <is>
          <t>Must-Have</t>
        </is>
      </c>
      <c r="G118" s="9" t="inlineStr">
        <is>
          <t>High</t>
        </is>
      </c>
      <c r="H118" s="10" t="inlineStr">
        <is>
          <t>Yes</t>
        </is>
      </c>
    </row>
    <row r="119">
      <c r="A119" s="23" t="inlineStr">
        <is>
          <t>DAN-008</t>
        </is>
      </c>
      <c r="B119" s="24" t="inlineStr">
        <is>
          <t>Data Analytics for Internal Audit</t>
        </is>
      </c>
      <c r="C119" s="25" t="inlineStr">
        <is>
          <t>Anomaly &amp; Outlier Detection</t>
        </is>
      </c>
      <c r="D119" s="7" t="inlineStr">
        <is>
          <t>Supervised, Unsupervised and Semi-Supervised Techniques</t>
        </is>
      </c>
      <c r="E119" s="8" t="inlineStr">
        <is>
          <t>Support for supervised, unsupervised, and semi-supervised learning techniques.</t>
        </is>
      </c>
      <c r="F119" s="9" t="inlineStr">
        <is>
          <t>Must-Have</t>
        </is>
      </c>
      <c r="G119" s="9" t="inlineStr">
        <is>
          <t>High</t>
        </is>
      </c>
      <c r="H119" s="10" t="inlineStr">
        <is>
          <t>No</t>
        </is>
      </c>
    </row>
    <row r="120">
      <c r="A120" s="23" t="inlineStr">
        <is>
          <t>DAN-009</t>
        </is>
      </c>
      <c r="B120" s="24" t="inlineStr">
        <is>
          <t>Data Analytics for Internal Audit</t>
        </is>
      </c>
      <c r="C120" s="25" t="inlineStr">
        <is>
          <t>Predictive Risk Modelling</t>
        </is>
      </c>
      <c r="D120" s="7" t="inlineStr">
        <is>
          <t>Exception Likelihood Prediction</t>
        </is>
      </c>
      <c r="E120" s="8" t="inlineStr">
        <is>
          <t>Predictive insights for identifying branches, processes, products, or customers likely to generate audit exceptions.</t>
        </is>
      </c>
      <c r="F120" s="9" t="inlineStr">
        <is>
          <t>Must-Have</t>
        </is>
      </c>
      <c r="G120" s="9" t="inlineStr">
        <is>
          <t>High</t>
        </is>
      </c>
      <c r="H120" s="10" t="inlineStr">
        <is>
          <t>No</t>
        </is>
      </c>
    </row>
    <row r="121">
      <c r="A121" s="23" t="inlineStr">
        <is>
          <t>DAN-010</t>
        </is>
      </c>
      <c r="B121" s="24" t="inlineStr">
        <is>
          <t>Data Analytics for Internal Audit</t>
        </is>
      </c>
      <c r="C121" s="25" t="inlineStr">
        <is>
          <t>Predictive Risk Modelling</t>
        </is>
      </c>
      <c r="D121" s="7" t="inlineStr">
        <is>
          <t>Emerging Risk Forecasting</t>
        </is>
      </c>
      <c r="E121" s="8" t="inlineStr">
        <is>
          <t>Forecasting models for identifying emerging compliance risks or operational weaknesses.</t>
        </is>
      </c>
      <c r="F121" s="9" t="inlineStr">
        <is>
          <t>Must-Have</t>
        </is>
      </c>
      <c r="G121" s="9" t="inlineStr">
        <is>
          <t>High</t>
        </is>
      </c>
      <c r="H121" s="10" t="inlineStr">
        <is>
          <t>No</t>
        </is>
      </c>
    </row>
    <row r="122">
      <c r="A122" s="23" t="inlineStr">
        <is>
          <t>DAN-011</t>
        </is>
      </c>
      <c r="B122" s="24" t="inlineStr">
        <is>
          <t>Data Analytics for Internal Audit</t>
        </is>
      </c>
      <c r="C122" s="25" t="inlineStr">
        <is>
          <t>Predictive Risk Modelling</t>
        </is>
      </c>
      <c r="D122" s="7" t="inlineStr">
        <is>
          <t>High-Risk Probability Scoring</t>
        </is>
      </c>
      <c r="E122" s="8" t="inlineStr">
        <is>
          <t>Probability scoring of high-risk cases to help prioritise audit focus areas.</t>
        </is>
      </c>
      <c r="F122" s="9" t="inlineStr">
        <is>
          <t>Must-Have</t>
        </is>
      </c>
      <c r="G122" s="9" t="inlineStr">
        <is>
          <t>Medium</t>
        </is>
      </c>
      <c r="H122" s="10" t="inlineStr">
        <is>
          <t>Yes</t>
        </is>
      </c>
    </row>
    <row r="123">
      <c r="A123" s="23" t="inlineStr">
        <is>
          <t>DAN-012</t>
        </is>
      </c>
      <c r="B123" s="24" t="inlineStr">
        <is>
          <t>Data Analytics for Internal Audit</t>
        </is>
      </c>
      <c r="C123" s="25" t="inlineStr">
        <is>
          <t>Segmentation &amp; Clustering</t>
        </is>
      </c>
      <c r="D123" s="7" t="inlineStr">
        <is>
          <t>Automated Entity Clustering</t>
        </is>
      </c>
      <c r="E123" s="8" t="inlineStr">
        <is>
          <t>Automated clustering of customers, branches, or transactions to identify behavioural patterns.</t>
        </is>
      </c>
      <c r="F123" s="9" t="inlineStr">
        <is>
          <t>Must-Have</t>
        </is>
      </c>
      <c r="G123" s="9" t="inlineStr">
        <is>
          <t>High</t>
        </is>
      </c>
      <c r="H123" s="10" t="inlineStr">
        <is>
          <t>Yes</t>
        </is>
      </c>
    </row>
    <row r="124">
      <c r="A124" s="23" t="inlineStr">
        <is>
          <t>DAN-013</t>
        </is>
      </c>
      <c r="B124" s="24" t="inlineStr">
        <is>
          <t>Data Analytics for Internal Audit</t>
        </is>
      </c>
      <c r="C124" s="25" t="inlineStr">
        <is>
          <t>Segmentation &amp; Clustering</t>
        </is>
      </c>
      <c r="D124" s="7" t="inlineStr">
        <is>
          <t>AI-Driven Audit Entity Categorisation</t>
        </is>
      </c>
      <c r="E124" s="8" t="inlineStr">
        <is>
          <t>AI-driven categorisation of audit entities based on historical observations and risk profiles.</t>
        </is>
      </c>
      <c r="F124" s="9" t="inlineStr">
        <is>
          <t>Must-Have</t>
        </is>
      </c>
      <c r="G124" s="9" t="inlineStr">
        <is>
          <t>Medium</t>
        </is>
      </c>
      <c r="H124" s="10" t="inlineStr">
        <is>
          <t>Yes</t>
        </is>
      </c>
    </row>
    <row r="125">
      <c r="A125" s="23" t="inlineStr">
        <is>
          <t>DAN-014</t>
        </is>
      </c>
      <c r="B125" s="24" t="inlineStr">
        <is>
          <t>Data Analytics for Internal Audit</t>
        </is>
      </c>
      <c r="C125" s="25" t="inlineStr">
        <is>
          <t>Segmentation &amp; Clustering</t>
        </is>
      </c>
      <c r="D125" s="7" t="inlineStr">
        <is>
          <t>Custom Segmentation without Vendor Dependency</t>
        </is>
      </c>
      <c r="E125" s="8" t="inlineStr">
        <is>
          <t>Ability to build custom segmentation models without vendor dependency.</t>
        </is>
      </c>
      <c r="F125" s="9" t="inlineStr">
        <is>
          <t>Must-Have</t>
        </is>
      </c>
      <c r="G125" s="9" t="inlineStr">
        <is>
          <t>High</t>
        </is>
      </c>
      <c r="H125" s="10" t="inlineStr">
        <is>
          <t>Yes</t>
        </is>
      </c>
    </row>
    <row r="126">
      <c r="A126" s="23" t="inlineStr">
        <is>
          <t>DAN-015</t>
        </is>
      </c>
      <c r="B126" s="24" t="inlineStr">
        <is>
          <t>Data Analytics for Internal Audit</t>
        </is>
      </c>
      <c r="C126" s="25" t="inlineStr">
        <is>
          <t>AI Exception Management</t>
        </is>
      </c>
      <c r="D126" s="7" t="inlineStr">
        <is>
          <t>Rule and ML Driven Exception Generation</t>
        </is>
      </c>
      <c r="E126" s="8" t="inlineStr">
        <is>
          <t>Automated generation of exceptions using both analytical rules and ML insights.</t>
        </is>
      </c>
      <c r="F126" s="9" t="inlineStr">
        <is>
          <t>Must-Have</t>
        </is>
      </c>
      <c r="G126" s="9" t="inlineStr">
        <is>
          <t>High</t>
        </is>
      </c>
      <c r="H126" s="10" t="inlineStr">
        <is>
          <t>Yes</t>
        </is>
      </c>
    </row>
    <row r="127">
      <c r="A127" s="23" t="inlineStr">
        <is>
          <t>DAN-016</t>
        </is>
      </c>
      <c r="B127" s="24" t="inlineStr">
        <is>
          <t>Data Analytics for Internal Audit</t>
        </is>
      </c>
      <c r="C127" s="25" t="inlineStr">
        <is>
          <t>AI Exception Management</t>
        </is>
      </c>
      <c r="D127" s="7" t="inlineStr">
        <is>
          <t>ML-Based Severity Scoring</t>
        </is>
      </c>
      <c r="E127" s="8" t="inlineStr">
        <is>
          <t>Prioritisation of exceptions using ML-based severity scoring.</t>
        </is>
      </c>
      <c r="F127" s="9" t="inlineStr">
        <is>
          <t>Must-Have</t>
        </is>
      </c>
      <c r="G127" s="9" t="inlineStr">
        <is>
          <t>Medium</t>
        </is>
      </c>
      <c r="H127" s="10" t="inlineStr">
        <is>
          <t>Yes</t>
        </is>
      </c>
    </row>
    <row r="128">
      <c r="A128" s="23" t="inlineStr">
        <is>
          <t>DAN-017</t>
        </is>
      </c>
      <c r="B128" s="24" t="inlineStr">
        <is>
          <t>Data Analytics for Internal Audit</t>
        </is>
      </c>
      <c r="C128" s="25" t="inlineStr">
        <is>
          <t>AI Exception Management</t>
        </is>
      </c>
      <c r="D128" s="7" t="inlineStr">
        <is>
          <t>Intelligent Exception Grouping</t>
        </is>
      </c>
      <c r="E128" s="8" t="inlineStr">
        <is>
          <t>Intelligent grouping of related exceptions for faster audit review.</t>
        </is>
      </c>
      <c r="F128" s="9" t="inlineStr">
        <is>
          <t>Must-Have</t>
        </is>
      </c>
      <c r="G128" s="9" t="inlineStr">
        <is>
          <t>Medium</t>
        </is>
      </c>
      <c r="H128" s="10" t="inlineStr">
        <is>
          <t>Yes</t>
        </is>
      </c>
    </row>
    <row r="129">
      <c r="A129" s="23" t="inlineStr">
        <is>
          <t>DAN-018</t>
        </is>
      </c>
      <c r="B129" s="24" t="inlineStr">
        <is>
          <t>Data Analytics for Internal Audit</t>
        </is>
      </c>
      <c r="C129" s="25" t="inlineStr">
        <is>
          <t>AI Exception Management</t>
        </is>
      </c>
      <c r="D129" s="7" t="inlineStr">
        <is>
          <t>Learning from Auditor Decisions</t>
        </is>
      </c>
      <c r="E129" s="8" t="inlineStr">
        <is>
          <t>Capability to learn from auditor decisions (exception closure, severity changes) and self-improve.</t>
        </is>
      </c>
      <c r="F129" s="9" t="inlineStr">
        <is>
          <t>Must-Have</t>
        </is>
      </c>
      <c r="G129" s="9" t="inlineStr">
        <is>
          <t>High</t>
        </is>
      </c>
      <c r="H129" s="10" t="inlineStr">
        <is>
          <t>Yes</t>
        </is>
      </c>
    </row>
    <row r="130">
      <c r="A130" s="23" t="inlineStr">
        <is>
          <t>DAN-019</t>
        </is>
      </c>
      <c r="B130" s="24" t="inlineStr">
        <is>
          <t>Data Analytics for Internal Audit</t>
        </is>
      </c>
      <c r="C130" s="25" t="inlineStr">
        <is>
          <t>Intelligent Sampling</t>
        </is>
      </c>
      <c r="D130" s="7" t="inlineStr">
        <is>
          <t>ML-Driven Risk-Based Sampling</t>
        </is>
      </c>
      <c r="E130" s="8" t="inlineStr">
        <is>
          <t>ML-driven risk-based sampling to select the highest-risk checks or transactions.</t>
        </is>
      </c>
      <c r="F130" s="9" t="inlineStr">
        <is>
          <t>Must-Have</t>
        </is>
      </c>
      <c r="G130" s="9" t="inlineStr">
        <is>
          <t>High</t>
        </is>
      </c>
      <c r="H130" s="10" t="inlineStr">
        <is>
          <t>No</t>
        </is>
      </c>
    </row>
    <row r="131">
      <c r="A131" s="23" t="inlineStr">
        <is>
          <t>DAN-020</t>
        </is>
      </c>
      <c r="B131" s="24" t="inlineStr">
        <is>
          <t>Data Analytics for Internal Audit</t>
        </is>
      </c>
      <c r="C131" s="25" t="inlineStr">
        <is>
          <t>Intelligent Sampling</t>
        </is>
      </c>
      <c r="D131" s="7" t="inlineStr">
        <is>
          <t>Hybrid Traditional and Predictive Sampling</t>
        </is>
      </c>
      <c r="E131" s="8" t="inlineStr">
        <is>
          <t>Combination of traditional methods (random, stratified) with predictive risk scores.</t>
        </is>
      </c>
      <c r="F131" s="9" t="inlineStr">
        <is>
          <t>Must-Have</t>
        </is>
      </c>
      <c r="G131" s="9" t="inlineStr">
        <is>
          <t>Medium</t>
        </is>
      </c>
      <c r="H131" s="10" t="inlineStr">
        <is>
          <t>No</t>
        </is>
      </c>
    </row>
    <row r="132">
      <c r="A132" s="23" t="inlineStr">
        <is>
          <t>DAN-021</t>
        </is>
      </c>
      <c r="B132" s="24" t="inlineStr">
        <is>
          <t>Data Analytics for Internal Audit</t>
        </is>
      </c>
      <c r="C132" s="25" t="inlineStr">
        <is>
          <t>Intelligent Sampling</t>
        </is>
      </c>
      <c r="D132" s="7" t="inlineStr">
        <is>
          <t>Automated Sample Size Optimisation</t>
        </is>
      </c>
      <c r="E132" s="8" t="inlineStr">
        <is>
          <t>Automated sample size optimisation based on risk scoring, historical error rates, and data characteristics.</t>
        </is>
      </c>
      <c r="F132" s="9" t="inlineStr">
        <is>
          <t>Must-Have</t>
        </is>
      </c>
      <c r="G132" s="9" t="inlineStr">
        <is>
          <t>High</t>
        </is>
      </c>
      <c r="H132" s="10" t="inlineStr">
        <is>
          <t>No</t>
        </is>
      </c>
    </row>
    <row r="133">
      <c r="A133" s="23" t="inlineStr">
        <is>
          <t>DAN-022</t>
        </is>
      </c>
      <c r="B133" s="24" t="inlineStr">
        <is>
          <t>Data Analytics for Internal Audit</t>
        </is>
      </c>
      <c r="C133" s="25" t="inlineStr">
        <is>
          <t>Intelligent Sampling</t>
        </is>
      </c>
      <c r="D133" s="7" t="inlineStr">
        <is>
          <t>Traceable Auditor Override</t>
        </is>
      </c>
      <c r="E133" s="8" t="inlineStr">
        <is>
          <t>Auditor override capability with traceable justification.</t>
        </is>
      </c>
      <c r="F133" s="9" t="inlineStr">
        <is>
          <t>Must-Have</t>
        </is>
      </c>
      <c r="G133" s="9" t="inlineStr">
        <is>
          <t>Low</t>
        </is>
      </c>
      <c r="H133" s="10" t="inlineStr">
        <is>
          <t>No</t>
        </is>
      </c>
    </row>
    <row r="134">
      <c r="A134" s="23" t="inlineStr">
        <is>
          <t>DAN-023</t>
        </is>
      </c>
      <c r="B134" s="24" t="inlineStr">
        <is>
          <t>Data Analytics for Internal Audit</t>
        </is>
      </c>
      <c r="C134" s="25" t="inlineStr">
        <is>
          <t>NLP for Documents &amp; Policies</t>
        </is>
      </c>
      <c r="D134" s="7" t="inlineStr">
        <is>
          <t>Unstructured Document Extraction</t>
        </is>
      </c>
      <c r="E134" s="8" t="inlineStr">
        <is>
          <t>NLP-based extraction of key information from unstructured documents (PDFs, scanned forms, emails, policy documents).</t>
        </is>
      </c>
      <c r="F134" s="9" t="inlineStr">
        <is>
          <t>Must-Have</t>
        </is>
      </c>
      <c r="G134" s="9" t="inlineStr">
        <is>
          <t>High</t>
        </is>
      </c>
      <c r="H134" s="10" t="inlineStr">
        <is>
          <t>Yes</t>
        </is>
      </c>
    </row>
    <row r="135">
      <c r="A135" s="23" t="inlineStr">
        <is>
          <t>DAN-024</t>
        </is>
      </c>
      <c r="B135" s="24" t="inlineStr">
        <is>
          <t>Data Analytics for Internal Audit</t>
        </is>
      </c>
      <c r="C135" s="25" t="inlineStr">
        <is>
          <t>NLP for Documents &amp; Policies</t>
        </is>
      </c>
      <c r="D135" s="7" t="inlineStr">
        <is>
          <t>Document Classification, Tagging and Summarisation</t>
        </is>
      </c>
      <c r="E135" s="8" t="inlineStr">
        <is>
          <t>Automated classification, tagging, and summarisation of documents.</t>
        </is>
      </c>
      <c r="F135" s="9" t="inlineStr">
        <is>
          <t>Must-Have</t>
        </is>
      </c>
      <c r="G135" s="9" t="inlineStr">
        <is>
          <t>Medium</t>
        </is>
      </c>
      <c r="H135" s="10" t="inlineStr">
        <is>
          <t>Yes</t>
        </is>
      </c>
    </row>
    <row r="136">
      <c r="A136" s="23" t="inlineStr">
        <is>
          <t>DAN-025</t>
        </is>
      </c>
      <c r="B136" s="24" t="inlineStr">
        <is>
          <t>Data Analytics for Internal Audit</t>
        </is>
      </c>
      <c r="C136" s="25" t="inlineStr">
        <is>
          <t>NLP for Documents &amp; Policies</t>
        </is>
      </c>
      <c r="D136" s="7" t="inlineStr">
        <is>
          <t>Extracted vs System Data Consistency Checks</t>
        </is>
      </c>
      <c r="E136" s="8" t="inlineStr">
        <is>
          <t>Ability to match extracted information with system data for consistency checks.</t>
        </is>
      </c>
      <c r="F136" s="9" t="inlineStr">
        <is>
          <t>Must-Have</t>
        </is>
      </c>
      <c r="G136" s="9" t="inlineStr">
        <is>
          <t>Medium</t>
        </is>
      </c>
      <c r="H136" s="10" t="inlineStr">
        <is>
          <t>Yes</t>
        </is>
      </c>
    </row>
    <row r="137">
      <c r="A137" s="23" t="inlineStr">
        <is>
          <t>DAN-026</t>
        </is>
      </c>
      <c r="B137" s="24" t="inlineStr">
        <is>
          <t>Data Analytics for Internal Audit</t>
        </is>
      </c>
      <c r="C137" s="25" t="inlineStr">
        <is>
          <t>NLP for Documents &amp; Policies</t>
        </is>
      </c>
      <c r="D137" s="7" t="inlineStr">
        <is>
          <t>Regulatory Interpretation for Control Identification</t>
        </is>
      </c>
      <c r="E137" s="8" t="inlineStr">
        <is>
          <t>NLP-based interpretation of regulatory guidelines, circulars, and policy updates to identify relevant audit controls.</t>
        </is>
      </c>
      <c r="F137" s="9" t="inlineStr">
        <is>
          <t>Must-Have</t>
        </is>
      </c>
      <c r="G137" s="9" t="inlineStr">
        <is>
          <t>High</t>
        </is>
      </c>
      <c r="H137" s="10" t="inlineStr">
        <is>
          <t>Yes</t>
        </is>
      </c>
    </row>
    <row r="138">
      <c r="A138" s="23" t="inlineStr">
        <is>
          <t>DAN-027</t>
        </is>
      </c>
      <c r="B138" s="24" t="inlineStr">
        <is>
          <t>Data Analytics for Internal Audit</t>
        </is>
      </c>
      <c r="C138" s="25" t="inlineStr">
        <is>
          <t>Insights &amp; Visualisation</t>
        </is>
      </c>
      <c r="D138" s="7" t="inlineStr">
        <is>
          <t>Dynamic AI/ML Dashboards</t>
        </is>
      </c>
      <c r="E138" s="8" t="inlineStr">
        <is>
          <t>Dynamic dashboards showing AI/ML-based trends, anomalies, predictive insights, and risk heatmaps.</t>
        </is>
      </c>
      <c r="F138" s="9" t="inlineStr">
        <is>
          <t>Must-Have</t>
        </is>
      </c>
      <c r="G138" s="9" t="inlineStr">
        <is>
          <t>Medium</t>
        </is>
      </c>
      <c r="H138" s="10" t="inlineStr">
        <is>
          <t>Yes</t>
        </is>
      </c>
    </row>
    <row r="139">
      <c r="A139" s="23" t="inlineStr">
        <is>
          <t>DAN-028</t>
        </is>
      </c>
      <c r="B139" s="24" t="inlineStr">
        <is>
          <t>Data Analytics for Internal Audit</t>
        </is>
      </c>
      <c r="C139" s="25" t="inlineStr">
        <is>
          <t>Insights &amp; Visualisation</t>
        </is>
      </c>
      <c r="D139" s="7" t="inlineStr">
        <is>
          <t>Explainable AI (XAI) Views</t>
        </is>
      </c>
      <c r="E139" s="8" t="inlineStr">
        <is>
          <t>Explainable AI views showing the reasons behind ML predictions or exceptions.</t>
        </is>
      </c>
      <c r="F139" s="9" t="inlineStr">
        <is>
          <t>Must-Have</t>
        </is>
      </c>
      <c r="G139" s="9" t="inlineStr">
        <is>
          <t>High</t>
        </is>
      </c>
      <c r="H139" s="10" t="inlineStr">
        <is>
          <t>Yes</t>
        </is>
      </c>
    </row>
    <row r="140">
      <c r="A140" s="23" t="inlineStr">
        <is>
          <t>DAN-029</t>
        </is>
      </c>
      <c r="B140" s="24" t="inlineStr">
        <is>
          <t>Data Analytics for Internal Audit</t>
        </is>
      </c>
      <c r="C140" s="25" t="inlineStr">
        <is>
          <t>Insights &amp; Visualisation</t>
        </is>
      </c>
      <c r="D140" s="7" t="inlineStr">
        <is>
          <t>Enterprise to Transaction Drill-Down</t>
        </is>
      </c>
      <c r="E140" s="8" t="inlineStr">
        <is>
          <t>Drill-down from enterprise risk view to branch / entity / transaction-level insights.</t>
        </is>
      </c>
      <c r="F140" s="9" t="inlineStr">
        <is>
          <t>Must-Have</t>
        </is>
      </c>
      <c r="G140" s="9" t="inlineStr">
        <is>
          <t>Medium</t>
        </is>
      </c>
      <c r="H140" s="10" t="inlineStr">
        <is>
          <t>No</t>
        </is>
      </c>
    </row>
    <row r="141">
      <c r="A141" s="23" t="inlineStr">
        <is>
          <t>DAN-030</t>
        </is>
      </c>
      <c r="B141" s="24" t="inlineStr">
        <is>
          <t>Data Analytics for Internal Audit</t>
        </is>
      </c>
      <c r="C141" s="25" t="inlineStr">
        <is>
          <t>Insights &amp; Visualisation</t>
        </is>
      </c>
      <c r="D141" s="7" t="inlineStr">
        <is>
          <t>Proactive Behavioural Shift Alerts</t>
        </is>
      </c>
      <c r="E141" s="8" t="inlineStr">
        <is>
          <t>Proactive alerts for sudden shifts, spikes, or behavioural changes detected by ML.</t>
        </is>
      </c>
      <c r="F141" s="9" t="inlineStr">
        <is>
          <t>Must-Have</t>
        </is>
      </c>
      <c r="G141" s="9" t="inlineStr">
        <is>
          <t>Medium</t>
        </is>
      </c>
      <c r="H141" s="10" t="inlineStr">
        <is>
          <t>Yes</t>
        </is>
      </c>
    </row>
    <row r="142">
      <c r="A142" s="23" t="inlineStr">
        <is>
          <t>DAN-031</t>
        </is>
      </c>
      <c r="B142" s="24" t="inlineStr">
        <is>
          <t>Data Analytics for Internal Audit</t>
        </is>
      </c>
      <c r="C142" s="25" t="inlineStr">
        <is>
          <t>Model Management &amp; Explainability</t>
        </is>
      </c>
      <c r="D142" s="7" t="inlineStr">
        <is>
          <t>Model Registry</t>
        </is>
      </c>
      <c r="E142" s="8" t="inlineStr">
        <is>
          <t>Model registry to maintain versions of ML models, parameters, and performance metrics.</t>
        </is>
      </c>
      <c r="F142" s="9" t="inlineStr">
        <is>
          <t>Must-Have</t>
        </is>
      </c>
      <c r="G142" s="9" t="inlineStr">
        <is>
          <t>High</t>
        </is>
      </c>
      <c r="H142" s="10" t="inlineStr">
        <is>
          <t>No</t>
        </is>
      </c>
    </row>
    <row r="143">
      <c r="A143" s="23" t="inlineStr">
        <is>
          <t>DAN-032</t>
        </is>
      </c>
      <c r="B143" s="24" t="inlineStr">
        <is>
          <t>Data Analytics for Internal Audit</t>
        </is>
      </c>
      <c r="C143" s="25" t="inlineStr">
        <is>
          <t>Model Management &amp; Explainability</t>
        </is>
      </c>
      <c r="D143" s="7" t="inlineStr">
        <is>
          <t>SHAP / LIME Style Explainability</t>
        </is>
      </c>
      <c r="E143" s="8" t="inlineStr">
        <is>
          <t>Explainability tools (SHAP / LIME style) to clarify why a model created a prediction or flagged an anomaly.</t>
        </is>
      </c>
      <c r="F143" s="9" t="inlineStr">
        <is>
          <t>Must-Have</t>
        </is>
      </c>
      <c r="G143" s="9" t="inlineStr">
        <is>
          <t>High</t>
        </is>
      </c>
      <c r="H143" s="10" t="inlineStr">
        <is>
          <t>Yes</t>
        </is>
      </c>
    </row>
    <row r="144">
      <c r="A144" s="23" t="inlineStr">
        <is>
          <t>DAN-033</t>
        </is>
      </c>
      <c r="B144" s="24" t="inlineStr">
        <is>
          <t>Data Analytics for Internal Audit</t>
        </is>
      </c>
      <c r="C144" s="25" t="inlineStr">
        <is>
          <t>Model Management &amp; Explainability</t>
        </is>
      </c>
      <c r="D144" s="7" t="inlineStr">
        <is>
          <t>Drift, Bias and Accuracy Monitoring</t>
        </is>
      </c>
      <c r="E144" s="8" t="inlineStr">
        <is>
          <t>Continuous monitoring for model drift, bias, accuracy degradation, and data drift.</t>
        </is>
      </c>
      <c r="F144" s="9" t="inlineStr">
        <is>
          <t>Must-Have</t>
        </is>
      </c>
      <c r="G144" s="9" t="inlineStr">
        <is>
          <t>High</t>
        </is>
      </c>
      <c r="H144" s="10" t="inlineStr">
        <is>
          <t>Yes</t>
        </is>
      </c>
    </row>
    <row r="145">
      <c r="A145" s="23" t="inlineStr">
        <is>
          <t>DAN-034</t>
        </is>
      </c>
      <c r="B145" s="24" t="inlineStr">
        <is>
          <t>Data Analytics for Internal Audit</t>
        </is>
      </c>
      <c r="C145" s="25" t="inlineStr">
        <is>
          <t>Model Management &amp; Explainability</t>
        </is>
      </c>
      <c r="D145" s="7" t="inlineStr">
        <is>
          <t>Controlled Retraining with Approvals</t>
        </is>
      </c>
      <c r="E145" s="8" t="inlineStr">
        <is>
          <t>Controlled retraining of models using new data with proper approvals and audit trails.</t>
        </is>
      </c>
      <c r="F145" s="9" t="inlineStr">
        <is>
          <t>Must-Have</t>
        </is>
      </c>
      <c r="G145" s="9" t="inlineStr">
        <is>
          <t>High</t>
        </is>
      </c>
      <c r="H145" s="10" t="inlineStr">
        <is>
          <t>No</t>
        </is>
      </c>
    </row>
    <row r="146">
      <c r="A146" s="23" t="inlineStr">
        <is>
          <t>DAN-035</t>
        </is>
      </c>
      <c r="B146" s="24" t="inlineStr">
        <is>
          <t>Data Analytics for Internal Audit</t>
        </is>
      </c>
      <c r="C146" s="25" t="inlineStr">
        <is>
          <t>Workflow &amp; Collaboration</t>
        </is>
      </c>
      <c r="D146" s="7" t="inlineStr">
        <is>
          <t>Insight and Exception Assignment</t>
        </is>
      </c>
      <c r="E146" s="8" t="inlineStr">
        <is>
          <t>Assignment and tracking of analytic insights and AI-generated exceptions to auditors.</t>
        </is>
      </c>
      <c r="F146" s="9" t="inlineStr">
        <is>
          <t>Must-Have</t>
        </is>
      </c>
      <c r="G146" s="9" t="inlineStr">
        <is>
          <t>Medium</t>
        </is>
      </c>
      <c r="H146" s="10" t="inlineStr">
        <is>
          <t>Yes</t>
        </is>
      </c>
    </row>
    <row r="147">
      <c r="A147" s="23" t="inlineStr">
        <is>
          <t>DAN-036</t>
        </is>
      </c>
      <c r="B147" s="24" t="inlineStr">
        <is>
          <t>Data Analytics for Internal Audit</t>
        </is>
      </c>
      <c r="C147" s="25" t="inlineStr">
        <is>
          <t>Workflow &amp; Collaboration</t>
        </is>
      </c>
      <c r="D147" s="7" t="inlineStr">
        <is>
          <t>Validation, Review, Approval and Closure Workflow</t>
        </is>
      </c>
      <c r="E147" s="8" t="inlineStr">
        <is>
          <t>Integrated workflow for exception validation, review, approval, and closure.</t>
        </is>
      </c>
      <c r="F147" s="9" t="inlineStr">
        <is>
          <t>Must-Have</t>
        </is>
      </c>
      <c r="G147" s="9" t="inlineStr">
        <is>
          <t>Medium</t>
        </is>
      </c>
      <c r="H147" s="10" t="inlineStr">
        <is>
          <t>Yes</t>
        </is>
      </c>
    </row>
    <row r="148">
      <c r="A148" s="23" t="inlineStr">
        <is>
          <t>DAN-037</t>
        </is>
      </c>
      <c r="B148" s="24" t="inlineStr">
        <is>
          <t>Data Analytics for Internal Audit</t>
        </is>
      </c>
      <c r="C148" s="25" t="inlineStr">
        <is>
          <t>Workflow &amp; Collaboration</t>
        </is>
      </c>
      <c r="D148" s="7" t="inlineStr">
        <is>
          <t>Findings-Linked Comments and Attachments</t>
        </is>
      </c>
      <c r="E148" s="8" t="inlineStr">
        <is>
          <t>Ability to add comments, notes, and attachments tied to specific analytic findings.</t>
        </is>
      </c>
      <c r="F148" s="9" t="inlineStr">
        <is>
          <t>Must-Have</t>
        </is>
      </c>
      <c r="G148" s="9" t="inlineStr">
        <is>
          <t>Low</t>
        </is>
      </c>
      <c r="H148" s="10" t="inlineStr">
        <is>
          <t>Yes</t>
        </is>
      </c>
    </row>
    <row r="149">
      <c r="A149" s="23" t="inlineStr">
        <is>
          <t>DAN-038</t>
        </is>
      </c>
      <c r="B149" s="24" t="inlineStr">
        <is>
          <t>Data Analytics for Internal Audit</t>
        </is>
      </c>
      <c r="C149" s="25" t="inlineStr">
        <is>
          <t>Workflow &amp; Collaboration</t>
        </is>
      </c>
      <c r="D149" s="7" t="inlineStr">
        <is>
          <t>AI-Assisted Resolution Recommendations</t>
        </is>
      </c>
      <c r="E149" s="8" t="inlineStr">
        <is>
          <t>AI-assisted recommendations on exception resolution and risk severity.</t>
        </is>
      </c>
      <c r="F149" s="9" t="inlineStr">
        <is>
          <t>Must-Have</t>
        </is>
      </c>
      <c r="G149" s="9" t="inlineStr">
        <is>
          <t>High</t>
        </is>
      </c>
      <c r="H149" s="10" t="inlineStr">
        <is>
          <t>Yes</t>
        </is>
      </c>
    </row>
    <row r="150">
      <c r="A150" s="23" t="inlineStr">
        <is>
          <t>DAN-039</t>
        </is>
      </c>
      <c r="B150" s="24" t="inlineStr">
        <is>
          <t>Data Analytics for Internal Audit</t>
        </is>
      </c>
      <c r="C150" s="25" t="inlineStr">
        <is>
          <t>Security, Privacy &amp; Governance</t>
        </is>
      </c>
      <c r="D150" s="7" t="inlineStr">
        <is>
          <t>End-to-End Audit Trails</t>
        </is>
      </c>
      <c r="E150" s="8" t="inlineStr">
        <is>
          <t>End-to-end audit trails for all data, analytics models, reports, and user actions.</t>
        </is>
      </c>
      <c r="F150" s="9" t="inlineStr">
        <is>
          <t>Must-Have</t>
        </is>
      </c>
      <c r="G150" s="9" t="inlineStr">
        <is>
          <t>Medium</t>
        </is>
      </c>
      <c r="H150" s="10" t="inlineStr">
        <is>
          <t>No</t>
        </is>
      </c>
    </row>
    <row r="151">
      <c r="A151" s="23" t="inlineStr">
        <is>
          <t>DAN-040</t>
        </is>
      </c>
      <c r="B151" s="24" t="inlineStr">
        <is>
          <t>Data Analytics for Internal Audit</t>
        </is>
      </c>
      <c r="C151" s="25" t="inlineStr">
        <is>
          <t>Security, Privacy &amp; Governance</t>
        </is>
      </c>
      <c r="D151" s="7" t="inlineStr">
        <is>
          <t>Security and Regulatory Compliance</t>
        </is>
      </c>
      <c r="E151" s="8" t="inlineStr">
        <is>
          <t>Compliance with internal security norms and regulatory guidelines.</t>
        </is>
      </c>
      <c r="F151" s="9" t="inlineStr">
        <is>
          <t>Must-Have</t>
        </is>
      </c>
      <c r="G151" s="9" t="inlineStr">
        <is>
          <t>Medium</t>
        </is>
      </c>
      <c r="H151" s="10" t="inlineStr">
        <is>
          <t>No</t>
        </is>
      </c>
    </row>
    <row r="152">
      <c r="A152" s="23" t="inlineStr">
        <is>
          <t>DAN-041</t>
        </is>
      </c>
      <c r="B152" s="24" t="inlineStr">
        <is>
          <t>Data Analytics for Internal Audit</t>
        </is>
      </c>
      <c r="C152" s="25" t="inlineStr">
        <is>
          <t>Security, Privacy &amp; Governance</t>
        </is>
      </c>
      <c r="D152" s="7" t="inlineStr">
        <is>
          <t>Encryption in Transit and at Rest</t>
        </is>
      </c>
      <c r="E152" s="8" t="inlineStr">
        <is>
          <t>Encryption of data in transit and at rest.</t>
        </is>
      </c>
      <c r="F152" s="9" t="inlineStr">
        <is>
          <t>Must-Have</t>
        </is>
      </c>
      <c r="G152" s="9" t="inlineStr">
        <is>
          <t>Medium</t>
        </is>
      </c>
      <c r="H152" s="10" t="inlineStr">
        <is>
          <t>No</t>
        </is>
      </c>
    </row>
    <row r="153">
      <c r="A153" s="23" t="inlineStr">
        <is>
          <t>DAN-042</t>
        </is>
      </c>
      <c r="B153" s="24" t="inlineStr">
        <is>
          <t>Data Analytics for Internal Audit</t>
        </is>
      </c>
      <c r="C153" s="25" t="inlineStr">
        <is>
          <t>Security, Privacy &amp; Governance</t>
        </is>
      </c>
      <c r="D153" s="7" t="inlineStr">
        <is>
          <t>Model Governance Policies</t>
        </is>
      </c>
      <c r="E153" s="8" t="inlineStr">
        <is>
          <t>Model governance policies, including controlled access and version approvals.</t>
        </is>
      </c>
      <c r="F153" s="9" t="inlineStr">
        <is>
          <t>Must-Have</t>
        </is>
      </c>
      <c r="G153" s="9" t="inlineStr">
        <is>
          <t>Medium</t>
        </is>
      </c>
      <c r="H153" s="10" t="inlineStr">
        <is>
          <t>No</t>
        </is>
      </c>
    </row>
    <row r="154">
      <c r="A154" s="23" t="inlineStr">
        <is>
          <t>DAN-043</t>
        </is>
      </c>
      <c r="B154" s="24" t="inlineStr">
        <is>
          <t>Data Analytics for Internal Audit</t>
        </is>
      </c>
      <c r="C154" s="25" t="inlineStr">
        <is>
          <t>Security, Privacy &amp; Governance</t>
        </is>
      </c>
      <c r="D154" s="7" t="inlineStr">
        <is>
          <t>Data Lineage Tracing</t>
        </is>
      </c>
      <c r="E154" s="8" t="inlineStr">
        <is>
          <t>Data lineage tracing from source to AI-generated output.</t>
        </is>
      </c>
      <c r="F154" s="9" t="inlineStr">
        <is>
          <t>Must-Have</t>
        </is>
      </c>
      <c r="G154" s="9" t="inlineStr">
        <is>
          <t>High</t>
        </is>
      </c>
      <c r="H154" s="10" t="inlineStr">
        <is>
          <t>No</t>
        </is>
      </c>
    </row>
    <row r="155">
      <c r="A155" s="23" t="inlineStr">
        <is>
          <t>DAN-044</t>
        </is>
      </c>
      <c r="B155" s="24" t="inlineStr">
        <is>
          <t>Data Analytics for Internal Audit</t>
        </is>
      </c>
      <c r="C155" s="25" t="inlineStr">
        <is>
          <t>Performance &amp; Scalability</t>
        </is>
      </c>
      <c r="D155" s="7" t="inlineStr">
        <is>
          <t>ML-Optimised Large Volume Processing</t>
        </is>
      </c>
      <c r="E155" s="8" t="inlineStr">
        <is>
          <t>Ability to process large-volume datasets using ML-optimised infrastructure.</t>
        </is>
      </c>
      <c r="F155" s="9" t="inlineStr">
        <is>
          <t>Must-Have</t>
        </is>
      </c>
      <c r="G155" s="9" t="inlineStr">
        <is>
          <t>High</t>
        </is>
      </c>
      <c r="H155" s="10" t="inlineStr">
        <is>
          <t>No</t>
        </is>
      </c>
    </row>
    <row r="156">
      <c r="A156" s="23" t="inlineStr">
        <is>
          <t>DAN-045</t>
        </is>
      </c>
      <c r="B156" s="24" t="inlineStr">
        <is>
          <t>Data Analytics for Internal Audit</t>
        </is>
      </c>
      <c r="C156" s="25" t="inlineStr">
        <is>
          <t>Performance &amp; Scalability</t>
        </is>
      </c>
      <c r="D156" s="7" t="inlineStr">
        <is>
          <t>Distributed Parallel Processing</t>
        </is>
      </c>
      <c r="E156" s="8" t="inlineStr">
        <is>
          <t>Support for distributed, parallel processing and horizontal scaling.</t>
        </is>
      </c>
      <c r="F156" s="9" t="inlineStr">
        <is>
          <t>Must-Have</t>
        </is>
      </c>
      <c r="G156" s="9" t="inlineStr">
        <is>
          <t>High</t>
        </is>
      </c>
      <c r="H156" s="10" t="inlineStr">
        <is>
          <t>No</t>
        </is>
      </c>
    </row>
    <row r="157">
      <c r="A157" s="23" t="inlineStr">
        <is>
          <t>DAN-046</t>
        </is>
      </c>
      <c r="B157" s="24" t="inlineStr">
        <is>
          <t>Data Analytics for Internal Audit</t>
        </is>
      </c>
      <c r="C157" s="25" t="inlineStr">
        <is>
          <t>Performance &amp; Scalability</t>
        </is>
      </c>
      <c r="D157" s="7" t="inlineStr">
        <is>
          <t>Low-Latency Near Real-Time Analytics</t>
        </is>
      </c>
      <c r="E157" s="8" t="inlineStr">
        <is>
          <t>Low-latency analytics for near real-time insights.</t>
        </is>
      </c>
      <c r="F157" s="9" t="inlineStr">
        <is>
          <t>Must-Have</t>
        </is>
      </c>
      <c r="G157" s="9" t="inlineStr">
        <is>
          <t>High</t>
        </is>
      </c>
      <c r="H157" s="10" t="inlineStr">
        <is>
          <t>No</t>
        </is>
      </c>
    </row>
    <row r="158">
      <c r="A158" s="23" t="inlineStr">
        <is>
          <t>DAN-047</t>
        </is>
      </c>
      <c r="B158" s="24" t="inlineStr">
        <is>
          <t>Data Analytics for Internal Audit</t>
        </is>
      </c>
      <c r="C158" s="25" t="inlineStr">
        <is>
          <t>Performance &amp; Scalability</t>
        </is>
      </c>
      <c r="D158" s="7" t="inlineStr">
        <is>
          <t>Auto-Scaling on Load and Pipeline Complexity</t>
        </is>
      </c>
      <c r="E158" s="8" t="inlineStr">
        <is>
          <t>Auto-scaling based on data load and complexity of ML pipelines.</t>
        </is>
      </c>
      <c r="F158" s="9" t="inlineStr">
        <is>
          <t>Must-Have</t>
        </is>
      </c>
      <c r="G158" s="9" t="inlineStr">
        <is>
          <t>Medium</t>
        </is>
      </c>
      <c r="H158" s="10" t="inlineStr">
        <is>
          <t>No</t>
        </is>
      </c>
    </row>
    <row r="159">
      <c r="A159" s="23" t="inlineStr">
        <is>
          <t>DAN-048</t>
        </is>
      </c>
      <c r="B159" s="24" t="inlineStr">
        <is>
          <t>Data Analytics for Internal Audit</t>
        </is>
      </c>
      <c r="C159" s="25" t="inlineStr">
        <is>
          <t>Reporting Output</t>
        </is>
      </c>
      <c r="D159" s="7" t="inlineStr">
        <is>
          <t>AI-Based Risk Reports and Exception Summaries</t>
        </is>
      </c>
      <c r="E159" s="8" t="inlineStr">
        <is>
          <t>Auto-generated AI-based risk reports and exception summaries.</t>
        </is>
      </c>
      <c r="F159" s="9" t="inlineStr">
        <is>
          <t>Must-Have</t>
        </is>
      </c>
      <c r="G159" s="9" t="inlineStr">
        <is>
          <t>Medium</t>
        </is>
      </c>
      <c r="H159" s="10" t="inlineStr">
        <is>
          <t>Yes</t>
        </is>
      </c>
    </row>
    <row r="160">
      <c r="A160" s="23" t="inlineStr">
        <is>
          <t>DAN-049</t>
        </is>
      </c>
      <c r="B160" s="24" t="inlineStr">
        <is>
          <t>Data Analytics for Internal Audit</t>
        </is>
      </c>
      <c r="C160" s="25" t="inlineStr">
        <is>
          <t>Reporting Output</t>
        </is>
      </c>
      <c r="D160" s="7" t="inlineStr">
        <is>
          <t>Predictive Risk Dashboards</t>
        </is>
      </c>
      <c r="E160" s="8" t="inlineStr">
        <is>
          <t>Predictive risk dashboards for branches, processes, and products.</t>
        </is>
      </c>
      <c r="F160" s="9" t="inlineStr">
        <is>
          <t>Must-Have</t>
        </is>
      </c>
      <c r="G160" s="9" t="inlineStr">
        <is>
          <t>Medium</t>
        </is>
      </c>
      <c r="H160" s="10" t="inlineStr">
        <is>
          <t>No</t>
        </is>
      </c>
    </row>
    <row r="161">
      <c r="A161" s="23" t="inlineStr">
        <is>
          <t>DAN-050</t>
        </is>
      </c>
      <c r="B161" s="24" t="inlineStr">
        <is>
          <t>Data Analytics for Internal Audit</t>
        </is>
      </c>
      <c r="C161" s="25" t="inlineStr">
        <is>
          <t>Reporting Output</t>
        </is>
      </c>
      <c r="D161" s="7" t="inlineStr">
        <is>
          <t>Model Output Files with Explainability Annotations</t>
        </is>
      </c>
      <c r="E161" s="8" t="inlineStr">
        <is>
          <t>Detailed model output files with explainability annotations.</t>
        </is>
      </c>
      <c r="F161" s="9" t="inlineStr">
        <is>
          <t>Must-Have</t>
        </is>
      </c>
      <c r="G161" s="9" t="inlineStr">
        <is>
          <t>Medium</t>
        </is>
      </c>
      <c r="H161" s="10" t="inlineStr">
        <is>
          <t>Yes</t>
        </is>
      </c>
    </row>
    <row r="162">
      <c r="A162" s="23" t="inlineStr">
        <is>
          <t>DAN-051</t>
        </is>
      </c>
      <c r="B162" s="24" t="inlineStr">
        <is>
          <t>Data Analytics for Internal Audit</t>
        </is>
      </c>
      <c r="C162" s="25" t="inlineStr">
        <is>
          <t>Reporting Output</t>
        </is>
      </c>
      <c r="D162" s="7" t="inlineStr">
        <is>
          <t>Data and Report Export</t>
        </is>
      </c>
      <c r="E162" s="8" t="inlineStr">
        <is>
          <t>Support for exporting data and reports to Excel, CSV, and PDF.</t>
        </is>
      </c>
      <c r="F162" s="9" t="inlineStr">
        <is>
          <t>Must-Have</t>
        </is>
      </c>
      <c r="G162" s="9" t="inlineStr">
        <is>
          <t>Low</t>
        </is>
      </c>
      <c r="H162" s="10" t="inlineStr">
        <is>
          <t>Yes</t>
        </is>
      </c>
    </row>
    <row r="163">
      <c r="A163" s="26" t="inlineStr">
        <is>
          <t>ALM-001</t>
        </is>
      </c>
      <c r="B163" s="27" t="inlineStr">
        <is>
          <t>Audit Life Cycle Management (ALCM)</t>
        </is>
      </c>
      <c r="C163" s="28" t="inlineStr">
        <is>
          <t>Lifecycle Workflow</t>
        </is>
      </c>
      <c r="D163" s="7" t="inlineStr">
        <is>
          <t>Workflow-Based Lifecycle Management</t>
        </is>
      </c>
      <c r="E163" s="8" t="inlineStr">
        <is>
          <t>Workflow-based management of audit planning, execution, reporting, and follow-up.</t>
        </is>
      </c>
      <c r="F163" s="9" t="inlineStr">
        <is>
          <t>Must-Have</t>
        </is>
      </c>
      <c r="G163" s="9" t="inlineStr">
        <is>
          <t>High</t>
        </is>
      </c>
      <c r="H163" s="10" t="inlineStr">
        <is>
          <t>No</t>
        </is>
      </c>
    </row>
    <row r="164">
      <c r="A164" s="26" t="inlineStr">
        <is>
          <t>ALM-002</t>
        </is>
      </c>
      <c r="B164" s="27" t="inlineStr">
        <is>
          <t>Audit Life Cycle Management (ALCM)</t>
        </is>
      </c>
      <c r="C164" s="28" t="inlineStr">
        <is>
          <t>Lifecycle Stage</t>
        </is>
      </c>
      <c r="D164" s="7" t="inlineStr">
        <is>
          <t>Audit Planning and Scheduling</t>
        </is>
      </c>
      <c r="E164" s="8" t="inlineStr">
        <is>
          <t>Stage 1 of the audit lifecycle: annual and periodic audit plan preparation, risk-based prioritisation, calendar and scheduling.</t>
        </is>
      </c>
      <c r="F164" s="9" t="inlineStr">
        <is>
          <t>Must-Have</t>
        </is>
      </c>
      <c r="G164" s="9" t="inlineStr">
        <is>
          <t>Medium</t>
        </is>
      </c>
      <c r="H164" s="10" t="inlineStr">
        <is>
          <t>Yes</t>
        </is>
      </c>
    </row>
    <row r="165">
      <c r="A165" s="26" t="inlineStr">
        <is>
          <t>ALM-003</t>
        </is>
      </c>
      <c r="B165" s="27" t="inlineStr">
        <is>
          <t>Audit Life Cycle Management (ALCM)</t>
        </is>
      </c>
      <c r="C165" s="28" t="inlineStr">
        <is>
          <t>Lifecycle Stage</t>
        </is>
      </c>
      <c r="D165" s="7" t="inlineStr">
        <is>
          <t>Audit Scope and Definition</t>
        </is>
      </c>
      <c r="E165" s="8" t="inlineStr">
        <is>
          <t>Stage 2 of the audit lifecycle: definition of audit scope, objectives, entities, processes, and coverage.</t>
        </is>
      </c>
      <c r="F165" s="9" t="inlineStr">
        <is>
          <t>Must-Have</t>
        </is>
      </c>
      <c r="G165" s="9" t="inlineStr">
        <is>
          <t>Medium</t>
        </is>
      </c>
      <c r="H165" s="10" t="inlineStr">
        <is>
          <t>No</t>
        </is>
      </c>
    </row>
    <row r="166">
      <c r="A166" s="26" t="inlineStr">
        <is>
          <t>ALM-004</t>
        </is>
      </c>
      <c r="B166" s="27" t="inlineStr">
        <is>
          <t>Audit Life Cycle Management (ALCM)</t>
        </is>
      </c>
      <c r="C166" s="28" t="inlineStr">
        <is>
          <t>Lifecycle Stage</t>
        </is>
      </c>
      <c r="D166" s="7" t="inlineStr">
        <is>
          <t>Fieldwork and Documentation</t>
        </is>
      </c>
      <c r="E166" s="8" t="inlineStr">
        <is>
          <t>Stage 3 of the audit lifecycle: execution of audit procedures, evidence collection, and workpaper documentation.</t>
        </is>
      </c>
      <c r="F166" s="9" t="inlineStr">
        <is>
          <t>Must-Have</t>
        </is>
      </c>
      <c r="G166" s="9" t="inlineStr">
        <is>
          <t>High</t>
        </is>
      </c>
      <c r="H166" s="10" t="inlineStr">
        <is>
          <t>No</t>
        </is>
      </c>
    </row>
    <row r="167">
      <c r="A167" s="26" t="inlineStr">
        <is>
          <t>ALM-005</t>
        </is>
      </c>
      <c r="B167" s="27" t="inlineStr">
        <is>
          <t>Audit Life Cycle Management (ALCM)</t>
        </is>
      </c>
      <c r="C167" s="28" t="inlineStr">
        <is>
          <t>Lifecycle Stage</t>
        </is>
      </c>
      <c r="D167" s="7" t="inlineStr">
        <is>
          <t>Findings and Issue Management</t>
        </is>
      </c>
      <c r="E167" s="8" t="inlineStr">
        <is>
          <t>Stage 4 of the audit lifecycle: raising, rating, discussing and managing audit findings and issues.</t>
        </is>
      </c>
      <c r="F167" s="9" t="inlineStr">
        <is>
          <t>Must-Have</t>
        </is>
      </c>
      <c r="G167" s="9" t="inlineStr">
        <is>
          <t>High</t>
        </is>
      </c>
      <c r="H167" s="10" t="inlineStr">
        <is>
          <t>No</t>
        </is>
      </c>
    </row>
    <row r="168">
      <c r="A168" s="26" t="inlineStr">
        <is>
          <t>ALM-006</t>
        </is>
      </c>
      <c r="B168" s="27" t="inlineStr">
        <is>
          <t>Audit Life Cycle Management (ALCM)</t>
        </is>
      </c>
      <c r="C168" s="28" t="inlineStr">
        <is>
          <t>Lifecycle Stage</t>
        </is>
      </c>
      <c r="D168" s="7" t="inlineStr">
        <is>
          <t>Reporting and Quality Assurance</t>
        </is>
      </c>
      <c r="E168" s="8" t="inlineStr">
        <is>
          <t>Stage 5 of the audit lifecycle: draft report preparation, review cycles, and quality assurance sign-off.</t>
        </is>
      </c>
      <c r="F168" s="9" t="inlineStr">
        <is>
          <t>Must-Have</t>
        </is>
      </c>
      <c r="G168" s="9" t="inlineStr">
        <is>
          <t>Medium</t>
        </is>
      </c>
      <c r="H168" s="10" t="inlineStr">
        <is>
          <t>No</t>
        </is>
      </c>
    </row>
    <row r="169">
      <c r="A169" s="26" t="inlineStr">
        <is>
          <t>ALM-007</t>
        </is>
      </c>
      <c r="B169" s="27" t="inlineStr">
        <is>
          <t>Audit Life Cycle Management (ALCM)</t>
        </is>
      </c>
      <c r="C169" s="28" t="inlineStr">
        <is>
          <t>Lifecycle Stage</t>
        </is>
      </c>
      <c r="D169" s="7" t="inlineStr">
        <is>
          <t>Report Release, Action Tracking and Follow-Up</t>
        </is>
      </c>
      <c r="E169" s="8" t="inlineStr">
        <is>
          <t>Stage 6 of the audit lifecycle: report release, management action plan tracking, and follow-up on open items.</t>
        </is>
      </c>
      <c r="F169" s="9" t="inlineStr">
        <is>
          <t>Must-Have</t>
        </is>
      </c>
      <c r="G169" s="9" t="inlineStr">
        <is>
          <t>Medium</t>
        </is>
      </c>
      <c r="H169" s="10" t="inlineStr">
        <is>
          <t>No</t>
        </is>
      </c>
    </row>
    <row r="170">
      <c r="A170" s="26" t="inlineStr">
        <is>
          <t>ALM-008</t>
        </is>
      </c>
      <c r="B170" s="27" t="inlineStr">
        <is>
          <t>Audit Life Cycle Management (ALCM)</t>
        </is>
      </c>
      <c r="C170" s="28" t="inlineStr">
        <is>
          <t>Lifecycle Stage</t>
        </is>
      </c>
      <c r="D170" s="7" t="inlineStr">
        <is>
          <t>Audit Closure</t>
        </is>
      </c>
      <c r="E170" s="8" t="inlineStr">
        <is>
          <t>Stage 7 of the audit lifecycle: closure of the audit, archival of evidence, and final sign-off.</t>
        </is>
      </c>
      <c r="F170" s="9" t="inlineStr">
        <is>
          <t>Must-Have</t>
        </is>
      </c>
      <c r="G170" s="9" t="inlineStr">
        <is>
          <t>Medium</t>
        </is>
      </c>
      <c r="H170" s="10" t="inlineStr">
        <is>
          <t>No</t>
        </is>
      </c>
    </row>
    <row r="171">
      <c r="A171" s="26" t="inlineStr">
        <is>
          <t>ALM-009</t>
        </is>
      </c>
      <c r="B171" s="27" t="inlineStr">
        <is>
          <t>Audit Life Cycle Management (ALCM)</t>
        </is>
      </c>
      <c r="C171" s="28" t="inlineStr">
        <is>
          <t>Resource Management</t>
        </is>
      </c>
      <c r="D171" s="7" t="inlineStr">
        <is>
          <t>Resource Allocation and Schedule Management</t>
        </is>
      </c>
      <c r="E171" s="8" t="inlineStr">
        <is>
          <t>Resource allocation and schedule management across audits and audit teams.</t>
        </is>
      </c>
      <c r="F171" s="9" t="inlineStr">
        <is>
          <t>Must-Have</t>
        </is>
      </c>
      <c r="G171" s="9" t="inlineStr">
        <is>
          <t>Medium</t>
        </is>
      </c>
      <c r="H171" s="10" t="inlineStr">
        <is>
          <t>Yes</t>
        </is>
      </c>
    </row>
    <row r="172">
      <c r="A172" s="26" t="inlineStr">
        <is>
          <t>ALM-010</t>
        </is>
      </c>
      <c r="B172" s="27" t="inlineStr">
        <is>
          <t>Audit Life Cycle Management (ALCM)</t>
        </is>
      </c>
      <c r="C172" s="28" t="inlineStr">
        <is>
          <t>Tracking</t>
        </is>
      </c>
      <c r="D172" s="7" t="inlineStr">
        <is>
          <t>Real-Time Audit Status Tracking</t>
        </is>
      </c>
      <c r="E172" s="8" t="inlineStr">
        <is>
          <t>Real-time status tracking for audits.</t>
        </is>
      </c>
      <c r="F172" s="9" t="inlineStr">
        <is>
          <t>Must-Have</t>
        </is>
      </c>
      <c r="G172" s="9" t="inlineStr">
        <is>
          <t>Medium</t>
        </is>
      </c>
      <c r="H172" s="10" t="inlineStr">
        <is>
          <t>No</t>
        </is>
      </c>
    </row>
    <row r="173">
      <c r="A173" s="26" t="inlineStr">
        <is>
          <t>ALM-011</t>
        </is>
      </c>
      <c r="B173" s="27" t="inlineStr">
        <is>
          <t>Audit Life Cycle Management (ALCM)</t>
        </is>
      </c>
      <c r="C173" s="28" t="inlineStr">
        <is>
          <t>Integration</t>
        </is>
      </c>
      <c r="D173" s="7" t="inlineStr">
        <is>
          <t>Integration with AI and Other Initiative Platforms</t>
        </is>
      </c>
      <c r="E173" s="8" t="inlineStr">
        <is>
          <t>Integration with the existing AI and other initiative platforms delivered under this scope.</t>
        </is>
      </c>
      <c r="F173" s="9" t="inlineStr">
        <is>
          <t>Must-Have</t>
        </is>
      </c>
      <c r="G173" s="9" t="inlineStr">
        <is>
          <t>High</t>
        </is>
      </c>
      <c r="H173" s="10" t="inlineStr">
        <is>
          <t>No</t>
        </is>
      </c>
    </row>
    <row r="174">
      <c r="A174" s="29" t="inlineStr">
        <is>
          <t>AGN-001</t>
        </is>
      </c>
      <c r="B174" s="30" t="inlineStr">
        <is>
          <t>Agentic AI for Audit Functions</t>
        </is>
      </c>
      <c r="C174" s="31" t="inlineStr">
        <is>
          <t>Autonomous Task Execution</t>
        </is>
      </c>
      <c r="D174" s="7" t="inlineStr">
        <is>
          <t>Multi-Step Autonomous Audit Task Execution</t>
        </is>
      </c>
      <c r="E174" s="8" t="inlineStr">
        <is>
          <t>Executing multi-step audit tasks autonomously (data retrieval, validation, sampling, testing).</t>
        </is>
      </c>
      <c r="F174" s="9" t="inlineStr">
        <is>
          <t>Must-Have</t>
        </is>
      </c>
      <c r="G174" s="9" t="inlineStr">
        <is>
          <t>High</t>
        </is>
      </c>
      <c r="H174" s="10" t="inlineStr">
        <is>
          <t>Yes</t>
        </is>
      </c>
    </row>
    <row r="175">
      <c r="A175" s="29" t="inlineStr">
        <is>
          <t>AGN-002</t>
        </is>
      </c>
      <c r="B175" s="30" t="inlineStr">
        <is>
          <t>Agentic AI for Audit Functions</t>
        </is>
      </c>
      <c r="C175" s="31" t="inlineStr">
        <is>
          <t>Autonomous Task Execution</t>
        </is>
      </c>
      <c r="D175" s="7" t="inlineStr">
        <is>
          <t>Task Decomposition and Sequenced Execution</t>
        </is>
      </c>
      <c r="E175" s="8" t="inlineStr">
        <is>
          <t>Breaking complex audit procedures into sub-tasks and executing them in sequence.</t>
        </is>
      </c>
      <c r="F175" s="9" t="inlineStr">
        <is>
          <t>Must-Have</t>
        </is>
      </c>
      <c r="G175" s="9" t="inlineStr">
        <is>
          <t>High</t>
        </is>
      </c>
      <c r="H175" s="10" t="inlineStr">
        <is>
          <t>No</t>
        </is>
      </c>
    </row>
    <row r="176">
      <c r="A176" s="29" t="inlineStr">
        <is>
          <t>AGN-003</t>
        </is>
      </c>
      <c r="B176" s="30" t="inlineStr">
        <is>
          <t>Agentic AI for Audit Functions</t>
        </is>
      </c>
      <c r="C176" s="31" t="inlineStr">
        <is>
          <t>Autonomous Task Execution</t>
        </is>
      </c>
      <c r="D176" s="7" t="inlineStr">
        <is>
          <t>Trigger-Based Self-Initiation</t>
        </is>
      </c>
      <c r="E176" s="8" t="inlineStr">
        <is>
          <t>Self-initiating tasks based on triggers (data anomalies, risk scores, regulatory updates).</t>
        </is>
      </c>
      <c r="F176" s="9" t="inlineStr">
        <is>
          <t>Must-Have</t>
        </is>
      </c>
      <c r="G176" s="9" t="inlineStr">
        <is>
          <t>High</t>
        </is>
      </c>
      <c r="H176" s="10" t="inlineStr">
        <is>
          <t>Yes</t>
        </is>
      </c>
    </row>
    <row r="177">
      <c r="A177" s="29" t="inlineStr">
        <is>
          <t>AGN-004</t>
        </is>
      </c>
      <c r="B177" s="30" t="inlineStr">
        <is>
          <t>Agentic AI for Audit Functions</t>
        </is>
      </c>
      <c r="C177" s="31" t="inlineStr">
        <is>
          <t>Autonomous Task Execution</t>
        </is>
      </c>
      <c r="D177" s="7" t="inlineStr">
        <is>
          <t>Recommended Next Actions with Evidence</t>
        </is>
      </c>
      <c r="E177" s="8" t="inlineStr">
        <is>
          <t>Providing recommended next actions with supporting evidence.</t>
        </is>
      </c>
      <c r="F177" s="9" t="inlineStr">
        <is>
          <t>Must-Have</t>
        </is>
      </c>
      <c r="G177" s="9" t="inlineStr">
        <is>
          <t>Medium</t>
        </is>
      </c>
      <c r="H177" s="10" t="inlineStr">
        <is>
          <t>Yes</t>
        </is>
      </c>
    </row>
    <row r="178">
      <c r="A178" s="29" t="inlineStr">
        <is>
          <t>AGN-005</t>
        </is>
      </c>
      <c r="B178" s="30" t="inlineStr">
        <is>
          <t>Agentic AI for Audit Functions</t>
        </is>
      </c>
      <c r="C178" s="31" t="inlineStr">
        <is>
          <t>Contextual Reasoning</t>
        </is>
      </c>
      <c r="D178" s="7" t="inlineStr">
        <is>
          <t>Structured and Unstructured Data Interpretation</t>
        </is>
      </c>
      <c r="E178" s="8" t="inlineStr">
        <is>
          <t>Interpret structured and unstructured data (CBS extracts, logs, policies, emails, reports).</t>
        </is>
      </c>
      <c r="F178" s="9" t="inlineStr">
        <is>
          <t>Must-Have</t>
        </is>
      </c>
      <c r="G178" s="9" t="inlineStr">
        <is>
          <t>High</t>
        </is>
      </c>
      <c r="H178" s="10" t="inlineStr">
        <is>
          <t>Yes</t>
        </is>
      </c>
    </row>
    <row r="179">
      <c r="A179" s="29" t="inlineStr">
        <is>
          <t>AGN-006</t>
        </is>
      </c>
      <c r="B179" s="30" t="inlineStr">
        <is>
          <t>Agentic AI for Audit Functions</t>
        </is>
      </c>
      <c r="C179" s="31" t="inlineStr">
        <is>
          <t>Contextual Reasoning</t>
        </is>
      </c>
      <c r="D179" s="7" t="inlineStr">
        <is>
          <t>Audit Context Understanding</t>
        </is>
      </c>
      <c r="E179" s="8" t="inlineStr">
        <is>
          <t>Understand audit context (scope, entity type, prior issues, risk ratings).</t>
        </is>
      </c>
      <c r="F179" s="9" t="inlineStr">
        <is>
          <t>Must-Have</t>
        </is>
      </c>
      <c r="G179" s="9" t="inlineStr">
        <is>
          <t>High</t>
        </is>
      </c>
      <c r="H179" s="10" t="inlineStr">
        <is>
          <t>No</t>
        </is>
      </c>
    </row>
    <row r="180">
      <c r="A180" s="29" t="inlineStr">
        <is>
          <t>AGN-007</t>
        </is>
      </c>
      <c r="B180" s="30" t="inlineStr">
        <is>
          <t>Agentic AI for Audit Functions</t>
        </is>
      </c>
      <c r="C180" s="31" t="inlineStr">
        <is>
          <t>Contextual Reasoning</t>
        </is>
      </c>
      <c r="D180" s="7" t="inlineStr">
        <is>
          <t>Test Selection Reasoning</t>
        </is>
      </c>
      <c r="E180" s="8" t="inlineStr">
        <is>
          <t>Use reasoning to determine which audit tests to perform on which datasets.</t>
        </is>
      </c>
      <c r="F180" s="9" t="inlineStr">
        <is>
          <t>Must-Have</t>
        </is>
      </c>
      <c r="G180" s="9" t="inlineStr">
        <is>
          <t>High</t>
        </is>
      </c>
      <c r="H180" s="10" t="inlineStr">
        <is>
          <t>No</t>
        </is>
      </c>
    </row>
    <row r="181">
      <c r="A181" s="29" t="inlineStr">
        <is>
          <t>AGN-008</t>
        </is>
      </c>
      <c r="B181" s="30" t="inlineStr">
        <is>
          <t>Agentic AI for Audit Functions</t>
        </is>
      </c>
      <c r="C181" s="31" t="inlineStr">
        <is>
          <t>Contextual Reasoning</t>
        </is>
      </c>
      <c r="D181" s="7" t="inlineStr">
        <is>
          <t>Gap and Control Weakness Identification</t>
        </is>
      </c>
      <c r="E181" s="8" t="inlineStr">
        <is>
          <t>Identify gaps, inconsistencies, unusual patterns, and control weaknesses.</t>
        </is>
      </c>
      <c r="F181" s="9" t="inlineStr">
        <is>
          <t>Must-Have</t>
        </is>
      </c>
      <c r="G181" s="9" t="inlineStr">
        <is>
          <t>High</t>
        </is>
      </c>
      <c r="H181" s="10" t="inlineStr">
        <is>
          <t>Yes</t>
        </is>
      </c>
    </row>
    <row r="182">
      <c r="A182" s="29" t="inlineStr">
        <is>
          <t>AGN-009</t>
        </is>
      </c>
      <c r="B182" s="30" t="inlineStr">
        <is>
          <t>Agentic AI for Audit Functions</t>
        </is>
      </c>
      <c r="C182" s="31" t="inlineStr">
        <is>
          <t>AI-Driven Planning &amp; Scoping</t>
        </is>
      </c>
      <c r="D182" s="7" t="inlineStr">
        <is>
          <t>Automated Source Review for Planning</t>
        </is>
      </c>
      <c r="E182" s="8" t="inlineStr">
        <is>
          <t>Automated review of process maps, risk registers, past audit results, and regulatory guidelines.</t>
        </is>
      </c>
      <c r="F182" s="9" t="inlineStr">
        <is>
          <t>Must-Have</t>
        </is>
      </c>
      <c r="G182" s="9" t="inlineStr">
        <is>
          <t>High</t>
        </is>
      </c>
      <c r="H182" s="10" t="inlineStr">
        <is>
          <t>No</t>
        </is>
      </c>
    </row>
    <row r="183">
      <c r="A183" s="29" t="inlineStr">
        <is>
          <t>AGN-010</t>
        </is>
      </c>
      <c r="B183" s="30" t="inlineStr">
        <is>
          <t>Agentic AI for Audit Functions</t>
        </is>
      </c>
      <c r="C183" s="31" t="inlineStr">
        <is>
          <t>AI-Driven Planning &amp; Scoping</t>
        </is>
      </c>
      <c r="D183" s="7" t="inlineStr">
        <is>
          <t>Scope and Entity Prioritisation Generation</t>
        </is>
      </c>
      <c r="E183" s="8" t="inlineStr">
        <is>
          <t>Generation of audit scope, high-risk areas, and entity prioritisation.</t>
        </is>
      </c>
      <c r="F183" s="9" t="inlineStr">
        <is>
          <t>Must-Have</t>
        </is>
      </c>
      <c r="G183" s="9" t="inlineStr">
        <is>
          <t>High</t>
        </is>
      </c>
      <c r="H183" s="10" t="inlineStr">
        <is>
          <t>No</t>
        </is>
      </c>
    </row>
    <row r="184">
      <c r="A184" s="29" t="inlineStr">
        <is>
          <t>AGN-011</t>
        </is>
      </c>
      <c r="B184" s="30" t="inlineStr">
        <is>
          <t>Agentic AI for Audit Functions</t>
        </is>
      </c>
      <c r="C184" s="31" t="inlineStr">
        <is>
          <t>AI-Driven Planning &amp; Scoping</t>
        </is>
      </c>
      <c r="D184" s="7" t="inlineStr">
        <is>
          <t>Dynamic Scope Adjustment</t>
        </is>
      </c>
      <c r="E184" s="8" t="inlineStr">
        <is>
          <t>Dynamic adjustment of scope based on real-time findings.</t>
        </is>
      </c>
      <c r="F184" s="9" t="inlineStr">
        <is>
          <t>Must-Have</t>
        </is>
      </c>
      <c r="G184" s="9" t="inlineStr">
        <is>
          <t>High</t>
        </is>
      </c>
      <c r="H184" s="10" t="inlineStr">
        <is>
          <t>No</t>
        </is>
      </c>
    </row>
    <row r="185">
      <c r="A185" s="29" t="inlineStr">
        <is>
          <t>AGN-012</t>
        </is>
      </c>
      <c r="B185" s="30" t="inlineStr">
        <is>
          <t>Agentic AI for Audit Functions</t>
        </is>
      </c>
      <c r="C185" s="31" t="inlineStr">
        <is>
          <t>AI-Driven Planning &amp; Scoping</t>
        </is>
      </c>
      <c r="D185" s="7" t="inlineStr">
        <is>
          <t>Predictive Risk Modelling for Test Depth</t>
        </is>
      </c>
      <c r="E185" s="8" t="inlineStr">
        <is>
          <t>Predictive risk modelling to determine which locations or processes require deeper testing.</t>
        </is>
      </c>
      <c r="F185" s="9" t="inlineStr">
        <is>
          <t>Must-Have</t>
        </is>
      </c>
      <c r="G185" s="9" t="inlineStr">
        <is>
          <t>High</t>
        </is>
      </c>
      <c r="H185" s="10" t="inlineStr">
        <is>
          <t>No</t>
        </is>
      </c>
    </row>
    <row r="186">
      <c r="A186" s="29" t="inlineStr">
        <is>
          <t>AGN-013</t>
        </is>
      </c>
      <c r="B186" s="30" t="inlineStr">
        <is>
          <t>Agentic AI for Audit Functions</t>
        </is>
      </c>
      <c r="C186" s="31" t="inlineStr">
        <is>
          <t>AI-Generated Checklists</t>
        </is>
      </c>
      <c r="D186" s="7" t="inlineStr">
        <is>
          <t>Checklist Generation from Regulatory Sources</t>
        </is>
      </c>
      <c r="E186" s="8" t="inlineStr">
        <is>
          <t>Generate audit checklists using regulatory guidelines, circulars, policies, SOPs, and process notes.</t>
        </is>
      </c>
      <c r="F186" s="9" t="inlineStr">
        <is>
          <t>Must-Have</t>
        </is>
      </c>
      <c r="G186" s="9" t="inlineStr">
        <is>
          <t>High</t>
        </is>
      </c>
      <c r="H186" s="10" t="inlineStr">
        <is>
          <t>No</t>
        </is>
      </c>
    </row>
    <row r="187">
      <c r="A187" s="29" t="inlineStr">
        <is>
          <t>AGN-014</t>
        </is>
      </c>
      <c r="B187" s="30" t="inlineStr">
        <is>
          <t>Agentic AI for Audit Functions</t>
        </is>
      </c>
      <c r="C187" s="31" t="inlineStr">
        <is>
          <t>AI-Generated Checklists</t>
        </is>
      </c>
      <c r="D187" s="7" t="inlineStr">
        <is>
          <t>Automatic Checklist Update on Change</t>
        </is>
      </c>
      <c r="E187" s="8" t="inlineStr">
        <is>
          <t>Update checklists automatically when regulations or policies change.</t>
        </is>
      </c>
      <c r="F187" s="9" t="inlineStr">
        <is>
          <t>Must-Have</t>
        </is>
      </c>
      <c r="G187" s="9" t="inlineStr">
        <is>
          <t>High</t>
        </is>
      </c>
      <c r="H187" s="10" t="inlineStr">
        <is>
          <t>No</t>
        </is>
      </c>
    </row>
    <row r="188">
      <c r="A188" s="29" t="inlineStr">
        <is>
          <t>AGN-015</t>
        </is>
      </c>
      <c r="B188" s="30" t="inlineStr">
        <is>
          <t>Agentic AI for Audit Functions</t>
        </is>
      </c>
      <c r="C188" s="31" t="inlineStr">
        <is>
          <t>AI-Generated Checklists</t>
        </is>
      </c>
      <c r="D188" s="7" t="inlineStr">
        <is>
          <t>Checklist to Risk, Control and Data Mapping</t>
        </is>
      </c>
      <c r="E188" s="8" t="inlineStr">
        <is>
          <t>Map checklist items to specific risks, controls, and data sources.</t>
        </is>
      </c>
      <c r="F188" s="9" t="inlineStr">
        <is>
          <t>Must-Have</t>
        </is>
      </c>
      <c r="G188" s="9" t="inlineStr">
        <is>
          <t>High</t>
        </is>
      </c>
      <c r="H188" s="10" t="inlineStr">
        <is>
          <t>Yes</t>
        </is>
      </c>
    </row>
    <row r="189">
      <c r="A189" s="29" t="inlineStr">
        <is>
          <t>AGN-016</t>
        </is>
      </c>
      <c r="B189" s="30" t="inlineStr">
        <is>
          <t>Agentic AI for Audit Functions</t>
        </is>
      </c>
      <c r="C189" s="31" t="inlineStr">
        <is>
          <t>AI-Generated Checklists</t>
        </is>
      </c>
      <c r="D189" s="7" t="inlineStr">
        <is>
          <t>Evidence-Based Reasoning for Recommendations</t>
        </is>
      </c>
      <c r="E189" s="8" t="inlineStr">
        <is>
          <t>Provide evidence-based reasoning for each checklist recommendation.</t>
        </is>
      </c>
      <c r="F189" s="9" t="inlineStr">
        <is>
          <t>Must-Have</t>
        </is>
      </c>
      <c r="G189" s="9" t="inlineStr">
        <is>
          <t>High</t>
        </is>
      </c>
      <c r="H189" s="10" t="inlineStr">
        <is>
          <t>Yes</t>
        </is>
      </c>
    </row>
    <row r="190">
      <c r="A190" s="29" t="inlineStr">
        <is>
          <t>AGN-017</t>
        </is>
      </c>
      <c r="B190" s="30" t="inlineStr">
        <is>
          <t>Agentic AI for Audit Functions</t>
        </is>
      </c>
      <c r="C190" s="31" t="inlineStr">
        <is>
          <t>Agentic Analytics &amp; Testing</t>
        </is>
      </c>
      <c r="D190" s="7" t="inlineStr">
        <is>
          <t>Autonomous Fetch, Clean, Test and Detect</t>
        </is>
      </c>
      <c r="E190" s="8" t="inlineStr">
        <is>
          <t>Agents should fetch data, clean it, run audit tests, validate thresholds, and detect anomalies.</t>
        </is>
      </c>
      <c r="F190" s="9" t="inlineStr">
        <is>
          <t>Should-Have</t>
        </is>
      </c>
      <c r="G190" s="9" t="inlineStr">
        <is>
          <t>High</t>
        </is>
      </c>
      <c r="H190" s="10" t="inlineStr">
        <is>
          <t>No</t>
        </is>
      </c>
    </row>
    <row r="191">
      <c r="A191" s="29" t="inlineStr">
        <is>
          <t>AGN-018</t>
        </is>
      </c>
      <c r="B191" s="30" t="inlineStr">
        <is>
          <t>Agentic AI for Audit Functions</t>
        </is>
      </c>
      <c r="C191" s="31" t="inlineStr">
        <is>
          <t>Agentic Analytics &amp; Testing</t>
        </is>
      </c>
      <c r="D191" s="7" t="inlineStr">
        <is>
          <t>Reconciliation and Transaction Testing</t>
        </is>
      </c>
      <c r="E191" s="8" t="inlineStr">
        <is>
          <t>Ability to perform reconciliations, trend analysis, transaction testing, and exception extraction.</t>
        </is>
      </c>
      <c r="F191" s="9" t="inlineStr">
        <is>
          <t>Must-Have</t>
        </is>
      </c>
      <c r="G191" s="9" t="inlineStr">
        <is>
          <t>High</t>
        </is>
      </c>
      <c r="H191" s="10" t="inlineStr">
        <is>
          <t>Yes</t>
        </is>
      </c>
    </row>
    <row r="192">
      <c r="A192" s="29" t="inlineStr">
        <is>
          <t>AGN-019</t>
        </is>
      </c>
      <c r="B192" s="30" t="inlineStr">
        <is>
          <t>Agentic AI for Audit Functions</t>
        </is>
      </c>
      <c r="C192" s="31" t="inlineStr">
        <is>
          <t>Agentic Analytics &amp; Testing</t>
        </is>
      </c>
      <c r="D192" s="7" t="inlineStr">
        <is>
          <t>Explainable Result Derivation</t>
        </is>
      </c>
      <c r="E192" s="8" t="inlineStr">
        <is>
          <t>Provide a detailed explanation of how each result was derived (Explainable AI).</t>
        </is>
      </c>
      <c r="F192" s="9" t="inlineStr">
        <is>
          <t>Must-Have</t>
        </is>
      </c>
      <c r="G192" s="9" t="inlineStr">
        <is>
          <t>High</t>
        </is>
      </c>
      <c r="H192" s="10" t="inlineStr">
        <is>
          <t>Yes</t>
        </is>
      </c>
    </row>
    <row r="193">
      <c r="A193" s="29" t="inlineStr">
        <is>
          <t>AGN-020</t>
        </is>
      </c>
      <c r="B193" s="30" t="inlineStr">
        <is>
          <t>Agentic AI for Audit Functions</t>
        </is>
      </c>
      <c r="C193" s="31" t="inlineStr">
        <is>
          <t>Agentic Analytics &amp; Testing</t>
        </is>
      </c>
      <c r="D193" s="7" t="inlineStr">
        <is>
          <t>Autonomous Follow-On Test Triggering</t>
        </is>
      </c>
      <c r="E193" s="8" t="inlineStr">
        <is>
          <t>Trigger new tests autonomously if anomalies appear.</t>
        </is>
      </c>
      <c r="F193" s="9" t="inlineStr">
        <is>
          <t>Must-Have</t>
        </is>
      </c>
      <c r="G193" s="9" t="inlineStr">
        <is>
          <t>High</t>
        </is>
      </c>
      <c r="H193" s="10" t="inlineStr">
        <is>
          <t>No</t>
        </is>
      </c>
    </row>
    <row r="194">
      <c r="A194" s="29" t="inlineStr">
        <is>
          <t>AGN-021</t>
        </is>
      </c>
      <c r="B194" s="30" t="inlineStr">
        <is>
          <t>Agentic AI for Audit Functions</t>
        </is>
      </c>
      <c r="C194" s="31" t="inlineStr">
        <is>
          <t>Autonomous Exception Identification</t>
        </is>
      </c>
      <c r="D194" s="7" t="inlineStr">
        <is>
          <t>Auto-Detection of Failures and Fraud Indicators</t>
        </is>
      </c>
      <c r="E194" s="8" t="inlineStr">
        <is>
          <t>Auto-detect control failures, anomalies, duplications, fraud indicators, or non-compliances.</t>
        </is>
      </c>
      <c r="F194" s="9" t="inlineStr">
        <is>
          <t>Must-Have</t>
        </is>
      </c>
      <c r="G194" s="9" t="inlineStr">
        <is>
          <t>High</t>
        </is>
      </c>
      <c r="H194" s="10" t="inlineStr">
        <is>
          <t>Yes</t>
        </is>
      </c>
    </row>
    <row r="195">
      <c r="A195" s="29" t="inlineStr">
        <is>
          <t>AGN-022</t>
        </is>
      </c>
      <c r="B195" s="30" t="inlineStr">
        <is>
          <t>Agentic AI for Audit Functions</t>
        </is>
      </c>
      <c r="C195" s="31" t="inlineStr">
        <is>
          <t>Autonomous Exception Identification</t>
        </is>
      </c>
      <c r="D195" s="7" t="inlineStr">
        <is>
          <t>AI Reasoning Based Severity Scoring</t>
        </is>
      </c>
      <c r="E195" s="8" t="inlineStr">
        <is>
          <t>Severity scoring of exceptions using AI reasoning.</t>
        </is>
      </c>
      <c r="F195" s="9" t="inlineStr">
        <is>
          <t>Must-Have</t>
        </is>
      </c>
      <c r="G195" s="9" t="inlineStr">
        <is>
          <t>Medium</t>
        </is>
      </c>
      <c r="H195" s="10" t="inlineStr">
        <is>
          <t>Yes</t>
        </is>
      </c>
    </row>
    <row r="196">
      <c r="A196" s="29" t="inlineStr">
        <is>
          <t>AGN-023</t>
        </is>
      </c>
      <c r="B196" s="30" t="inlineStr">
        <is>
          <t>Agentic AI for Audit Functions</t>
        </is>
      </c>
      <c r="C196" s="31" t="inlineStr">
        <is>
          <t>Autonomous Exception Identification</t>
        </is>
      </c>
      <c r="D196" s="7" t="inlineStr">
        <is>
          <t>Systemic Issue Grouping</t>
        </is>
      </c>
      <c r="E196" s="8" t="inlineStr">
        <is>
          <t>Group related exceptions and identify systemic issues.</t>
        </is>
      </c>
      <c r="F196" s="9" t="inlineStr">
        <is>
          <t>Must-Have</t>
        </is>
      </c>
      <c r="G196" s="9" t="inlineStr">
        <is>
          <t>Medium</t>
        </is>
      </c>
      <c r="H196" s="10" t="inlineStr">
        <is>
          <t>Yes</t>
        </is>
      </c>
    </row>
    <row r="197">
      <c r="A197" s="29" t="inlineStr">
        <is>
          <t>AGN-024</t>
        </is>
      </c>
      <c r="B197" s="30" t="inlineStr">
        <is>
          <t>Agentic AI for Audit Functions</t>
        </is>
      </c>
      <c r="C197" s="31" t="inlineStr">
        <is>
          <t>Autonomous Exception Identification</t>
        </is>
      </c>
      <c r="D197" s="7" t="inlineStr">
        <is>
          <t>Root Cause Suggestion with Evidence</t>
        </is>
      </c>
      <c r="E197" s="8" t="inlineStr">
        <is>
          <t>Suggest likely root causes with supporting evidence.</t>
        </is>
      </c>
      <c r="F197" s="9" t="inlineStr">
        <is>
          <t>Must-Have</t>
        </is>
      </c>
      <c r="G197" s="9" t="inlineStr">
        <is>
          <t>High</t>
        </is>
      </c>
      <c r="H197" s="10" t="inlineStr">
        <is>
          <t>No</t>
        </is>
      </c>
    </row>
    <row r="198">
      <c r="A198" s="29" t="inlineStr">
        <is>
          <t>AGN-025</t>
        </is>
      </c>
      <c r="B198" s="30" t="inlineStr">
        <is>
          <t>Agentic AI for Audit Functions</t>
        </is>
      </c>
      <c r="C198" s="31" t="inlineStr">
        <is>
          <t>Intelligent Sampling</t>
        </is>
      </c>
      <c r="D198" s="7" t="inlineStr">
        <is>
          <t>AI Risk-Based Sampling</t>
        </is>
      </c>
      <c r="E198" s="8" t="inlineStr">
        <is>
          <t>AI-enabled risk-based sampling driven by predictive scores and anomaly patterns.</t>
        </is>
      </c>
      <c r="F198" s="9" t="inlineStr">
        <is>
          <t>Must-Have</t>
        </is>
      </c>
      <c r="G198" s="9" t="inlineStr">
        <is>
          <t>High</t>
        </is>
      </c>
      <c r="H198" s="10" t="inlineStr">
        <is>
          <t>No</t>
        </is>
      </c>
    </row>
    <row r="199">
      <c r="A199" s="29" t="inlineStr">
        <is>
          <t>AGN-026</t>
        </is>
      </c>
      <c r="B199" s="30" t="inlineStr">
        <is>
          <t>Agentic AI for Audit Functions</t>
        </is>
      </c>
      <c r="C199" s="31" t="inlineStr">
        <is>
          <t>Intelligent Sampling</t>
        </is>
      </c>
      <c r="D199" s="7" t="inlineStr">
        <is>
          <t>Autonomous Hybrid Sampling Logic</t>
        </is>
      </c>
      <c r="E199" s="8" t="inlineStr">
        <is>
          <t>Combination of judgmental, random, and stratified logic executed autonomously.</t>
        </is>
      </c>
      <c r="F199" s="9" t="inlineStr">
        <is>
          <t>Must-Have</t>
        </is>
      </c>
      <c r="G199" s="9" t="inlineStr">
        <is>
          <t>Medium</t>
        </is>
      </c>
      <c r="H199" s="10" t="inlineStr">
        <is>
          <t>No</t>
        </is>
      </c>
    </row>
    <row r="200">
      <c r="A200" s="29" t="inlineStr">
        <is>
          <t>AGN-027</t>
        </is>
      </c>
      <c r="B200" s="30" t="inlineStr">
        <is>
          <t>Agentic AI for Audit Functions</t>
        </is>
      </c>
      <c r="C200" s="31" t="inlineStr">
        <is>
          <t>Intelligent Sampling</t>
        </is>
      </c>
      <c r="D200" s="7" t="inlineStr">
        <is>
          <t>Dynamic Sample Recalibration</t>
        </is>
      </c>
      <c r="E200" s="8" t="inlineStr">
        <is>
          <t>Dynamic sample recalibration as more exceptions are found.</t>
        </is>
      </c>
      <c r="F200" s="9" t="inlineStr">
        <is>
          <t>Must-Have</t>
        </is>
      </c>
      <c r="G200" s="9" t="inlineStr">
        <is>
          <t>High</t>
        </is>
      </c>
      <c r="H200" s="10" t="inlineStr">
        <is>
          <t>No</t>
        </is>
      </c>
    </row>
    <row r="201">
      <c r="A201" s="29" t="inlineStr">
        <is>
          <t>AGN-028</t>
        </is>
      </c>
      <c r="B201" s="30" t="inlineStr">
        <is>
          <t>Agentic AI for Audit Functions</t>
        </is>
      </c>
      <c r="C201" s="31" t="inlineStr">
        <is>
          <t>Intelligent Sampling</t>
        </is>
      </c>
      <c r="D201" s="7" t="inlineStr">
        <is>
          <t>Sampling Decision and Logic Audit Trail</t>
        </is>
      </c>
      <c r="E201" s="8" t="inlineStr">
        <is>
          <t>Complete audit trail of sampling decisions and logic.</t>
        </is>
      </c>
      <c r="F201" s="9" t="inlineStr">
        <is>
          <t>Must-Have</t>
        </is>
      </c>
      <c r="G201" s="9" t="inlineStr">
        <is>
          <t>Low</t>
        </is>
      </c>
      <c r="H201" s="10" t="inlineStr">
        <is>
          <t>Yes</t>
        </is>
      </c>
    </row>
    <row r="202">
      <c r="A202" s="29" t="inlineStr">
        <is>
          <t>AGN-029</t>
        </is>
      </c>
      <c r="B202" s="30" t="inlineStr">
        <is>
          <t>Agentic AI for Audit Functions</t>
        </is>
      </c>
      <c r="C202" s="31" t="inlineStr">
        <is>
          <t>Workpaper Automation</t>
        </is>
      </c>
      <c r="D202" s="7" t="inlineStr">
        <is>
          <t>Auto-Generation of Workpapers</t>
        </is>
      </c>
      <c r="E202" s="8" t="inlineStr">
        <is>
          <t>Auto-generation of workpapers for each test performed.</t>
        </is>
      </c>
      <c r="F202" s="9" t="inlineStr">
        <is>
          <t>Must-Have</t>
        </is>
      </c>
      <c r="G202" s="9" t="inlineStr">
        <is>
          <t>High</t>
        </is>
      </c>
      <c r="H202" s="10" t="inlineStr">
        <is>
          <t>Yes</t>
        </is>
      </c>
    </row>
    <row r="203">
      <c r="A203" s="29" t="inlineStr">
        <is>
          <t>AGN-030</t>
        </is>
      </c>
      <c r="B203" s="30" t="inlineStr">
        <is>
          <t>Agentic AI for Audit Functions</t>
        </is>
      </c>
      <c r="C203" s="31" t="inlineStr">
        <is>
          <t>Workpaper Automation</t>
        </is>
      </c>
      <c r="D203" s="7" t="inlineStr">
        <is>
          <t>Evidence Summarisation and Attachment</t>
        </is>
      </c>
      <c r="E203" s="8" t="inlineStr">
        <is>
          <t>Agents should summarise evidence, attach data extracts, and justify exceptions.</t>
        </is>
      </c>
      <c r="F203" s="9" t="inlineStr">
        <is>
          <t>Should-Have</t>
        </is>
      </c>
      <c r="G203" s="9" t="inlineStr">
        <is>
          <t>High</t>
        </is>
      </c>
      <c r="H203" s="10" t="inlineStr">
        <is>
          <t>Yes</t>
        </is>
      </c>
    </row>
    <row r="204">
      <c r="A204" s="29" t="inlineStr">
        <is>
          <t>AGN-031</t>
        </is>
      </c>
      <c r="B204" s="30" t="inlineStr">
        <is>
          <t>Agentic AI for Audit Functions</t>
        </is>
      </c>
      <c r="C204" s="31" t="inlineStr">
        <is>
          <t>Workpaper Automation</t>
        </is>
      </c>
      <c r="D204" s="7" t="inlineStr">
        <is>
          <t>Version Control, Approval and Edit History</t>
        </is>
      </c>
      <c r="E204" s="8" t="inlineStr">
        <is>
          <t>Version control, approval workflow, and edit history for workpapers.</t>
        </is>
      </c>
      <c r="F204" s="9" t="inlineStr">
        <is>
          <t>Must-Have</t>
        </is>
      </c>
      <c r="G204" s="9" t="inlineStr">
        <is>
          <t>Medium</t>
        </is>
      </c>
      <c r="H204" s="10" t="inlineStr">
        <is>
          <t>No</t>
        </is>
      </c>
    </row>
    <row r="205">
      <c r="A205" s="29" t="inlineStr">
        <is>
          <t>AGN-032</t>
        </is>
      </c>
      <c r="B205" s="30" t="inlineStr">
        <is>
          <t>Agentic AI for Audit Functions</t>
        </is>
      </c>
      <c r="C205" s="31" t="inlineStr">
        <is>
          <t>Workpaper Automation</t>
        </is>
      </c>
      <c r="D205" s="7" t="inlineStr">
        <is>
          <t>Compliance with Internal Audit Standards</t>
        </is>
      </c>
      <c r="E205" s="8" t="inlineStr">
        <is>
          <t>Workpapers must meet internal audit standards.</t>
        </is>
      </c>
      <c r="F205" s="9" t="inlineStr">
        <is>
          <t>Must-Have</t>
        </is>
      </c>
      <c r="G205" s="9" t="inlineStr">
        <is>
          <t>Medium</t>
        </is>
      </c>
      <c r="H205" s="10" t="inlineStr">
        <is>
          <t>Yes</t>
        </is>
      </c>
    </row>
    <row r="206">
      <c r="A206" s="29" t="inlineStr">
        <is>
          <t>AGN-033</t>
        </is>
      </c>
      <c r="B206" s="30" t="inlineStr">
        <is>
          <t>Agentic AI for Audit Functions</t>
        </is>
      </c>
      <c r="C206" s="31" t="inlineStr">
        <is>
          <t>Autonomous Query Management</t>
        </is>
      </c>
      <c r="D206" s="7" t="inlineStr">
        <is>
          <t>Auto-Drafting of Auditee Queries</t>
        </is>
      </c>
      <c r="E206" s="8" t="inlineStr">
        <is>
          <t>Auto-draft queries for auditees based on detected exceptions.</t>
        </is>
      </c>
      <c r="F206" s="9" t="inlineStr">
        <is>
          <t>Must-Have</t>
        </is>
      </c>
      <c r="G206" s="9" t="inlineStr">
        <is>
          <t>Medium</t>
        </is>
      </c>
      <c r="H206" s="10" t="inlineStr">
        <is>
          <t>No</t>
        </is>
      </c>
    </row>
    <row r="207">
      <c r="A207" s="29" t="inlineStr">
        <is>
          <t>AGN-034</t>
        </is>
      </c>
      <c r="B207" s="30" t="inlineStr">
        <is>
          <t>Agentic AI for Audit Functions</t>
        </is>
      </c>
      <c r="C207" s="31" t="inlineStr">
        <is>
          <t>Autonomous Query Management</t>
        </is>
      </c>
      <c r="D207" s="7" t="inlineStr">
        <is>
          <t>Automated Response Adequacy Analysis</t>
        </is>
      </c>
      <c r="E207" s="8" t="inlineStr">
        <is>
          <t>Auto-analyse responses and determine adequacy.</t>
        </is>
      </c>
      <c r="F207" s="9" t="inlineStr">
        <is>
          <t>Must-Have</t>
        </is>
      </c>
      <c r="G207" s="9" t="inlineStr">
        <is>
          <t>High</t>
        </is>
      </c>
      <c r="H207" s="10" t="inlineStr">
        <is>
          <t>No</t>
        </is>
      </c>
    </row>
    <row r="208">
      <c r="A208" s="29" t="inlineStr">
        <is>
          <t>AGN-035</t>
        </is>
      </c>
      <c r="B208" s="30" t="inlineStr">
        <is>
          <t>Agentic AI for Audit Functions</t>
        </is>
      </c>
      <c r="C208" s="31" t="inlineStr">
        <is>
          <t>Autonomous Query Management</t>
        </is>
      </c>
      <c r="D208" s="7" t="inlineStr">
        <is>
          <t>Closure or Escalation Recommendation</t>
        </is>
      </c>
      <c r="E208" s="8" t="inlineStr">
        <is>
          <t>Recommend closure or escalation based on evidence.</t>
        </is>
      </c>
      <c r="F208" s="9" t="inlineStr">
        <is>
          <t>Must-Have</t>
        </is>
      </c>
      <c r="G208" s="9" t="inlineStr">
        <is>
          <t>Medium</t>
        </is>
      </c>
      <c r="H208" s="10" t="inlineStr">
        <is>
          <t>No</t>
        </is>
      </c>
    </row>
    <row r="209">
      <c r="A209" s="29" t="inlineStr">
        <is>
          <t>AGN-036</t>
        </is>
      </c>
      <c r="B209" s="30" t="inlineStr">
        <is>
          <t>Agentic AI for Audit Functions</t>
        </is>
      </c>
      <c r="C209" s="31" t="inlineStr">
        <is>
          <t>Autonomous Query Management</t>
        </is>
      </c>
      <c r="D209" s="7" t="inlineStr">
        <is>
          <t>Full Conversational Logging</t>
        </is>
      </c>
      <c r="E209" s="8" t="inlineStr">
        <is>
          <t>Maintain full conversational logs.</t>
        </is>
      </c>
      <c r="F209" s="9" t="inlineStr">
        <is>
          <t>Must-Have</t>
        </is>
      </c>
      <c r="G209" s="9" t="inlineStr">
        <is>
          <t>Low</t>
        </is>
      </c>
      <c r="H209" s="10" t="inlineStr">
        <is>
          <t>No</t>
        </is>
      </c>
    </row>
    <row r="210">
      <c r="A210" s="29" t="inlineStr">
        <is>
          <t>AGN-037</t>
        </is>
      </c>
      <c r="B210" s="30" t="inlineStr">
        <is>
          <t>Agentic AI for Audit Functions</t>
        </is>
      </c>
      <c r="C210" s="31" t="inlineStr">
        <is>
          <t>Generative AI Reporting</t>
        </is>
      </c>
      <c r="D210" s="7" t="inlineStr">
        <is>
          <t>Draft Audit Report Generation</t>
        </is>
      </c>
      <c r="E210" s="8" t="inlineStr">
        <is>
          <t>Create draft audit reports based on findings, exceptions, data analysis, and risk rating.</t>
        </is>
      </c>
      <c r="F210" s="9" t="inlineStr">
        <is>
          <t>Must-Have</t>
        </is>
      </c>
      <c r="G210" s="9" t="inlineStr">
        <is>
          <t>High</t>
        </is>
      </c>
      <c r="H210" s="10" t="inlineStr">
        <is>
          <t>Yes</t>
        </is>
      </c>
    </row>
    <row r="211">
      <c r="A211" s="29" t="inlineStr">
        <is>
          <t>AGN-038</t>
        </is>
      </c>
      <c r="B211" s="30" t="inlineStr">
        <is>
          <t>Agentic AI for Audit Functions</t>
        </is>
      </c>
      <c r="C211" s="31" t="inlineStr">
        <is>
          <t>Generative AI Reporting</t>
        </is>
      </c>
      <c r="D211" s="7" t="inlineStr">
        <is>
          <t>Root Cause, Impact and Recommendations</t>
        </is>
      </c>
      <c r="E211" s="8" t="inlineStr">
        <is>
          <t>Provide root cause analysis, impact assessment, and recommendations.</t>
        </is>
      </c>
      <c r="F211" s="9" t="inlineStr">
        <is>
          <t>Must-Have</t>
        </is>
      </c>
      <c r="G211" s="9" t="inlineStr">
        <is>
          <t>High</t>
        </is>
      </c>
      <c r="H211" s="10" t="inlineStr">
        <is>
          <t>Yes</t>
        </is>
      </c>
    </row>
    <row r="212">
      <c r="A212" s="29" t="inlineStr">
        <is>
          <t>AGN-039</t>
        </is>
      </c>
      <c r="B212" s="30" t="inlineStr">
        <is>
          <t>Agentic AI for Audit Functions</t>
        </is>
      </c>
      <c r="C212" s="31" t="inlineStr">
        <is>
          <t>Generative AI Reporting</t>
        </is>
      </c>
      <c r="D212" s="7" t="inlineStr">
        <is>
          <t>Multi-Level Audience Summaries</t>
        </is>
      </c>
      <c r="E212" s="8" t="inlineStr">
        <is>
          <t>Support multi-level summaries (CxO, CRO, Audit Committee, Branch level).</t>
        </is>
      </c>
      <c r="F212" s="9" t="inlineStr">
        <is>
          <t>Must-Have</t>
        </is>
      </c>
      <c r="G212" s="9" t="inlineStr">
        <is>
          <t>Medium</t>
        </is>
      </c>
      <c r="H212" s="10" t="inlineStr">
        <is>
          <t>Yes</t>
        </is>
      </c>
    </row>
    <row r="213">
      <c r="A213" s="29" t="inlineStr">
        <is>
          <t>AGN-040</t>
        </is>
      </c>
      <c r="B213" s="30" t="inlineStr">
        <is>
          <t>Agentic AI for Audit Functions</t>
        </is>
      </c>
      <c r="C213" s="31" t="inlineStr">
        <is>
          <t>Generative AI Reporting</t>
        </is>
      </c>
      <c r="D213" s="7" t="inlineStr">
        <is>
          <t>Factual Accuracy with References</t>
        </is>
      </c>
      <c r="E213" s="8" t="inlineStr">
        <is>
          <t>Maintain factual accuracy with supporting references.</t>
        </is>
      </c>
      <c r="F213" s="9" t="inlineStr">
        <is>
          <t>Must-Have</t>
        </is>
      </c>
      <c r="G213" s="9" t="inlineStr">
        <is>
          <t>High</t>
        </is>
      </c>
      <c r="H213" s="10" t="inlineStr">
        <is>
          <t>No</t>
        </is>
      </c>
    </row>
    <row r="214">
      <c r="A214" s="29" t="inlineStr">
        <is>
          <t>AGN-041</t>
        </is>
      </c>
      <c r="B214" s="30" t="inlineStr">
        <is>
          <t>Agentic AI for Audit Functions</t>
        </is>
      </c>
      <c r="C214" s="31" t="inlineStr">
        <is>
          <t>Explainability &amp; Traceability</t>
        </is>
      </c>
      <c r="D214" s="7" t="inlineStr">
        <is>
          <t>Explainability of Every AI Action</t>
        </is>
      </c>
      <c r="E214" s="8" t="inlineStr">
        <is>
          <t>Every AI action must be explainable.</t>
        </is>
      </c>
      <c r="F214" s="9" t="inlineStr">
        <is>
          <t>Must-Have</t>
        </is>
      </c>
      <c r="G214" s="9" t="inlineStr">
        <is>
          <t>High</t>
        </is>
      </c>
      <c r="H214" s="10" t="inlineStr">
        <is>
          <t>No</t>
        </is>
      </c>
    </row>
    <row r="215">
      <c r="A215" s="29" t="inlineStr">
        <is>
          <t>AGN-042</t>
        </is>
      </c>
      <c r="B215" s="30" t="inlineStr">
        <is>
          <t>Agentic AI for Audit Functions</t>
        </is>
      </c>
      <c r="C215" s="31" t="inlineStr">
        <is>
          <t>Explainability &amp; Traceability</t>
        </is>
      </c>
      <c r="D215" s="7" t="inlineStr">
        <is>
          <t>Reasoning Chains and Input References</t>
        </is>
      </c>
      <c r="E215" s="8" t="inlineStr">
        <is>
          <t>Provide reasoning chains, input data references, and model outputs.</t>
        </is>
      </c>
      <c r="F215" s="9" t="inlineStr">
        <is>
          <t>Must-Have</t>
        </is>
      </c>
      <c r="G215" s="9" t="inlineStr">
        <is>
          <t>High</t>
        </is>
      </c>
      <c r="H215" s="10" t="inlineStr">
        <is>
          <t>No</t>
        </is>
      </c>
    </row>
    <row r="216">
      <c r="A216" s="29" t="inlineStr">
        <is>
          <t>AGN-043</t>
        </is>
      </c>
      <c r="B216" s="30" t="inlineStr">
        <is>
          <t>Agentic AI for Audit Functions</t>
        </is>
      </c>
      <c r="C216" s="31" t="inlineStr">
        <is>
          <t>Explainability &amp; Traceability</t>
        </is>
      </c>
      <c r="D216" s="7" t="inlineStr">
        <is>
          <t>Immutable AI Decision Logs</t>
        </is>
      </c>
      <c r="E216" s="8" t="inlineStr">
        <is>
          <t>Maintain immutable logs of AI decisions.</t>
        </is>
      </c>
      <c r="F216" s="9" t="inlineStr">
        <is>
          <t>Must-Have</t>
        </is>
      </c>
      <c r="G216" s="9" t="inlineStr">
        <is>
          <t>High</t>
        </is>
      </c>
      <c r="H216" s="10" t="inlineStr">
        <is>
          <t>No</t>
        </is>
      </c>
    </row>
    <row r="217">
      <c r="A217" s="29" t="inlineStr">
        <is>
          <t>AGN-044</t>
        </is>
      </c>
      <c r="B217" s="30" t="inlineStr">
        <is>
          <t>Agentic AI for Audit Functions</t>
        </is>
      </c>
      <c r="C217" s="31" t="inlineStr">
        <is>
          <t>Human-in-the-Loop Controls</t>
        </is>
      </c>
      <c r="D217" s="7" t="inlineStr">
        <is>
          <t>Auditor Approval of Critical AI Outputs</t>
        </is>
      </c>
      <c r="E217" s="8" t="inlineStr">
        <is>
          <t>Auditors must approve critical AI outputs (scope, exceptions, reports).</t>
        </is>
      </c>
      <c r="F217" s="9" t="inlineStr">
        <is>
          <t>Must-Have</t>
        </is>
      </c>
      <c r="G217" s="9" t="inlineStr">
        <is>
          <t>Medium</t>
        </is>
      </c>
      <c r="H217" s="10" t="inlineStr">
        <is>
          <t>Yes</t>
        </is>
      </c>
    </row>
    <row r="218">
      <c r="A218" s="29" t="inlineStr">
        <is>
          <t>AGN-045</t>
        </is>
      </c>
      <c r="B218" s="30" t="inlineStr">
        <is>
          <t>Agentic AI for Audit Functions</t>
        </is>
      </c>
      <c r="C218" s="31" t="inlineStr">
        <is>
          <t>Human-in-the-Loop Controls</t>
        </is>
      </c>
      <c r="D218" s="7" t="inlineStr">
        <is>
          <t>Override with Recorded Justification</t>
        </is>
      </c>
      <c r="E218" s="8" t="inlineStr">
        <is>
          <t>Ability to override AI recommendations with recorded justification.</t>
        </is>
      </c>
      <c r="F218" s="9" t="inlineStr">
        <is>
          <t>Must-Have</t>
        </is>
      </c>
      <c r="G218" s="9" t="inlineStr">
        <is>
          <t>Medium</t>
        </is>
      </c>
      <c r="H218" s="10" t="inlineStr">
        <is>
          <t>No</t>
        </is>
      </c>
    </row>
    <row r="219">
      <c r="A219" s="29" t="inlineStr">
        <is>
          <t>AGN-046</t>
        </is>
      </c>
      <c r="B219" s="30" t="inlineStr">
        <is>
          <t>Agentic AI for Audit Functions</t>
        </is>
      </c>
      <c r="C219" s="31" t="inlineStr">
        <is>
          <t>Human-in-the-Loop Controls</t>
        </is>
      </c>
      <c r="D219" s="7" t="inlineStr">
        <is>
          <t>Escalation Workflows</t>
        </is>
      </c>
      <c r="E219" s="8" t="inlineStr">
        <is>
          <t>Escalation workflows for high-risk or ambiguous decisions.</t>
        </is>
      </c>
      <c r="F219" s="9" t="inlineStr">
        <is>
          <t>Must-Have</t>
        </is>
      </c>
      <c r="G219" s="9" t="inlineStr">
        <is>
          <t>Medium</t>
        </is>
      </c>
      <c r="H219" s="10" t="inlineStr">
        <is>
          <t>Yes</t>
        </is>
      </c>
    </row>
    <row r="220">
      <c r="A220" s="29" t="inlineStr">
        <is>
          <t>AGN-047</t>
        </is>
      </c>
      <c r="B220" s="30" t="inlineStr">
        <is>
          <t>Agentic AI for Audit Functions</t>
        </is>
      </c>
      <c r="C220" s="31" t="inlineStr">
        <is>
          <t>Model Management &amp; Regulatory Alignment</t>
        </is>
      </c>
      <c r="D220" s="7" t="inlineStr">
        <is>
          <t>Agentic Model Versioning and Drift Monitoring</t>
        </is>
      </c>
      <c r="E220" s="8" t="inlineStr">
        <is>
          <t>Versioning, drift monitoring, and periodic validation of Agentic models.</t>
        </is>
      </c>
      <c r="F220" s="9" t="inlineStr">
        <is>
          <t>Must-Have</t>
        </is>
      </c>
      <c r="G220" s="9" t="inlineStr">
        <is>
          <t>High</t>
        </is>
      </c>
      <c r="H220" s="10" t="inlineStr">
        <is>
          <t>No</t>
        </is>
      </c>
    </row>
    <row r="221">
      <c r="A221" s="29" t="inlineStr">
        <is>
          <t>AGN-048</t>
        </is>
      </c>
      <c r="B221" s="30" t="inlineStr">
        <is>
          <t>Agentic AI for Audit Functions</t>
        </is>
      </c>
      <c r="C221" s="31" t="inlineStr">
        <is>
          <t>Model Management &amp; Regulatory Alignment</t>
        </is>
      </c>
      <c r="D221" s="7" t="inlineStr">
        <is>
          <t>Policy, IT Security and Regulatory Compliance</t>
        </is>
      </c>
      <c r="E221" s="8" t="inlineStr">
        <is>
          <t>Compliance with internal policies, IT security standards, and regulatory requirements.</t>
        </is>
      </c>
      <c r="F221" s="9" t="inlineStr">
        <is>
          <t>Must-Have</t>
        </is>
      </c>
      <c r="G221" s="9" t="inlineStr">
        <is>
          <t>Medium</t>
        </is>
      </c>
      <c r="H221" s="10" t="inlineStr">
        <is>
          <t>No</t>
        </is>
      </c>
    </row>
    <row r="222">
      <c r="A222" s="29" t="inlineStr">
        <is>
          <t>AGN-049</t>
        </is>
      </c>
      <c r="B222" s="30" t="inlineStr">
        <is>
          <t>Agentic AI for Audit Functions</t>
        </is>
      </c>
      <c r="C222" s="31" t="inlineStr">
        <is>
          <t>Model Management &amp; Regulatory Alignment</t>
        </is>
      </c>
      <c r="D222" s="7" t="inlineStr">
        <is>
          <t>Agent and Model Disable / Rollback</t>
        </is>
      </c>
      <c r="E222" s="8" t="inlineStr">
        <is>
          <t>Ability to disable or roll back specific agents or models if needed.</t>
        </is>
      </c>
      <c r="F222" s="9" t="inlineStr">
        <is>
          <t>Must-Have</t>
        </is>
      </c>
      <c r="G222" s="9" t="inlineStr">
        <is>
          <t>Medium</t>
        </is>
      </c>
      <c r="H222" s="10" t="inlineStr">
        <is>
          <t>No</t>
        </is>
      </c>
    </row>
    <row r="223">
      <c r="A223" s="29" t="inlineStr">
        <is>
          <t>AGN-050</t>
        </is>
      </c>
      <c r="B223" s="30" t="inlineStr">
        <is>
          <t>Agentic AI for Audit Functions</t>
        </is>
      </c>
      <c r="C223" s="31" t="inlineStr">
        <is>
          <t>Security &amp; Compliance</t>
        </is>
      </c>
      <c r="D223" s="7" t="inlineStr">
        <is>
          <t>RBAC, MFA and Encryption</t>
        </is>
      </c>
      <c r="E223" s="8" t="inlineStr">
        <is>
          <t>Role-based access control, MFA, and encryption at rest and in transit.</t>
        </is>
      </c>
      <c r="F223" s="9" t="inlineStr">
        <is>
          <t>Must-Have</t>
        </is>
      </c>
      <c r="G223" s="9" t="inlineStr">
        <is>
          <t>Medium</t>
        </is>
      </c>
      <c r="H223" s="10" t="inlineStr">
        <is>
          <t>No</t>
        </is>
      </c>
    </row>
    <row r="224">
      <c r="A224" s="29" t="inlineStr">
        <is>
          <t>AGN-051</t>
        </is>
      </c>
      <c r="B224" s="30" t="inlineStr">
        <is>
          <t>Agentic AI for Audit Functions</t>
        </is>
      </c>
      <c r="C224" s="31" t="inlineStr">
        <is>
          <t>Security &amp; Compliance</t>
        </is>
      </c>
      <c r="D224" s="7" t="inlineStr">
        <is>
          <t>No External Transmission of Audit Data</t>
        </is>
      </c>
      <c r="E224" s="8" t="inlineStr">
        <is>
          <t>No external transmission of sensitive audit data outside the Bank's environment.</t>
        </is>
      </c>
      <c r="F224" s="9" t="inlineStr">
        <is>
          <t>Must-Have</t>
        </is>
      </c>
      <c r="G224" s="9" t="inlineStr">
        <is>
          <t>High</t>
        </is>
      </c>
      <c r="H224" s="10" t="inlineStr">
        <is>
          <t>No</t>
        </is>
      </c>
    </row>
    <row r="225">
      <c r="A225" s="29" t="inlineStr">
        <is>
          <t>AGN-052</t>
        </is>
      </c>
      <c r="B225" s="30" t="inlineStr">
        <is>
          <t>Agentic AI for Audit Functions</t>
        </is>
      </c>
      <c r="C225" s="31" t="inlineStr">
        <is>
          <t>Security &amp; Compliance</t>
        </is>
      </c>
      <c r="D225" s="7" t="inlineStr">
        <is>
          <t>Prompt Injection and Adversarial Protection</t>
        </is>
      </c>
      <c r="E225" s="8" t="inlineStr">
        <is>
          <t>Protection against prompt injection, data leakage, and adversarial attacks.</t>
        </is>
      </c>
      <c r="F225" s="9" t="inlineStr">
        <is>
          <t>Must-Have</t>
        </is>
      </c>
      <c r="G225" s="9" t="inlineStr">
        <is>
          <t>High</t>
        </is>
      </c>
      <c r="H225" s="10" t="inlineStr">
        <is>
          <t>No</t>
        </is>
      </c>
    </row>
    <row r="226">
      <c r="A226" s="29" t="inlineStr">
        <is>
          <t>AGN-053</t>
        </is>
      </c>
      <c r="B226" s="30" t="inlineStr">
        <is>
          <t>Agentic AI for Audit Functions</t>
        </is>
      </c>
      <c r="C226" s="31" t="inlineStr">
        <is>
          <t>Security &amp; Compliance</t>
        </is>
      </c>
      <c r="D226" s="7" t="inlineStr">
        <is>
          <t>Information Security and Data Governance Compliance</t>
        </is>
      </c>
      <c r="E226" s="8" t="inlineStr">
        <is>
          <t>Full compliance with internal Information Security, Data Governance, and Audit standards.</t>
        </is>
      </c>
      <c r="F226" s="9" t="inlineStr">
        <is>
          <t>Must-Have</t>
        </is>
      </c>
      <c r="G226" s="9" t="inlineStr">
        <is>
          <t>Medium</t>
        </is>
      </c>
      <c r="H226" s="10" t="inlineStr">
        <is>
          <t>No</t>
        </is>
      </c>
    </row>
    <row r="227">
      <c r="A227" s="29" t="inlineStr">
        <is>
          <t>AGN-054</t>
        </is>
      </c>
      <c r="B227" s="30" t="inlineStr">
        <is>
          <t>Agentic AI for Audit Functions</t>
        </is>
      </c>
      <c r="C227" s="31" t="inlineStr">
        <is>
          <t>Performance &amp; Scalability</t>
        </is>
      </c>
      <c r="D227" s="7" t="inlineStr">
        <is>
          <t>Concurrent Multi-Audit Agent Execution</t>
        </is>
      </c>
      <c r="E227" s="8" t="inlineStr">
        <is>
          <t>Must support concurrent autonomous agents running across multiple audits.</t>
        </is>
      </c>
      <c r="F227" s="9" t="inlineStr">
        <is>
          <t>Must-Have</t>
        </is>
      </c>
      <c r="G227" s="9" t="inlineStr">
        <is>
          <t>High</t>
        </is>
      </c>
      <c r="H227" s="10" t="inlineStr">
        <is>
          <t>No</t>
        </is>
      </c>
    </row>
    <row r="228">
      <c r="A228" s="29" t="inlineStr">
        <is>
          <t>AGN-055</t>
        </is>
      </c>
      <c r="B228" s="30" t="inlineStr">
        <is>
          <t>Agentic AI for Audit Functions</t>
        </is>
      </c>
      <c r="C228" s="31" t="inlineStr">
        <is>
          <t>Performance &amp; Scalability</t>
        </is>
      </c>
      <c r="D228" s="7" t="inlineStr">
        <is>
          <t>Horizontal Scaling for Parallel Execution</t>
        </is>
      </c>
      <c r="E228" s="8" t="inlineStr">
        <is>
          <t>Horizontal scaling for large data volumes and parallel audit execution.</t>
        </is>
      </c>
      <c r="F228" s="9" t="inlineStr">
        <is>
          <t>Must-Have</t>
        </is>
      </c>
      <c r="G228" s="9" t="inlineStr">
        <is>
          <t>High</t>
        </is>
      </c>
      <c r="H228" s="10" t="inlineStr">
        <is>
          <t>No</t>
        </is>
      </c>
    </row>
    <row r="229">
      <c r="A229" s="29" t="inlineStr">
        <is>
          <t>AGN-056</t>
        </is>
      </c>
      <c r="B229" s="30" t="inlineStr">
        <is>
          <t>Agentic AI for Audit Functions</t>
        </is>
      </c>
      <c r="C229" s="31" t="inlineStr">
        <is>
          <t>Performance &amp; Scalability</t>
        </is>
      </c>
      <c r="D229" s="7" t="inlineStr">
        <is>
          <t>Real-Time Processing for High-Risk Areas</t>
        </is>
      </c>
      <c r="E229" s="8" t="inlineStr">
        <is>
          <t>Real-time or near-real-time processing for high-risk areas.</t>
        </is>
      </c>
      <c r="F229" s="9" t="inlineStr">
        <is>
          <t>Must-Have</t>
        </is>
      </c>
      <c r="G229" s="9" t="inlineStr">
        <is>
          <t>High</t>
        </is>
      </c>
      <c r="H229" s="10" t="inlineStr">
        <is>
          <t>No</t>
        </is>
      </c>
    </row>
    <row r="230">
      <c r="A230" s="32" t="inlineStr">
        <is>
          <t>CHB-001</t>
        </is>
      </c>
      <c r="B230" s="33" t="inlineStr">
        <is>
          <t>ChatBot for Policies, SOPs and Documents</t>
        </is>
      </c>
      <c r="C230" s="34" t="inlineStr">
        <is>
          <t>Interface</t>
        </is>
      </c>
      <c r="D230" s="7" t="inlineStr">
        <is>
          <t>AI-Driven Conversational Interface</t>
        </is>
      </c>
      <c r="E230" s="8" t="inlineStr">
        <is>
          <t>AI-driven conversational interface for user interaction.</t>
        </is>
      </c>
      <c r="F230" s="9" t="inlineStr">
        <is>
          <t>Must-Have</t>
        </is>
      </c>
      <c r="G230" s="9" t="inlineStr">
        <is>
          <t>Medium</t>
        </is>
      </c>
      <c r="H230" s="10" t="inlineStr">
        <is>
          <t>Yes</t>
        </is>
      </c>
    </row>
    <row r="231">
      <c r="A231" s="32" t="inlineStr">
        <is>
          <t>CHB-002</t>
        </is>
      </c>
      <c r="B231" s="33" t="inlineStr">
        <is>
          <t>ChatBot for Policies, SOPs and Documents</t>
        </is>
      </c>
      <c r="C231" s="34" t="inlineStr">
        <is>
          <t>Retrieval</t>
        </is>
      </c>
      <c r="D231" s="7" t="inlineStr">
        <is>
          <t>Search, Retrieval and Summarisation</t>
        </is>
      </c>
      <c r="E231" s="8" t="inlineStr">
        <is>
          <t>Ability to search, retrieve, and summarise policies, SOPs, and audit artifacts.</t>
        </is>
      </c>
      <c r="F231" s="9" t="inlineStr">
        <is>
          <t>Must-Have</t>
        </is>
      </c>
      <c r="G231" s="9" t="inlineStr">
        <is>
          <t>High</t>
        </is>
      </c>
      <c r="H231" s="10" t="inlineStr">
        <is>
          <t>Yes</t>
        </is>
      </c>
    </row>
    <row r="232">
      <c r="A232" s="32" t="inlineStr">
        <is>
          <t>CHB-003</t>
        </is>
      </c>
      <c r="B232" s="33" t="inlineStr">
        <is>
          <t>ChatBot for Policies, SOPs and Documents</t>
        </is>
      </c>
      <c r="C232" s="34" t="inlineStr">
        <is>
          <t>Security</t>
        </is>
      </c>
      <c r="D232" s="7" t="inlineStr">
        <is>
          <t>Role-Based Access and Secure Delivery</t>
        </is>
      </c>
      <c r="E232" s="8" t="inlineStr">
        <is>
          <t>Role-based access and secure information delivery.</t>
        </is>
      </c>
      <c r="F232" s="9" t="inlineStr">
        <is>
          <t>Must-Have</t>
        </is>
      </c>
      <c r="G232" s="9" t="inlineStr">
        <is>
          <t>Medium</t>
        </is>
      </c>
      <c r="H232" s="10" t="inlineStr">
        <is>
          <t>No</t>
        </is>
      </c>
    </row>
  </sheetData>
  <autoFilter ref="A4:H232"/>
  <mergeCells count="2">
    <mergeCell ref="A2:H2"/>
    <mergeCell ref="A1:H1"/>
  </mergeCells>
  <conditionalFormatting sqref="F5:F232">
    <cfRule type="cellIs" priority="1" operator="equal" dxfId="0">
      <formula>"Must-Have"</formula>
    </cfRule>
    <cfRule type="cellIs" priority="2" operator="equal" dxfId="1">
      <formula>"Should-Have"</formula>
    </cfRule>
  </conditionalFormatting>
  <conditionalFormatting sqref="G5:G232">
    <cfRule type="cellIs" priority="3" operator="equal" dxfId="2">
      <formula>"High"</formula>
    </cfRule>
    <cfRule type="cellIs" priority="4" operator="equal" dxfId="3">
      <formula>"Medium"</formula>
    </cfRule>
    <cfRule type="cellIs" priority="5" operator="equal" dxfId="4">
      <formula>"Low"</formula>
    </cfRule>
  </conditionalFormatting>
  <conditionalFormatting sqref="H5:H232">
    <cfRule type="cellIs" priority="6" operator="equal" dxfId="5">
      <formula>"Yes"</formula>
    </cfRule>
    <cfRule type="cellIs" priority="7" operator="equal" dxfId="6">
      <formula>"No"</formula>
    </cfRule>
  </conditionalFormatting>
  <dataValidations count="3">
    <dataValidation sqref="F5:F232" showDropDown="0" showInputMessage="0" showErrorMessage="0" allowBlank="0" type="list">
      <formula1>"Must-Have,Should-Have"</formula1>
    </dataValidation>
    <dataValidation sqref="G5:G232" showDropDown="0" showInputMessage="0" showErrorMessage="0" allowBlank="0" type="list">
      <formula1>"High,Medium,Low"</formula1>
    </dataValidation>
    <dataValidation sqref="H5:H232" showDropDown="0" showInputMessage="0" showErrorMessage="1" allowBlank="0" errorTitle="Invalid entry" error="Select Yes or No." type="list">
      <formula1>"Yes,No"</formula1>
    </dataValidation>
  </dataValidation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tabColor rgb="002E8B7A"/>
    <outlinePr summaryBelow="1" summaryRight="1"/>
    <pageSetUpPr/>
  </sheetPr>
  <dimension ref="A1:I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4" customWidth="1" min="2" max="2"/>
    <col width="14" customWidth="1" min="3" max="3"/>
    <col width="13" customWidth="1" min="4" max="4"/>
    <col width="12" customWidth="1" min="5" max="5"/>
    <col width="15" customWidth="1" min="6" max="6"/>
    <col width="13" customWidth="1" min="7" max="7"/>
    <col width="14" customWidth="1" min="8" max="8"/>
    <col width="17" customWidth="1" min="9" max="9"/>
  </cols>
  <sheetData>
    <row r="1" ht="30" customHeight="1">
      <c r="A1" s="1" t="inlineStr">
        <is>
          <t>COMPLETION SUMMARY BY SOLUTION</t>
        </is>
      </c>
    </row>
    <row r="2" ht="18" customHeight="1">
      <c r="A2" s="2" t="inlineStr">
        <is>
          <t>Live view of the Completion column on the Functional Requirements sheet. Every figure below is a formula - change any Yes/No there and these update automatically.</t>
        </is>
      </c>
    </row>
    <row r="4" ht="40" customHeight="1">
      <c r="A4" s="3" t="inlineStr">
        <is>
          <t>#</t>
        </is>
      </c>
      <c r="B4" s="3" t="inlineStr">
        <is>
          <t>Module / Solution</t>
        </is>
      </c>
      <c r="C4" s="3" t="inlineStr">
        <is>
          <t>Total
Requirements</t>
        </is>
      </c>
      <c r="D4" s="3" t="inlineStr">
        <is>
          <t>Completed
(Yes)</t>
        </is>
      </c>
      <c r="E4" s="3" t="inlineStr">
        <is>
          <t>Pending
(No)</t>
        </is>
      </c>
      <c r="F4" s="3" t="inlineStr">
        <is>
          <t>Completion %</t>
        </is>
      </c>
      <c r="G4" s="3" t="inlineStr">
        <is>
          <t>Must-Have
Total</t>
        </is>
      </c>
      <c r="H4" s="3" t="inlineStr">
        <is>
          <t>Must-Have
Completed</t>
        </is>
      </c>
      <c r="I4" s="3" t="inlineStr">
        <is>
          <t>Must-Have
Completion %</t>
        </is>
      </c>
    </row>
    <row r="5" ht="20" customHeight="1">
      <c r="A5" s="35" t="inlineStr">
        <is>
          <t>M1</t>
        </is>
      </c>
      <c r="B5" s="36" t="inlineStr">
        <is>
          <t>Continuous Control Monitoring (CCM)</t>
        </is>
      </c>
      <c r="C5" s="37">
        <f>COUNTIF('Functional Requirements'!$B:$B,$B5)</f>
        <v/>
      </c>
      <c r="D5" s="38">
        <f>COUNTIFS('Functional Requirements'!$B:$B,$B5,'Functional Requirements'!$H:$H,"Yes")</f>
        <v/>
      </c>
      <c r="E5" s="39">
        <f>C5-D5</f>
        <v/>
      </c>
      <c r="F5" s="40">
        <f>IF(C5=0,0,D5/C5)</f>
        <v/>
      </c>
      <c r="G5" s="37">
        <f>COUNTIFS('Functional Requirements'!$B:$B,$B5,'Functional Requirements'!$F:$F,"Must-Have")</f>
        <v/>
      </c>
      <c r="H5" s="37">
        <f>COUNTIFS('Functional Requirements'!$B:$B,$B5,'Functional Requirements'!$F:$F,"Must-Have",'Functional Requirements'!$H:$H,"Yes")</f>
        <v/>
      </c>
      <c r="I5" s="40">
        <f>IF(G5=0,0,H5/G5)</f>
        <v/>
      </c>
    </row>
    <row r="6" ht="20" customHeight="1">
      <c r="A6" s="41" t="inlineStr">
        <is>
          <t>M2</t>
        </is>
      </c>
      <c r="B6" s="42" t="inlineStr">
        <is>
          <t>Pre-Audit Checks Automation</t>
        </is>
      </c>
      <c r="C6" s="37">
        <f>COUNTIF('Functional Requirements'!$B:$B,$B6)</f>
        <v/>
      </c>
      <c r="D6" s="38">
        <f>COUNTIFS('Functional Requirements'!$B:$B,$B6,'Functional Requirements'!$H:$H,"Yes")</f>
        <v/>
      </c>
      <c r="E6" s="39">
        <f>C6-D6</f>
        <v/>
      </c>
      <c r="F6" s="40">
        <f>IF(C6=0,0,D6/C6)</f>
        <v/>
      </c>
      <c r="G6" s="37">
        <f>COUNTIFS('Functional Requirements'!$B:$B,$B6,'Functional Requirements'!$F:$F,"Must-Have")</f>
        <v/>
      </c>
      <c r="H6" s="37">
        <f>COUNTIFS('Functional Requirements'!$B:$B,$B6,'Functional Requirements'!$F:$F,"Must-Have",'Functional Requirements'!$H:$H,"Yes")</f>
        <v/>
      </c>
      <c r="I6" s="40">
        <f>IF(G6=0,0,H6/G6)</f>
        <v/>
      </c>
    </row>
    <row r="7" ht="20" customHeight="1">
      <c r="A7" s="43" t="inlineStr">
        <is>
          <t>M3</t>
        </is>
      </c>
      <c r="B7" s="44" t="inlineStr">
        <is>
          <t>VKYC Audit Automation</t>
        </is>
      </c>
      <c r="C7" s="37">
        <f>COUNTIF('Functional Requirements'!$B:$B,$B7)</f>
        <v/>
      </c>
      <c r="D7" s="38">
        <f>COUNTIFS('Functional Requirements'!$B:$B,$B7,'Functional Requirements'!$H:$H,"Yes")</f>
        <v/>
      </c>
      <c r="E7" s="39">
        <f>C7-D7</f>
        <v/>
      </c>
      <c r="F7" s="40">
        <f>IF(C7=0,0,D7/C7)</f>
        <v/>
      </c>
      <c r="G7" s="37">
        <f>COUNTIFS('Functional Requirements'!$B:$B,$B7,'Functional Requirements'!$F:$F,"Must-Have")</f>
        <v/>
      </c>
      <c r="H7" s="37">
        <f>COUNTIFS('Functional Requirements'!$B:$B,$B7,'Functional Requirements'!$F:$F,"Must-Have",'Functional Requirements'!$H:$H,"Yes")</f>
        <v/>
      </c>
      <c r="I7" s="40">
        <f>IF(G7=0,0,H7/G7)</f>
        <v/>
      </c>
    </row>
    <row r="8" ht="20" customHeight="1">
      <c r="A8" s="45" t="inlineStr">
        <is>
          <t>M4</t>
        </is>
      </c>
      <c r="B8" s="46" t="inlineStr">
        <is>
          <t>KYC Audit Automation</t>
        </is>
      </c>
      <c r="C8" s="37">
        <f>COUNTIF('Functional Requirements'!$B:$B,$B8)</f>
        <v/>
      </c>
      <c r="D8" s="38">
        <f>COUNTIFS('Functional Requirements'!$B:$B,$B8,'Functional Requirements'!$H:$H,"Yes")</f>
        <v/>
      </c>
      <c r="E8" s="39">
        <f>C8-D8</f>
        <v/>
      </c>
      <c r="F8" s="40">
        <f>IF(C8=0,0,D8/C8)</f>
        <v/>
      </c>
      <c r="G8" s="37">
        <f>COUNTIFS('Functional Requirements'!$B:$B,$B8,'Functional Requirements'!$F:$F,"Must-Have")</f>
        <v/>
      </c>
      <c r="H8" s="37">
        <f>COUNTIFS('Functional Requirements'!$B:$B,$B8,'Functional Requirements'!$F:$F,"Must-Have",'Functional Requirements'!$H:$H,"Yes")</f>
        <v/>
      </c>
      <c r="I8" s="40">
        <f>IF(G8=0,0,H8/G8)</f>
        <v/>
      </c>
    </row>
    <row r="9" ht="20" customHeight="1">
      <c r="A9" s="47" t="inlineStr">
        <is>
          <t>M5</t>
        </is>
      </c>
      <c r="B9" s="48" t="inlineStr">
        <is>
          <t>Audit Checklist Automation</t>
        </is>
      </c>
      <c r="C9" s="37">
        <f>COUNTIF('Functional Requirements'!$B:$B,$B9)</f>
        <v/>
      </c>
      <c r="D9" s="38">
        <f>COUNTIFS('Functional Requirements'!$B:$B,$B9,'Functional Requirements'!$H:$H,"Yes")</f>
        <v/>
      </c>
      <c r="E9" s="39">
        <f>C9-D9</f>
        <v/>
      </c>
      <c r="F9" s="40">
        <f>IF(C9=0,0,D9/C9)</f>
        <v/>
      </c>
      <c r="G9" s="37">
        <f>COUNTIFS('Functional Requirements'!$B:$B,$B9,'Functional Requirements'!$F:$F,"Must-Have")</f>
        <v/>
      </c>
      <c r="H9" s="37">
        <f>COUNTIFS('Functional Requirements'!$B:$B,$B9,'Functional Requirements'!$F:$F,"Must-Have",'Functional Requirements'!$H:$H,"Yes")</f>
        <v/>
      </c>
      <c r="I9" s="40">
        <f>IF(G9=0,0,H9/G9)</f>
        <v/>
      </c>
    </row>
    <row r="10" ht="20" customHeight="1">
      <c r="A10" s="49" t="inlineStr">
        <is>
          <t>M6</t>
        </is>
      </c>
      <c r="B10" s="50" t="inlineStr">
        <is>
          <t>Data Analytics for Internal Audit</t>
        </is>
      </c>
      <c r="C10" s="37">
        <f>COUNTIF('Functional Requirements'!$B:$B,$B10)</f>
        <v/>
      </c>
      <c r="D10" s="38">
        <f>COUNTIFS('Functional Requirements'!$B:$B,$B10,'Functional Requirements'!$H:$H,"Yes")</f>
        <v/>
      </c>
      <c r="E10" s="39">
        <f>C10-D10</f>
        <v/>
      </c>
      <c r="F10" s="40">
        <f>IF(C10=0,0,D10/C10)</f>
        <v/>
      </c>
      <c r="G10" s="37">
        <f>COUNTIFS('Functional Requirements'!$B:$B,$B10,'Functional Requirements'!$F:$F,"Must-Have")</f>
        <v/>
      </c>
      <c r="H10" s="37">
        <f>COUNTIFS('Functional Requirements'!$B:$B,$B10,'Functional Requirements'!$F:$F,"Must-Have",'Functional Requirements'!$H:$H,"Yes")</f>
        <v/>
      </c>
      <c r="I10" s="40">
        <f>IF(G10=0,0,H10/G10)</f>
        <v/>
      </c>
    </row>
    <row r="11" ht="20" customHeight="1">
      <c r="A11" s="51" t="inlineStr">
        <is>
          <t>M7</t>
        </is>
      </c>
      <c r="B11" s="52" t="inlineStr">
        <is>
          <t>Audit Life Cycle Management (ALCM)</t>
        </is>
      </c>
      <c r="C11" s="37">
        <f>COUNTIF('Functional Requirements'!$B:$B,$B11)</f>
        <v/>
      </c>
      <c r="D11" s="38">
        <f>COUNTIFS('Functional Requirements'!$B:$B,$B11,'Functional Requirements'!$H:$H,"Yes")</f>
        <v/>
      </c>
      <c r="E11" s="39">
        <f>C11-D11</f>
        <v/>
      </c>
      <c r="F11" s="40">
        <f>IF(C11=0,0,D11/C11)</f>
        <v/>
      </c>
      <c r="G11" s="37">
        <f>COUNTIFS('Functional Requirements'!$B:$B,$B11,'Functional Requirements'!$F:$F,"Must-Have")</f>
        <v/>
      </c>
      <c r="H11" s="37">
        <f>COUNTIFS('Functional Requirements'!$B:$B,$B11,'Functional Requirements'!$F:$F,"Must-Have",'Functional Requirements'!$H:$H,"Yes")</f>
        <v/>
      </c>
      <c r="I11" s="40">
        <f>IF(G11=0,0,H11/G11)</f>
        <v/>
      </c>
    </row>
    <row r="12" ht="20" customHeight="1">
      <c r="A12" s="53" t="inlineStr">
        <is>
          <t>M8</t>
        </is>
      </c>
      <c r="B12" s="54" t="inlineStr">
        <is>
          <t>Agentic AI for Audit Functions</t>
        </is>
      </c>
      <c r="C12" s="37">
        <f>COUNTIF('Functional Requirements'!$B:$B,$B12)</f>
        <v/>
      </c>
      <c r="D12" s="38">
        <f>COUNTIFS('Functional Requirements'!$B:$B,$B12,'Functional Requirements'!$H:$H,"Yes")</f>
        <v/>
      </c>
      <c r="E12" s="39">
        <f>C12-D12</f>
        <v/>
      </c>
      <c r="F12" s="40">
        <f>IF(C12=0,0,D12/C12)</f>
        <v/>
      </c>
      <c r="G12" s="37">
        <f>COUNTIFS('Functional Requirements'!$B:$B,$B12,'Functional Requirements'!$F:$F,"Must-Have")</f>
        <v/>
      </c>
      <c r="H12" s="37">
        <f>COUNTIFS('Functional Requirements'!$B:$B,$B12,'Functional Requirements'!$F:$F,"Must-Have",'Functional Requirements'!$H:$H,"Yes")</f>
        <v/>
      </c>
      <c r="I12" s="40">
        <f>IF(G12=0,0,H12/G12)</f>
        <v/>
      </c>
    </row>
    <row r="13" ht="20" customHeight="1">
      <c r="A13" s="55" t="inlineStr">
        <is>
          <t>M9</t>
        </is>
      </c>
      <c r="B13" s="56" t="inlineStr">
        <is>
          <t>ChatBot for Policies, SOPs and Documents</t>
        </is>
      </c>
      <c r="C13" s="37">
        <f>COUNTIF('Functional Requirements'!$B:$B,$B13)</f>
        <v/>
      </c>
      <c r="D13" s="38">
        <f>COUNTIFS('Functional Requirements'!$B:$B,$B13,'Functional Requirements'!$H:$H,"Yes")</f>
        <v/>
      </c>
      <c r="E13" s="39">
        <f>C13-D13</f>
        <v/>
      </c>
      <c r="F13" s="40">
        <f>IF(C13=0,0,D13/C13)</f>
        <v/>
      </c>
      <c r="G13" s="37">
        <f>COUNTIFS('Functional Requirements'!$B:$B,$B13,'Functional Requirements'!$F:$F,"Must-Have")</f>
        <v/>
      </c>
      <c r="H13" s="37">
        <f>COUNTIFS('Functional Requirements'!$B:$B,$B13,'Functional Requirements'!$F:$F,"Must-Have",'Functional Requirements'!$H:$H,"Yes")</f>
        <v/>
      </c>
      <c r="I13" s="40">
        <f>IF(G13=0,0,H13/G13)</f>
        <v/>
      </c>
    </row>
    <row r="14" ht="24" customHeight="1">
      <c r="A14" s="57" t="n"/>
      <c r="B14" s="58" t="inlineStr">
        <is>
          <t>TOTAL - ALL SOLUTIONS</t>
        </is>
      </c>
      <c r="C14" s="57">
        <f>SUM(C5:C13)</f>
        <v/>
      </c>
      <c r="D14" s="57">
        <f>SUM(D5:D13)</f>
        <v/>
      </c>
      <c r="E14" s="57">
        <f>SUM(E5:E13)</f>
        <v/>
      </c>
      <c r="F14" s="59">
        <f>IF(C14=0,0,D14/C14)</f>
        <v/>
      </c>
      <c r="G14" s="57">
        <f>SUM(G5:G13)</f>
        <v/>
      </c>
      <c r="H14" s="57">
        <f>SUM(H5:H13)</f>
        <v/>
      </c>
      <c r="I14" s="59">
        <f>IF(G14=0,0,H14/G14)</f>
        <v/>
      </c>
    </row>
    <row r="15" ht="16" customHeight="1">
      <c r="A15" s="60" t="inlineStr">
        <is>
          <t>Formulas use whole-column references, so inserting or deleting requirement rows on the Functional Requirements sheet is handled automatically. Pending = Total - Completed, so a cleared Completion cell counts as pending.</t>
        </is>
      </c>
    </row>
  </sheetData>
  <mergeCells count="3">
    <mergeCell ref="A1:I1"/>
    <mergeCell ref="A2:I2"/>
    <mergeCell ref="A15:I15"/>
  </mergeCells>
  <conditionalFormatting sqref="F5:F13">
    <cfRule type="dataBar" priority="1">
      <dataBar showValue="1">
        <cfvo type="num" val="0"/>
        <cfvo type="num" val="1"/>
        <color rgb="004A90D9"/>
      </dataBar>
    </cfRule>
  </conditionalFormatting>
  <conditionalFormatting sqref="I5:I13">
    <cfRule type="dataBar" priority="2">
      <dataBar showValue="1">
        <cfvo type="num" val="0"/>
        <cfvo type="num" val="1"/>
        <color rgb="004A90D9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2026-08-30T16:52:43Z</dcterms:created>
  <dcterms:modified xmlns:dcterms="http://purl.org/dc/terms/" xmlns:xsi="http://www.w3.org/2001/XMLSchema-instance" xsi:type="dcterms:W3CDTF">2026-08-30T17:37:01Z</dcterms:modified>
</cp:coreProperties>
</file>