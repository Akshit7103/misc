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nikhil_bamble_protivitiglobal_in/Documents/Desktop/INLIC/Automation/"/>
    </mc:Choice>
  </mc:AlternateContent>
  <xr:revisionPtr revIDLastSave="168" documentId="11_F25DC773A252ABDACC1048EB0918725E5ADE58F0" xr6:coauthVersionLast="47" xr6:coauthVersionMax="47" xr10:uidLastSave="{75DB555A-550D-4A6F-9910-81D2EB9E36F4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R8" i="1"/>
  <c r="R7" i="1"/>
  <c r="R6" i="1"/>
  <c r="R5" i="1"/>
  <c r="N9" i="1"/>
  <c r="N8" i="1"/>
  <c r="N7" i="1"/>
  <c r="N6" i="1"/>
  <c r="N5" i="1"/>
  <c r="Q9" i="1"/>
  <c r="P9" i="1" a="1"/>
  <c r="P9" i="1" s="1"/>
  <c r="O9" i="1"/>
  <c r="Q8" i="1"/>
  <c r="P8" i="1" a="1"/>
  <c r="P8" i="1" s="1"/>
  <c r="O8" i="1"/>
  <c r="Q7" i="1"/>
  <c r="P7" i="1" a="1"/>
  <c r="P7" i="1" s="1"/>
  <c r="O7" i="1"/>
  <c r="Q6" i="1"/>
  <c r="P6" i="1" a="1"/>
  <c r="P6" i="1" s="1"/>
  <c r="O6" i="1"/>
  <c r="Q5" i="1"/>
  <c r="P5" i="1" a="1"/>
  <c r="P5" i="1" s="1"/>
  <c r="O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<sst xmlns="http://schemas.openxmlformats.org/spreadsheetml/2006/main" count="46" uniqueCount="40">
  <si>
    <t>Input</t>
  </si>
  <si>
    <t>Col ref</t>
  </si>
  <si>
    <t>B</t>
  </si>
  <si>
    <t>Y</t>
  </si>
  <si>
    <t>AC</t>
  </si>
  <si>
    <t>AH</t>
  </si>
  <si>
    <t>AS</t>
  </si>
  <si>
    <t>AW</t>
  </si>
  <si>
    <t>AZ</t>
  </si>
  <si>
    <t>Status</t>
  </si>
  <si>
    <t>CNTTYPE</t>
  </si>
  <si>
    <t>PREM TERM</t>
  </si>
  <si>
    <t>PREMCESDTE</t>
  </si>
  <si>
    <t>ORIGINAL_SA</t>
  </si>
  <si>
    <t>NEXT_PAYDATE</t>
  </si>
  <si>
    <t>IF</t>
  </si>
  <si>
    <t>PU</t>
  </si>
  <si>
    <t>AB</t>
  </si>
  <si>
    <t>Risk Term</t>
  </si>
  <si>
    <t>RCDDATE</t>
  </si>
  <si>
    <t>AE</t>
  </si>
  <si>
    <t>Policy Year Check</t>
  </si>
  <si>
    <t>BB</t>
  </si>
  <si>
    <t>Number of years Premium is paid</t>
  </si>
  <si>
    <t>BC</t>
  </si>
  <si>
    <t>AF</t>
  </si>
  <si>
    <t>PAIDTODATE</t>
  </si>
  <si>
    <t>AD</t>
  </si>
  <si>
    <t>Frequency</t>
  </si>
  <si>
    <t>Annualized Premium</t>
  </si>
  <si>
    <t>BD</t>
  </si>
  <si>
    <t xml:space="preserve">Paid up factor </t>
  </si>
  <si>
    <t>BE</t>
  </si>
  <si>
    <t xml:space="preserve">Fixed Regular Addition </t>
  </si>
  <si>
    <t>BF</t>
  </si>
  <si>
    <t>Base Premium</t>
  </si>
  <si>
    <t>DH</t>
  </si>
  <si>
    <t>FSP</t>
  </si>
  <si>
    <t>Final Output</t>
  </si>
  <si>
    <t>Workings for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</si>
</sst>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5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9"/>
  <sheetViews>
    <sheetView tabSelected="1" workbookViewId="0">
      <selection activeCell="L5" sqref="L5"/>
    </sheetView>
  </sheetViews>
  <sheetFormatPr defaultRowHeight="14.5" x14ac:dyDescent="0.35"/>
  <cols>
    <col min="2" max="2" width="6.08984375" bestFit="1" customWidth="1"/>
    <col min="3" max="3" width="8.26953125" bestFit="1" customWidth="1"/>
    <col min="4" max="4" width="9" bestFit="1" customWidth="1"/>
    <col min="5" max="5" width="11" bestFit="1" customWidth="1"/>
    <col min="6" max="6" width="11" customWidth="1"/>
    <col min="7" max="7" width="12" bestFit="1" customWidth="1"/>
    <col min="8" max="9" width="12" customWidth="1"/>
    <col min="10" max="10" width="12" bestFit="1" customWidth="1"/>
    <col min="11" max="11" width="14" bestFit="1" customWidth="1"/>
    <col min="12" max="12" width="14" customWidth="1"/>
    <col min="13" max="13" width="0.81640625" customWidth="1"/>
    <col min="14" max="17" width="14" customWidth="1"/>
    <col min="18" max="18" width="11.08984375" bestFit="1" customWidth="1"/>
  </cols>
  <sheetData>
    <row r="2" spans="1:18" x14ac:dyDescent="0.35">
      <c r="A2" s="1"/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2"/>
      <c r="N2" s="9" t="s">
        <v>39</v>
      </c>
      <c r="O2" s="10"/>
      <c r="P2" s="10"/>
      <c r="Q2" s="11"/>
      <c r="R2" s="3" t="s">
        <v>38</v>
      </c>
    </row>
    <row r="3" spans="1:18" x14ac:dyDescent="0.35">
      <c r="A3" s="2" t="s">
        <v>1</v>
      </c>
      <c r="B3" s="2" t="s">
        <v>2</v>
      </c>
      <c r="C3" s="2" t="s">
        <v>3</v>
      </c>
      <c r="D3" s="2" t="s">
        <v>17</v>
      </c>
      <c r="E3" s="2" t="s">
        <v>4</v>
      </c>
      <c r="F3" s="2" t="s">
        <v>27</v>
      </c>
      <c r="G3" s="2" t="s">
        <v>5</v>
      </c>
      <c r="H3" s="2" t="s">
        <v>20</v>
      </c>
      <c r="I3" s="2" t="s">
        <v>25</v>
      </c>
      <c r="J3" s="2" t="s">
        <v>6</v>
      </c>
      <c r="K3" s="2" t="s">
        <v>7</v>
      </c>
      <c r="L3" s="2" t="s">
        <v>8</v>
      </c>
      <c r="M3" s="2"/>
      <c r="N3" s="2" t="s">
        <v>22</v>
      </c>
      <c r="O3" s="2" t="s">
        <v>24</v>
      </c>
      <c r="P3" s="2" t="s">
        <v>30</v>
      </c>
      <c r="Q3" s="2" t="s">
        <v>32</v>
      </c>
      <c r="R3" s="3" t="s">
        <v>34</v>
      </c>
    </row>
    <row r="4" spans="1:18" ht="43.5" x14ac:dyDescent="0.35">
      <c r="A4" s="1"/>
      <c r="B4" s="2" t="s">
        <v>9</v>
      </c>
      <c r="C4" s="2" t="s">
        <v>10</v>
      </c>
      <c r="D4" s="2" t="s">
        <v>18</v>
      </c>
      <c r="E4" s="2" t="s">
        <v>11</v>
      </c>
      <c r="F4" s="2" t="s">
        <v>28</v>
      </c>
      <c r="G4" s="2" t="s">
        <v>12</v>
      </c>
      <c r="H4" s="2" t="s">
        <v>19</v>
      </c>
      <c r="I4" s="2" t="s">
        <v>26</v>
      </c>
      <c r="J4" s="2" t="s">
        <v>13</v>
      </c>
      <c r="K4" s="2" t="s">
        <v>14</v>
      </c>
      <c r="L4" s="2" t="s">
        <v>35</v>
      </c>
      <c r="M4" s="2"/>
      <c r="N4" s="7" t="s">
        <v>21</v>
      </c>
      <c r="O4" s="7" t="s">
        <v>23</v>
      </c>
      <c r="P4" s="7" t="s">
        <v>29</v>
      </c>
      <c r="Q4" s="2" t="s">
        <v>31</v>
      </c>
      <c r="R4" s="4" t="s">
        <v>33</v>
      </c>
    </row>
    <row r="5" spans="1:18" x14ac:dyDescent="0.35">
      <c r="A5" s="1">
        <v>1</v>
      </c>
      <c r="B5" s="1" t="s">
        <v>15</v>
      </c>
      <c r="C5" s="1" t="s">
        <v>37</v>
      </c>
      <c r="D5" s="1">
        <v>12</v>
      </c>
      <c r="E5" s="1">
        <v>5</v>
      </c>
      <c r="F5" s="1">
        <v>1</v>
      </c>
      <c r="G5" s="5">
        <v>43893</v>
      </c>
      <c r="H5" s="5">
        <v>42066</v>
      </c>
      <c r="I5" s="5">
        <v>43893</v>
      </c>
      <c r="J5" s="1">
        <v>462500</v>
      </c>
      <c r="K5" s="5">
        <v>46084</v>
      </c>
      <c r="L5" s="8">
        <v>92500</v>
      </c>
      <c r="M5" s="5"/>
      <c r="N5" s="8">
        <f>D5-(DATEDIF(H5,K5,"y"))</f>
        <v>1</v>
      </c>
      <c r="O5" s="8">
        <f>DATEDIF(H5,I5,"Y")</f>
        <v>5</v>
      </c>
      <c r="P5" s="8" cm="1">
        <f t="array" ref="P5">_xlfn.IFS(F5=1,L5,F5=2,L5/0.51,F5=4,L5/0.26,F5=12,L5/0.09083)</f>
        <v>92500</v>
      </c>
      <c r="Q5" s="8">
        <f>ROUND((I5-H5)/(G5-H5),2)</f>
        <v>1</v>
      </c>
      <c r="R5" s="6">
        <f>IF(AND(C5="FSP",N5=1),IF(OR(B5="DH",B5="SU",B5="CF"),0,(IF(B5="IF",SUM(P5*8%,P5*9%,P5*10%*(D5-2)),SUM(P5*8%,P5*9%,P5*10%*(O5-2),P5*Q5*(D5-O5)*10%)))))</f>
        <v>108225</v>
      </c>
    </row>
    <row r="6" spans="1:18" x14ac:dyDescent="0.35">
      <c r="A6" s="1">
        <v>2</v>
      </c>
      <c r="B6" s="1" t="s">
        <v>15</v>
      </c>
      <c r="C6" s="1" t="s">
        <v>37</v>
      </c>
      <c r="D6" s="1">
        <v>12</v>
      </c>
      <c r="E6" s="1">
        <v>10</v>
      </c>
      <c r="F6" s="1">
        <v>1</v>
      </c>
      <c r="G6" s="5">
        <v>45719</v>
      </c>
      <c r="H6" s="5">
        <v>42066</v>
      </c>
      <c r="I6" s="5">
        <v>45719</v>
      </c>
      <c r="J6" s="1">
        <v>291010</v>
      </c>
      <c r="K6" s="5">
        <v>46084</v>
      </c>
      <c r="L6" s="8">
        <v>29101</v>
      </c>
      <c r="M6" s="5"/>
      <c r="N6" s="8">
        <f>D6-(DATEDIF(H6,K6,"y"))</f>
        <v>1</v>
      </c>
      <c r="O6" s="8">
        <f>DATEDIF(H6,I6,"Y")</f>
        <v>10</v>
      </c>
      <c r="P6" s="8" cm="1">
        <f t="array" ref="P6">_xlfn.IFS(F6=1,L6,F6=2,L6/0.51,F6=4,L6/0.26,F6=12,L6/0.09083)</f>
        <v>29101</v>
      </c>
      <c r="Q6" s="8">
        <f>ROUND((I6-H6)/(G6-H6),2)</f>
        <v>1</v>
      </c>
      <c r="R6" s="6">
        <f>IF(AND(C6="FSP",N6=1),IF(OR(B6="DH",B6="SU",B6="CF"),0,(IF(B6="IF",SUM(P6*8%,P6*9%,P6*10%*(D6-2)),SUM(P6*8%,P6*9%,P6*10%*(O6-2),P6*Q6*(D6-O6)*10%)))))</f>
        <v>34048.170000000006</v>
      </c>
    </row>
    <row r="7" spans="1:18" x14ac:dyDescent="0.35">
      <c r="A7" s="1">
        <v>3</v>
      </c>
      <c r="B7" s="1" t="s">
        <v>15</v>
      </c>
      <c r="C7" s="1" t="s">
        <v>37</v>
      </c>
      <c r="D7" s="1">
        <v>12</v>
      </c>
      <c r="E7" s="1">
        <v>5</v>
      </c>
      <c r="F7" s="1">
        <v>1</v>
      </c>
      <c r="G7" s="5">
        <v>43904</v>
      </c>
      <c r="H7" s="5">
        <v>42077</v>
      </c>
      <c r="I7" s="5">
        <v>43904</v>
      </c>
      <c r="J7" s="1">
        <v>160183</v>
      </c>
      <c r="K7" s="5">
        <v>46095</v>
      </c>
      <c r="L7" s="8">
        <v>2910</v>
      </c>
      <c r="M7" s="5"/>
      <c r="N7" s="8">
        <f>D7-(DATEDIF(H7,K7,"y"))</f>
        <v>1</v>
      </c>
      <c r="O7" s="8">
        <f>DATEDIF(H7,I7,"Y")</f>
        <v>5</v>
      </c>
      <c r="P7" s="8" cm="1">
        <f t="array" ref="P7">_xlfn.IFS(F7=1,L7,F7=2,L7/0.51,F7=4,L7/0.26,F7=12,L7/0.09083)</f>
        <v>2910</v>
      </c>
      <c r="Q7" s="8">
        <f>ROUND((I7-H7)/(G7-H7),2)</f>
        <v>1</v>
      </c>
      <c r="R7" s="6">
        <f>IF(AND(C7="FSP",N7=1),IF(OR(B7="DH",B7="SU",B7="CF"),0,(IF(B7="IF",SUM(P7*8%,P7*9%,P7*10%*(D7-2)),SUM(P7*8%,P7*9%,P7*10%*(O7-2),P7*Q7*(D7-O7)*10%)))))</f>
        <v>3404.7</v>
      </c>
    </row>
    <row r="8" spans="1:18" x14ac:dyDescent="0.35">
      <c r="A8" s="1">
        <v>4</v>
      </c>
      <c r="B8" s="1" t="s">
        <v>36</v>
      </c>
      <c r="C8" s="1" t="s">
        <v>37</v>
      </c>
      <c r="D8" s="1">
        <v>12</v>
      </c>
      <c r="E8" s="1">
        <v>10</v>
      </c>
      <c r="F8" s="1">
        <v>12</v>
      </c>
      <c r="G8" s="5">
        <v>45716</v>
      </c>
      <c r="H8" s="5">
        <v>42063</v>
      </c>
      <c r="I8" s="5">
        <v>45716</v>
      </c>
      <c r="J8" s="1">
        <v>291010</v>
      </c>
      <c r="K8" s="5">
        <v>46081</v>
      </c>
      <c r="L8" s="8">
        <v>29101</v>
      </c>
      <c r="M8" s="5"/>
      <c r="N8" s="8">
        <f>D8-(DATEDIF(H8,K8,"y"))</f>
        <v>1</v>
      </c>
      <c r="O8" s="8">
        <f>DATEDIF(H8,I8,"Y")</f>
        <v>10</v>
      </c>
      <c r="P8" s="8" cm="1">
        <f t="array" ref="P8">_xlfn.IFS(F8=1,L8,F8=2,L8/0.51,F8=4,L8/0.26,F8=12,L8/0.09083)</f>
        <v>320389.73907299351</v>
      </c>
      <c r="Q8" s="8">
        <f>ROUND((I8-H8)/(G8-H8),2)</f>
        <v>1</v>
      </c>
      <c r="R8" s="6">
        <f>IF(AND(C8="FSP",N8=1),IF(OR(B8="DH",B8="SU",B8="CF"),0,(IF(B8="IF",SUM(P8*8%,P8*9%,P8*10%*(D8-2)),SUM(P8*8%,P8*9%,P8*10%*(O8-2),P8*Q8*(D8-O8)*10%)))))</f>
        <v>0</v>
      </c>
    </row>
    <row r="9" spans="1:18" x14ac:dyDescent="0.35">
      <c r="A9" s="1">
        <v>5</v>
      </c>
      <c r="B9" s="1" t="s">
        <v>16</v>
      </c>
      <c r="C9" s="1" t="s">
        <v>37</v>
      </c>
      <c r="D9" s="1">
        <v>12</v>
      </c>
      <c r="E9" s="1">
        <v>7</v>
      </c>
      <c r="F9" s="1">
        <v>1</v>
      </c>
      <c r="G9" s="5">
        <v>44623</v>
      </c>
      <c r="H9" s="5">
        <v>42066</v>
      </c>
      <c r="I9" s="5">
        <v>43893</v>
      </c>
      <c r="J9" s="1">
        <v>176547</v>
      </c>
      <c r="K9" s="5">
        <v>46084</v>
      </c>
      <c r="L9" s="8">
        <v>25221</v>
      </c>
      <c r="M9" s="5"/>
      <c r="N9" s="8">
        <f>D9-(DATEDIF(H9,K9,"y"))</f>
        <v>1</v>
      </c>
      <c r="O9" s="8">
        <f>DATEDIF(H9,I9,"Y")</f>
        <v>5</v>
      </c>
      <c r="P9" s="8" cm="1">
        <f t="array" ref="P9">_xlfn.IFS(F9=1,L9,F9=2,L9/0.51,F9=4,L9/0.26,F9=12,L9/0.09083)</f>
        <v>25221</v>
      </c>
      <c r="Q9" s="8">
        <f>ROUND((I9-H9)/(G9-H9),2)</f>
        <v>0.71</v>
      </c>
      <c r="R9" s="6">
        <f>IF(AND(C9="FSP",N9=1),IF(OR(B9="DH",B9="SU",B9="CF"),0,(IF(B9="IF",SUM(P9*8%,P9*9%,P9*10%*(D9-2)),SUM(P9*8%,P9*9%,P9*10%*(O9-2),P9*Q9*(D9-O9)*10%)))))</f>
        <v>24388.707000000002</v>
      </c>
    </row>
  </sheetData>
  <mergeCells count="2">
    <mergeCell ref="N2:Q2"/>
    <mergeCell ref="B2:L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Bamble (IND)</dc:creator>
  <cp:lastModifiedBy>Nikhil Bamble (IND)</cp:lastModifiedBy>
  <dcterms:created xsi:type="dcterms:W3CDTF">2015-06-05T18:17:20Z</dcterms:created>
  <dcterms:modified xsi:type="dcterms:W3CDTF">2026-03-12T08:21:17Z</dcterms:modified>
</cp:coreProperties>
</file>