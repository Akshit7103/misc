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drawings/drawing10.xml" ContentType="application/vnd.openxmlformats-officedocument.drawingml.chartshapes+xml"/>
  <Override PartName="/xl/charts/chart2.xml" ContentType="application/vnd.openxmlformats-officedocument.drawingml.chart+xml"/>
  <Override PartName="/xl/drawings/drawing11.xml" ContentType="application/vnd.openxmlformats-officedocument.drawingml.chartshap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hariprasath.p\Downloads\"/>
    </mc:Choice>
  </mc:AlternateContent>
  <xr:revisionPtr revIDLastSave="0" documentId="8_{81A7A200-D046-4C2B-B9B6-8631E9F7D40E}" xr6:coauthVersionLast="47" xr6:coauthVersionMax="47" xr10:uidLastSave="{00000000-0000-0000-0000-000000000000}"/>
  <bookViews>
    <workbookView xWindow="-108" yWindow="-108" windowWidth="23256" windowHeight="13896" activeTab="2" xr2:uid="{00000000-000D-0000-FFFF-FFFF00000000}"/>
  </bookViews>
  <sheets>
    <sheet name="Reference" sheetId="4" r:id="rId1"/>
    <sheet name="New WIns" sheetId="5" r:id="rId2"/>
    <sheet name="PRFIIO" sheetId="17" r:id="rId3"/>
    <sheet name="PRFEIO" sheetId="19" r:id="rId4"/>
    <sheet name="Expenses" sheetId="13" r:id="rId5"/>
    <sheet name="PRTM" sheetId="11" r:id="rId6"/>
    <sheet name="Billing" sheetId="14" r:id="rId7"/>
    <sheet name="Ref1" sheetId="7" state="veryHidden" r:id="rId8"/>
    <sheet name="MainSheet" sheetId="6" r:id="rId9"/>
    <sheet name="SA" sheetId="21" r:id="rId10"/>
    <sheet name="Ratesheet" sheetId="15" state="veryHidden" r:id="rId11"/>
  </sheets>
  <definedNames>
    <definedName name="_xlnm._FilterDatabase" localSheetId="3" hidden="1">PRFEIO!$AY$6:$BL$24</definedName>
    <definedName name="_xlnm._FilterDatabase" localSheetId="2" hidden="1">PRFIIO!$AY$6:$BL$26</definedName>
    <definedName name="_xlnm._FilterDatabase" localSheetId="10" hidden="1">Ratesheet!$A$4:$R$136</definedName>
    <definedName name="_xlnm._FilterDatabase" localSheetId="7" hidden="1">'Ref1'!$C$244:$C$250</definedName>
    <definedName name="_xlnm.Print_Area" localSheetId="6">Billing!$1:$39</definedName>
    <definedName name="_xlnm.Print_Area" localSheetId="4">Expenses!$C$1:$Q$34</definedName>
    <definedName name="_xlnm.Print_Area" localSheetId="1">'New WIns'!$B$1:$D$28</definedName>
    <definedName name="_xlnm.Print_Area" localSheetId="2">PRFIIO!$A$1:$X$63</definedName>
    <definedName name="_xlnm.Print_Area" localSheetId="5">PRTM!$A$1:$T$45</definedName>
    <definedName name="_xlnm.Print_Area" localSheetId="9">SA!$A$2:$P$55</definedName>
    <definedName name="Sol_New">'Ref1'!$J$6:INDEX('Ref1'!$J$6:$J$80,COUNTIF('Ref1'!$J$6:$J$80,"?*"))</definedName>
    <definedName name="Solution_Select">MainSheet!$A$60:INDEX(MainSheet!$A$60:$A$134,COUNTIF(MainSheet!$A$60:$A$134,"?*"))</definedName>
    <definedName name="Z_D7928287_C03C_4DCF_8982_550A8E677256_.wvu.Cols" localSheetId="1" hidden="1">'New WIns'!$I:$XFD</definedName>
    <definedName name="Z_D7928287_C03C_4DCF_8982_550A8E677256_.wvu.PrintArea" localSheetId="0" hidden="1">Reference!$A$1:$W$92</definedName>
    <definedName name="Z_D7928287_C03C_4DCF_8982_550A8E677256_.wvu.Rows" localSheetId="1" hidden="1">'New WIns'!$29:$1048576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3" i="17" l="1"/>
  <c r="Y23" i="11"/>
  <c r="W23" i="11"/>
  <c r="Y22" i="11"/>
  <c r="W22" i="11"/>
  <c r="Y21" i="11"/>
  <c r="W21" i="11"/>
  <c r="Y20" i="11"/>
  <c r="W20" i="11"/>
  <c r="L23" i="11"/>
  <c r="L22" i="11"/>
  <c r="L21" i="11"/>
  <c r="L20" i="11"/>
  <c r="BJ23" i="19" l="1"/>
  <c r="BI23" i="19"/>
  <c r="BH23" i="19"/>
  <c r="BG23" i="19"/>
  <c r="BF23" i="19"/>
  <c r="BE23" i="19"/>
  <c r="BD23" i="19"/>
  <c r="BC23" i="19"/>
  <c r="BB23" i="19"/>
  <c r="BA23" i="19"/>
  <c r="AZ23" i="19"/>
  <c r="AY23" i="19"/>
  <c r="AU23" i="19"/>
  <c r="AT23" i="19"/>
  <c r="AS23" i="19"/>
  <c r="AR23" i="19"/>
  <c r="AQ23" i="19"/>
  <c r="AP23" i="19"/>
  <c r="AO23" i="19"/>
  <c r="AN23" i="19"/>
  <c r="AM23" i="19"/>
  <c r="AL23" i="19"/>
  <c r="AK23" i="19"/>
  <c r="AJ23" i="19"/>
  <c r="BJ22" i="19"/>
  <c r="BI22" i="19"/>
  <c r="BH22" i="19"/>
  <c r="BG22" i="19"/>
  <c r="BF22" i="19"/>
  <c r="BE22" i="19"/>
  <c r="BD22" i="19"/>
  <c r="BC22" i="19"/>
  <c r="BB22" i="19"/>
  <c r="BA22" i="19"/>
  <c r="AZ22" i="19"/>
  <c r="AY22" i="19"/>
  <c r="AU22" i="19"/>
  <c r="AT22" i="19"/>
  <c r="AS22" i="19"/>
  <c r="AR22" i="19"/>
  <c r="AQ22" i="19"/>
  <c r="AP22" i="19"/>
  <c r="AO22" i="19"/>
  <c r="AN22" i="19"/>
  <c r="AM22" i="19"/>
  <c r="AL22" i="19"/>
  <c r="AK22" i="19"/>
  <c r="AJ22" i="19"/>
  <c r="BJ21" i="19"/>
  <c r="BI21" i="19"/>
  <c r="BH21" i="19"/>
  <c r="BG21" i="19"/>
  <c r="BF21" i="19"/>
  <c r="BE21" i="19"/>
  <c r="BD21" i="19"/>
  <c r="BC21" i="19"/>
  <c r="BB21" i="19"/>
  <c r="BA21" i="19"/>
  <c r="AZ21" i="19"/>
  <c r="AY21" i="19"/>
  <c r="AU21" i="19"/>
  <c r="AT21" i="19"/>
  <c r="AS21" i="19"/>
  <c r="AR21" i="19"/>
  <c r="AQ21" i="19"/>
  <c r="AP21" i="19"/>
  <c r="AO21" i="19"/>
  <c r="AN21" i="19"/>
  <c r="AM21" i="19"/>
  <c r="AL21" i="19"/>
  <c r="AK21" i="19"/>
  <c r="AJ21" i="19"/>
  <c r="BJ20" i="19"/>
  <c r="BI20" i="19"/>
  <c r="BH20" i="19"/>
  <c r="BG20" i="19"/>
  <c r="BF20" i="19"/>
  <c r="BE20" i="19"/>
  <c r="BD20" i="19"/>
  <c r="BC20" i="19"/>
  <c r="BB20" i="19"/>
  <c r="BA20" i="19"/>
  <c r="AZ20" i="19"/>
  <c r="AY20" i="19"/>
  <c r="AU20" i="19"/>
  <c r="AT20" i="19"/>
  <c r="AS20" i="19"/>
  <c r="AR20" i="19"/>
  <c r="AQ20" i="19"/>
  <c r="AP20" i="19"/>
  <c r="AO20" i="19"/>
  <c r="AN20" i="19"/>
  <c r="AM20" i="19"/>
  <c r="AL20" i="19"/>
  <c r="AK20" i="19"/>
  <c r="AJ20" i="19"/>
  <c r="BJ19" i="19"/>
  <c r="BI19" i="19"/>
  <c r="BH19" i="19"/>
  <c r="BG19" i="19"/>
  <c r="BF19" i="19"/>
  <c r="BE19" i="19"/>
  <c r="BD19" i="19"/>
  <c r="BC19" i="19"/>
  <c r="BB19" i="19"/>
  <c r="BA19" i="19"/>
  <c r="AZ19" i="19"/>
  <c r="AY19" i="19"/>
  <c r="AU19" i="19"/>
  <c r="AT19" i="19"/>
  <c r="AS19" i="19"/>
  <c r="AR19" i="19"/>
  <c r="AQ19" i="19"/>
  <c r="AP19" i="19"/>
  <c r="AO19" i="19"/>
  <c r="AN19" i="19"/>
  <c r="AM19" i="19"/>
  <c r="AL19" i="19"/>
  <c r="AK19" i="19"/>
  <c r="AJ19" i="19"/>
  <c r="BJ18" i="19"/>
  <c r="BI18" i="19"/>
  <c r="BH18" i="19"/>
  <c r="BG18" i="19"/>
  <c r="BF18" i="19"/>
  <c r="BE18" i="19"/>
  <c r="BD18" i="19"/>
  <c r="BC18" i="19"/>
  <c r="BB18" i="19"/>
  <c r="BA18" i="19"/>
  <c r="AZ18" i="19"/>
  <c r="AY18" i="19"/>
  <c r="AU18" i="19"/>
  <c r="AT18" i="19"/>
  <c r="AS18" i="19"/>
  <c r="AR18" i="19"/>
  <c r="AQ18" i="19"/>
  <c r="AP18" i="19"/>
  <c r="AO18" i="19"/>
  <c r="AN18" i="19"/>
  <c r="AM18" i="19"/>
  <c r="AL18" i="19"/>
  <c r="AK18" i="19"/>
  <c r="AJ18" i="19"/>
  <c r="AV18" i="19" s="1"/>
  <c r="BJ17" i="19"/>
  <c r="BI17" i="19"/>
  <c r="BH17" i="19"/>
  <c r="BG17" i="19"/>
  <c r="BF17" i="19"/>
  <c r="BE17" i="19"/>
  <c r="BD17" i="19"/>
  <c r="BC17" i="19"/>
  <c r="BB17" i="19"/>
  <c r="BA17" i="19"/>
  <c r="AZ17" i="19"/>
  <c r="AY17" i="19"/>
  <c r="AU17" i="19"/>
  <c r="AT17" i="19"/>
  <c r="AS17" i="19"/>
  <c r="AR17" i="19"/>
  <c r="AQ17" i="19"/>
  <c r="AP17" i="19"/>
  <c r="AO17" i="19"/>
  <c r="AN17" i="19"/>
  <c r="AM17" i="19"/>
  <c r="AL17" i="19"/>
  <c r="AK17" i="19"/>
  <c r="AJ17" i="19"/>
  <c r="BJ16" i="19"/>
  <c r="BI16" i="19"/>
  <c r="BH16" i="19"/>
  <c r="BG16" i="19"/>
  <c r="BF16" i="19"/>
  <c r="BE16" i="19"/>
  <c r="BD16" i="19"/>
  <c r="BC16" i="19"/>
  <c r="BB16" i="19"/>
  <c r="BA16" i="19"/>
  <c r="AZ16" i="19"/>
  <c r="AY16" i="19"/>
  <c r="AU16" i="19"/>
  <c r="AT16" i="19"/>
  <c r="AS16" i="19"/>
  <c r="AR16" i="19"/>
  <c r="AQ16" i="19"/>
  <c r="AP16" i="19"/>
  <c r="AO16" i="19"/>
  <c r="AN16" i="19"/>
  <c r="AM16" i="19"/>
  <c r="AL16" i="19"/>
  <c r="AK16" i="19"/>
  <c r="AJ16" i="19"/>
  <c r="BJ15" i="19"/>
  <c r="BI15" i="19"/>
  <c r="BH15" i="19"/>
  <c r="BG15" i="19"/>
  <c r="BF15" i="19"/>
  <c r="BE15" i="19"/>
  <c r="BD15" i="19"/>
  <c r="BC15" i="19"/>
  <c r="BB15" i="19"/>
  <c r="BA15" i="19"/>
  <c r="AZ15" i="19"/>
  <c r="AY15" i="19"/>
  <c r="AU15" i="19"/>
  <c r="AT15" i="19"/>
  <c r="AS15" i="19"/>
  <c r="AR15" i="19"/>
  <c r="AQ15" i="19"/>
  <c r="AP15" i="19"/>
  <c r="AO15" i="19"/>
  <c r="AN15" i="19"/>
  <c r="AM15" i="19"/>
  <c r="AL15" i="19"/>
  <c r="AK15" i="19"/>
  <c r="AJ15" i="19"/>
  <c r="BJ14" i="19"/>
  <c r="BI14" i="19"/>
  <c r="BH14" i="19"/>
  <c r="BG14" i="19"/>
  <c r="BF14" i="19"/>
  <c r="BE14" i="19"/>
  <c r="BD14" i="19"/>
  <c r="BC14" i="19"/>
  <c r="BB14" i="19"/>
  <c r="BA14" i="19"/>
  <c r="AZ14" i="19"/>
  <c r="AY14" i="19"/>
  <c r="AU14" i="19"/>
  <c r="AT14" i="19"/>
  <c r="AS14" i="19"/>
  <c r="AR14" i="19"/>
  <c r="AQ14" i="19"/>
  <c r="AP14" i="19"/>
  <c r="AO14" i="19"/>
  <c r="AN14" i="19"/>
  <c r="AM14" i="19"/>
  <c r="AL14" i="19"/>
  <c r="AK14" i="19"/>
  <c r="AJ14" i="19"/>
  <c r="BJ13" i="19"/>
  <c r="BI13" i="19"/>
  <c r="BH13" i="19"/>
  <c r="BG13" i="19"/>
  <c r="BF13" i="19"/>
  <c r="BE13" i="19"/>
  <c r="BD13" i="19"/>
  <c r="BC13" i="19"/>
  <c r="BB13" i="19"/>
  <c r="BA13" i="19"/>
  <c r="AZ13" i="19"/>
  <c r="AY13" i="19"/>
  <c r="AU13" i="19"/>
  <c r="AT13" i="19"/>
  <c r="AS13" i="19"/>
  <c r="AR13" i="19"/>
  <c r="AQ13" i="19"/>
  <c r="AP13" i="19"/>
  <c r="AO13" i="19"/>
  <c r="AN13" i="19"/>
  <c r="AM13" i="19"/>
  <c r="AL13" i="19"/>
  <c r="AK13" i="19"/>
  <c r="AJ13" i="19"/>
  <c r="BJ12" i="19"/>
  <c r="BI12" i="19"/>
  <c r="BH12" i="19"/>
  <c r="BG12" i="19"/>
  <c r="BF12" i="19"/>
  <c r="BE12" i="19"/>
  <c r="BD12" i="19"/>
  <c r="BC12" i="19"/>
  <c r="BB12" i="19"/>
  <c r="BA12" i="19"/>
  <c r="AZ12" i="19"/>
  <c r="AY12" i="19"/>
  <c r="AU12" i="19"/>
  <c r="AT12" i="19"/>
  <c r="AS12" i="19"/>
  <c r="AR12" i="19"/>
  <c r="AQ12" i="19"/>
  <c r="AP12" i="19"/>
  <c r="AO12" i="19"/>
  <c r="AN12" i="19"/>
  <c r="AM12" i="19"/>
  <c r="AL12" i="19"/>
  <c r="AK12" i="19"/>
  <c r="AJ12" i="19"/>
  <c r="BJ11" i="19"/>
  <c r="BI11" i="19"/>
  <c r="BH11" i="19"/>
  <c r="BG11" i="19"/>
  <c r="BF11" i="19"/>
  <c r="BE11" i="19"/>
  <c r="BD11" i="19"/>
  <c r="BC11" i="19"/>
  <c r="BB11" i="19"/>
  <c r="BA11" i="19"/>
  <c r="AZ11" i="19"/>
  <c r="AY11" i="19"/>
  <c r="AU11" i="19"/>
  <c r="AT11" i="19"/>
  <c r="AS11" i="19"/>
  <c r="AR11" i="19"/>
  <c r="AQ11" i="19"/>
  <c r="AP11" i="19"/>
  <c r="AO11" i="19"/>
  <c r="AN11" i="19"/>
  <c r="AM11" i="19"/>
  <c r="AL11" i="19"/>
  <c r="AK11" i="19"/>
  <c r="AJ11" i="19"/>
  <c r="BJ10" i="19"/>
  <c r="BI10" i="19"/>
  <c r="BH10" i="19"/>
  <c r="BG10" i="19"/>
  <c r="BF10" i="19"/>
  <c r="BE10" i="19"/>
  <c r="BD10" i="19"/>
  <c r="BC10" i="19"/>
  <c r="BB10" i="19"/>
  <c r="BA10" i="19"/>
  <c r="AZ10" i="19"/>
  <c r="AY10" i="19"/>
  <c r="AU10" i="19"/>
  <c r="AT10" i="19"/>
  <c r="AS10" i="19"/>
  <c r="AR10" i="19"/>
  <c r="AQ10" i="19"/>
  <c r="AP10" i="19"/>
  <c r="AO10" i="19"/>
  <c r="AN10" i="19"/>
  <c r="AM10" i="19"/>
  <c r="AL10" i="19"/>
  <c r="AK10" i="19"/>
  <c r="AJ10" i="19"/>
  <c r="BJ9" i="19"/>
  <c r="BI9" i="19"/>
  <c r="BH9" i="19"/>
  <c r="BG9" i="19"/>
  <c r="BF9" i="19"/>
  <c r="BE9" i="19"/>
  <c r="BD9" i="19"/>
  <c r="BC9" i="19"/>
  <c r="BB9" i="19"/>
  <c r="BA9" i="19"/>
  <c r="AZ9" i="19"/>
  <c r="AY9" i="19"/>
  <c r="AU9" i="19"/>
  <c r="AT9" i="19"/>
  <c r="AS9" i="19"/>
  <c r="AR9" i="19"/>
  <c r="AQ9" i="19"/>
  <c r="AP9" i="19"/>
  <c r="AO9" i="19"/>
  <c r="AN9" i="19"/>
  <c r="AM9" i="19"/>
  <c r="AL9" i="19"/>
  <c r="AK9" i="19"/>
  <c r="AJ9" i="19"/>
  <c r="T6" i="19"/>
  <c r="BK21" i="19" l="1"/>
  <c r="AV22" i="19"/>
  <c r="BK12" i="19"/>
  <c r="AV14" i="19"/>
  <c r="BK11" i="19"/>
  <c r="BK15" i="19"/>
  <c r="AV12" i="19"/>
  <c r="AV16" i="19"/>
  <c r="BK16" i="19"/>
  <c r="AV20" i="19"/>
  <c r="BK20" i="19"/>
  <c r="AV10" i="19"/>
  <c r="BK17" i="19"/>
  <c r="AV9" i="19"/>
  <c r="AV13" i="19"/>
  <c r="AV17" i="19"/>
  <c r="AV21" i="19"/>
  <c r="BK9" i="19"/>
  <c r="BK13" i="19"/>
  <c r="AV11" i="19"/>
  <c r="AV19" i="19"/>
  <c r="BK19" i="19"/>
  <c r="BK23" i="19"/>
  <c r="BK10" i="19"/>
  <c r="BK14" i="19"/>
  <c r="AV15" i="19"/>
  <c r="BK18" i="19"/>
  <c r="BK22" i="19"/>
  <c r="AV23" i="19"/>
  <c r="E53" i="15" l="1"/>
  <c r="F53" i="15"/>
  <c r="E54" i="15"/>
  <c r="F54" i="15"/>
  <c r="E55" i="15"/>
  <c r="F55" i="15"/>
  <c r="E56" i="15"/>
  <c r="F56" i="15"/>
  <c r="E57" i="15"/>
  <c r="F57" i="15"/>
  <c r="E58" i="15"/>
  <c r="F58" i="15"/>
  <c r="E59" i="15"/>
  <c r="F59" i="15"/>
  <c r="E60" i="15"/>
  <c r="F60" i="15"/>
  <c r="E61" i="15"/>
  <c r="F61" i="15"/>
  <c r="E62" i="15"/>
  <c r="F62" i="15"/>
  <c r="E63" i="15"/>
  <c r="F63" i="15"/>
  <c r="E64" i="15"/>
  <c r="F64" i="15"/>
  <c r="F52" i="15"/>
  <c r="E52" i="15"/>
  <c r="F51" i="15"/>
  <c r="E51" i="15"/>
  <c r="F50" i="15"/>
  <c r="E50" i="15"/>
  <c r="F49" i="15"/>
  <c r="E49" i="15"/>
  <c r="F48" i="15"/>
  <c r="E48" i="15"/>
  <c r="F47" i="15"/>
  <c r="E47" i="15"/>
  <c r="F46" i="15"/>
  <c r="E46" i="15"/>
  <c r="F45" i="15"/>
  <c r="E45" i="15"/>
  <c r="F44" i="15"/>
  <c r="E44" i="15"/>
  <c r="F43" i="15"/>
  <c r="E43" i="15"/>
  <c r="F42" i="15"/>
  <c r="E42" i="15"/>
  <c r="F41" i="15"/>
  <c r="E41" i="15"/>
  <c r="Q114" i="15"/>
  <c r="Q115" i="15"/>
  <c r="Q116" i="15"/>
  <c r="Q117" i="15"/>
  <c r="Q118" i="15"/>
  <c r="Q119" i="15"/>
  <c r="Q120" i="15"/>
  <c r="Q121" i="15"/>
  <c r="Q122" i="15"/>
  <c r="Q123" i="15"/>
  <c r="Q124" i="15"/>
  <c r="Q113" i="15"/>
  <c r="P114" i="15" l="1"/>
  <c r="P115" i="15"/>
  <c r="P116" i="15"/>
  <c r="P117" i="15"/>
  <c r="P118" i="15"/>
  <c r="P119" i="15"/>
  <c r="P120" i="15"/>
  <c r="P121" i="15"/>
  <c r="P122" i="15"/>
  <c r="P123" i="15"/>
  <c r="P124" i="15"/>
  <c r="P113" i="15"/>
  <c r="V25" i="17" l="1"/>
  <c r="V24" i="17"/>
  <c r="V23" i="17"/>
  <c r="V22" i="17"/>
  <c r="V21" i="17"/>
  <c r="V20" i="17"/>
  <c r="V19" i="17"/>
  <c r="V18" i="17"/>
  <c r="V17" i="17"/>
  <c r="V16" i="17"/>
  <c r="V15" i="17"/>
  <c r="V14" i="17"/>
  <c r="V13" i="17"/>
  <c r="V12" i="17"/>
  <c r="V11" i="17"/>
  <c r="V10" i="17"/>
  <c r="V9" i="17"/>
  <c r="V8" i="17"/>
  <c r="U26" i="17"/>
  <c r="E6" i="15" l="1"/>
  <c r="F6" i="15"/>
  <c r="K6" i="15"/>
  <c r="E18" i="15"/>
  <c r="F18" i="15"/>
  <c r="K18" i="15"/>
  <c r="E30" i="15"/>
  <c r="F30" i="15"/>
  <c r="K30" i="15"/>
  <c r="E66" i="15"/>
  <c r="F66" i="15"/>
  <c r="K66" i="15"/>
  <c r="E78" i="15"/>
  <c r="F78" i="15"/>
  <c r="K78" i="15"/>
  <c r="E90" i="15"/>
  <c r="F90" i="15"/>
  <c r="K90" i="15"/>
  <c r="E102" i="15"/>
  <c r="F102" i="15"/>
  <c r="K102" i="15"/>
  <c r="F114" i="15"/>
  <c r="E114" i="15"/>
  <c r="K114" i="15"/>
  <c r="K126" i="15"/>
  <c r="F126" i="15"/>
  <c r="E126" i="15"/>
  <c r="K7" i="15"/>
  <c r="K8" i="15"/>
  <c r="K9" i="15"/>
  <c r="K10" i="15"/>
  <c r="K11" i="15"/>
  <c r="K12" i="15"/>
  <c r="K13" i="15"/>
  <c r="K14" i="15"/>
  <c r="K15" i="15"/>
  <c r="K16" i="15"/>
  <c r="K17" i="15"/>
  <c r="K19" i="15"/>
  <c r="K20" i="15"/>
  <c r="K21" i="15"/>
  <c r="K22" i="15"/>
  <c r="K23" i="15"/>
  <c r="K24" i="15"/>
  <c r="K25" i="15"/>
  <c r="K26" i="15"/>
  <c r="K27" i="15"/>
  <c r="K28" i="15"/>
  <c r="K29" i="15"/>
  <c r="K31" i="15"/>
  <c r="K32" i="15"/>
  <c r="K33" i="15"/>
  <c r="K34" i="15"/>
  <c r="K35" i="15"/>
  <c r="K36" i="15"/>
  <c r="K37" i="15"/>
  <c r="K38" i="15"/>
  <c r="K39" i="15"/>
  <c r="K40" i="15"/>
  <c r="K65" i="15"/>
  <c r="K67" i="15"/>
  <c r="K68" i="15"/>
  <c r="K69" i="15"/>
  <c r="K70" i="15"/>
  <c r="K71" i="15"/>
  <c r="K72" i="15"/>
  <c r="K73" i="15"/>
  <c r="K74" i="15"/>
  <c r="K75" i="15"/>
  <c r="K76" i="15"/>
  <c r="K77" i="15"/>
  <c r="K79" i="15"/>
  <c r="K80" i="15"/>
  <c r="K81" i="15"/>
  <c r="K82" i="15"/>
  <c r="K83" i="15"/>
  <c r="K84" i="15"/>
  <c r="K85" i="15"/>
  <c r="K86" i="15"/>
  <c r="K87" i="15"/>
  <c r="K88" i="15"/>
  <c r="K89" i="15"/>
  <c r="K91" i="15"/>
  <c r="K92" i="15"/>
  <c r="K93" i="15"/>
  <c r="K94" i="15"/>
  <c r="K95" i="15"/>
  <c r="K96" i="15"/>
  <c r="K97" i="15"/>
  <c r="K98" i="15"/>
  <c r="K99" i="15"/>
  <c r="K100" i="15"/>
  <c r="K101" i="15"/>
  <c r="K103" i="15"/>
  <c r="K104" i="15"/>
  <c r="K105" i="15"/>
  <c r="K106" i="15"/>
  <c r="K107" i="15"/>
  <c r="K108" i="15"/>
  <c r="K109" i="15"/>
  <c r="K110" i="15"/>
  <c r="K111" i="15"/>
  <c r="K112" i="15"/>
  <c r="K113" i="15"/>
  <c r="K115" i="15"/>
  <c r="K116" i="15"/>
  <c r="K117" i="15"/>
  <c r="K118" i="15"/>
  <c r="K119" i="15"/>
  <c r="K120" i="15"/>
  <c r="K121" i="15"/>
  <c r="K122" i="15"/>
  <c r="K123" i="15"/>
  <c r="K124" i="15"/>
  <c r="K125" i="15"/>
  <c r="K127" i="15"/>
  <c r="K128" i="15"/>
  <c r="K129" i="15"/>
  <c r="K130" i="15"/>
  <c r="K131" i="15"/>
  <c r="K132" i="15"/>
  <c r="K133" i="15"/>
  <c r="K134" i="15"/>
  <c r="K135" i="15"/>
  <c r="K136" i="15"/>
  <c r="K5" i="15"/>
  <c r="F136" i="15" l="1"/>
  <c r="E136" i="15"/>
  <c r="F135" i="15"/>
  <c r="E135" i="15"/>
  <c r="F134" i="15"/>
  <c r="E134" i="15"/>
  <c r="F133" i="15"/>
  <c r="E133" i="15"/>
  <c r="F132" i="15"/>
  <c r="E132" i="15"/>
  <c r="F131" i="15"/>
  <c r="E131" i="15"/>
  <c r="F130" i="15"/>
  <c r="E130" i="15"/>
  <c r="F129" i="15"/>
  <c r="E129" i="15"/>
  <c r="F128" i="15"/>
  <c r="E128" i="15"/>
  <c r="F127" i="15"/>
  <c r="E127" i="15"/>
  <c r="F125" i="15"/>
  <c r="E125" i="15"/>
  <c r="F124" i="15"/>
  <c r="E124" i="15"/>
  <c r="F123" i="15"/>
  <c r="E123" i="15"/>
  <c r="F122" i="15"/>
  <c r="E122" i="15"/>
  <c r="F121" i="15"/>
  <c r="E121" i="15"/>
  <c r="F120" i="15"/>
  <c r="E120" i="15"/>
  <c r="F119" i="15"/>
  <c r="E119" i="15"/>
  <c r="F118" i="15"/>
  <c r="E118" i="15"/>
  <c r="F117" i="15"/>
  <c r="E117" i="15"/>
  <c r="F116" i="15"/>
  <c r="E116" i="15"/>
  <c r="F115" i="15"/>
  <c r="E115" i="15"/>
  <c r="F113" i="15"/>
  <c r="E113" i="15"/>
  <c r="I25" i="17"/>
  <c r="I24" i="17"/>
  <c r="BJ24" i="17" s="1"/>
  <c r="I22" i="17"/>
  <c r="I21" i="17"/>
  <c r="I20" i="17"/>
  <c r="I19" i="17"/>
  <c r="I18" i="17"/>
  <c r="I17" i="17"/>
  <c r="I16" i="17"/>
  <c r="I15" i="17"/>
  <c r="I14" i="17"/>
  <c r="I13" i="17"/>
  <c r="AI8" i="17"/>
  <c r="AH8" i="17" s="1"/>
  <c r="F10" i="21"/>
  <c r="B302" i="7"/>
  <c r="D302" i="7" s="1"/>
  <c r="B303" i="7"/>
  <c r="C303" i="7" s="1"/>
  <c r="B304" i="7"/>
  <c r="C304" i="7" s="1"/>
  <c r="B305" i="7"/>
  <c r="D305" i="7" s="1"/>
  <c r="B306" i="7"/>
  <c r="D306" i="7" s="1"/>
  <c r="B307" i="7"/>
  <c r="C307" i="7" s="1"/>
  <c r="B311" i="7"/>
  <c r="C311" i="7" s="1"/>
  <c r="H39" i="19" s="1"/>
  <c r="B308" i="7"/>
  <c r="D308" i="7" s="1"/>
  <c r="B301" i="7"/>
  <c r="C301" i="7" s="1"/>
  <c r="P7" i="13"/>
  <c r="C7" i="17"/>
  <c r="K44" i="17" s="1"/>
  <c r="C7" i="19"/>
  <c r="V8" i="19"/>
  <c r="C8" i="11"/>
  <c r="F33" i="11" s="1"/>
  <c r="K24" i="11"/>
  <c r="E5" i="15"/>
  <c r="E7" i="15"/>
  <c r="E8" i="15"/>
  <c r="E9" i="15"/>
  <c r="F5" i="15"/>
  <c r="F7" i="15"/>
  <c r="F8" i="15"/>
  <c r="F9" i="15"/>
  <c r="E10" i="15"/>
  <c r="F10" i="15"/>
  <c r="E11" i="15"/>
  <c r="F11" i="15"/>
  <c r="E12" i="15"/>
  <c r="Y13" i="11" s="1"/>
  <c r="F12" i="15"/>
  <c r="E13" i="15"/>
  <c r="F13" i="15"/>
  <c r="E14" i="15"/>
  <c r="F14" i="15"/>
  <c r="E15" i="15"/>
  <c r="F15" i="15"/>
  <c r="E16" i="15"/>
  <c r="F16" i="15"/>
  <c r="E17" i="15"/>
  <c r="F17" i="15"/>
  <c r="E19" i="15"/>
  <c r="F19" i="15"/>
  <c r="E20" i="15"/>
  <c r="F20" i="15"/>
  <c r="E21" i="15"/>
  <c r="F21" i="15"/>
  <c r="E22" i="15"/>
  <c r="F22" i="15"/>
  <c r="E23" i="15"/>
  <c r="F23" i="15"/>
  <c r="E24" i="15"/>
  <c r="F24" i="15"/>
  <c r="E25" i="15"/>
  <c r="F25" i="15"/>
  <c r="E26" i="15"/>
  <c r="F26" i="15"/>
  <c r="E27" i="15"/>
  <c r="F27" i="15"/>
  <c r="E28" i="15"/>
  <c r="F28" i="15"/>
  <c r="E29" i="15"/>
  <c r="F29" i="15"/>
  <c r="E31" i="15"/>
  <c r="F31" i="15"/>
  <c r="E32" i="15"/>
  <c r="F32" i="15"/>
  <c r="E33" i="15"/>
  <c r="F33" i="15"/>
  <c r="E34" i="15"/>
  <c r="F34" i="15"/>
  <c r="E35" i="15"/>
  <c r="F35" i="15"/>
  <c r="E36" i="15"/>
  <c r="F36" i="15"/>
  <c r="E37" i="15"/>
  <c r="F37" i="15"/>
  <c r="E38" i="15"/>
  <c r="F38" i="15"/>
  <c r="E39" i="15"/>
  <c r="F39" i="15"/>
  <c r="E40" i="15"/>
  <c r="F40" i="15"/>
  <c r="E65" i="15"/>
  <c r="F65" i="15"/>
  <c r="E67" i="15"/>
  <c r="F67" i="15"/>
  <c r="E68" i="15"/>
  <c r="F68" i="15"/>
  <c r="E69" i="15"/>
  <c r="F69" i="15"/>
  <c r="E70" i="15"/>
  <c r="F70" i="15"/>
  <c r="E71" i="15"/>
  <c r="F71" i="15"/>
  <c r="E72" i="15"/>
  <c r="F72" i="15"/>
  <c r="E73" i="15"/>
  <c r="F73" i="15"/>
  <c r="E74" i="15"/>
  <c r="F74" i="15"/>
  <c r="E75" i="15"/>
  <c r="F75" i="15"/>
  <c r="E76" i="15"/>
  <c r="F76" i="15"/>
  <c r="E77" i="15"/>
  <c r="F77" i="15"/>
  <c r="E79" i="15"/>
  <c r="F79" i="15"/>
  <c r="E80" i="15"/>
  <c r="F80" i="15"/>
  <c r="E81" i="15"/>
  <c r="F81" i="15"/>
  <c r="E82" i="15"/>
  <c r="F82" i="15"/>
  <c r="E83" i="15"/>
  <c r="F83" i="15"/>
  <c r="E84" i="15"/>
  <c r="F84" i="15"/>
  <c r="E85" i="15"/>
  <c r="F85" i="15"/>
  <c r="E86" i="15"/>
  <c r="F86" i="15"/>
  <c r="E87" i="15"/>
  <c r="F87" i="15"/>
  <c r="E88" i="15"/>
  <c r="F88" i="15"/>
  <c r="E89" i="15"/>
  <c r="F89" i="15"/>
  <c r="E91" i="15"/>
  <c r="F91" i="15"/>
  <c r="E92" i="15"/>
  <c r="F92" i="15"/>
  <c r="E93" i="15"/>
  <c r="F93" i="15"/>
  <c r="E94" i="15"/>
  <c r="F94" i="15"/>
  <c r="E95" i="15"/>
  <c r="F95" i="15"/>
  <c r="E96" i="15"/>
  <c r="F96" i="15"/>
  <c r="E97" i="15"/>
  <c r="F97" i="15"/>
  <c r="E98" i="15"/>
  <c r="F98" i="15"/>
  <c r="E99" i="15"/>
  <c r="F99" i="15"/>
  <c r="E100" i="15"/>
  <c r="F100" i="15"/>
  <c r="E101" i="15"/>
  <c r="F101" i="15"/>
  <c r="E103" i="15"/>
  <c r="F103" i="15"/>
  <c r="E104" i="15"/>
  <c r="F104" i="15"/>
  <c r="E105" i="15"/>
  <c r="F105" i="15"/>
  <c r="E106" i="15"/>
  <c r="F106" i="15"/>
  <c r="E107" i="15"/>
  <c r="F107" i="15"/>
  <c r="E108" i="15"/>
  <c r="F108" i="15"/>
  <c r="E109" i="15"/>
  <c r="F109" i="15"/>
  <c r="E110" i="15"/>
  <c r="F110" i="15"/>
  <c r="E111" i="15"/>
  <c r="F111" i="15"/>
  <c r="E112" i="15"/>
  <c r="F112" i="15"/>
  <c r="H312" i="7"/>
  <c r="B310" i="7"/>
  <c r="C310" i="7" s="1"/>
  <c r="B309" i="7"/>
  <c r="C309" i="7" s="1"/>
  <c r="F33" i="13"/>
  <c r="E33" i="13"/>
  <c r="C4" i="17"/>
  <c r="D34" i="17" s="1"/>
  <c r="F19" i="6"/>
  <c r="H12" i="6"/>
  <c r="F12" i="6"/>
  <c r="H13" i="17"/>
  <c r="AI13" i="17" s="1"/>
  <c r="AH13" i="17" s="1"/>
  <c r="F14" i="6"/>
  <c r="B5" i="6"/>
  <c r="P24" i="13"/>
  <c r="Q24" i="13"/>
  <c r="P25" i="13"/>
  <c r="Q25" i="13"/>
  <c r="P26" i="13"/>
  <c r="Q26" i="13"/>
  <c r="P27" i="13"/>
  <c r="Q27" i="13"/>
  <c r="U27" i="13"/>
  <c r="P28" i="13"/>
  <c r="Q28" i="13"/>
  <c r="P29" i="13"/>
  <c r="Q29" i="13"/>
  <c r="P30" i="13"/>
  <c r="Q30" i="13"/>
  <c r="H20" i="19"/>
  <c r="AI20" i="19" s="1"/>
  <c r="AX20" i="19" s="1"/>
  <c r="V20" i="19"/>
  <c r="H21" i="19"/>
  <c r="AI21" i="19" s="1"/>
  <c r="AX21" i="19" s="1"/>
  <c r="V21" i="19"/>
  <c r="H22" i="19"/>
  <c r="AI22" i="19" s="1"/>
  <c r="AX22" i="19" s="1"/>
  <c r="V22" i="19"/>
  <c r="X40" i="4"/>
  <c r="X41" i="4"/>
  <c r="X42" i="4"/>
  <c r="X43" i="4"/>
  <c r="X39" i="4"/>
  <c r="X38" i="4"/>
  <c r="X37" i="4"/>
  <c r="H9" i="19"/>
  <c r="H10" i="19"/>
  <c r="H11" i="19"/>
  <c r="AI11" i="19" s="1"/>
  <c r="AX11" i="19" s="1"/>
  <c r="H12" i="19"/>
  <c r="AI12" i="19" s="1"/>
  <c r="AX12" i="19" s="1"/>
  <c r="H13" i="19"/>
  <c r="AI13" i="19" s="1"/>
  <c r="AX13" i="19" s="1"/>
  <c r="H14" i="19"/>
  <c r="AI14" i="19" s="1"/>
  <c r="AX14" i="19" s="1"/>
  <c r="H15" i="19"/>
  <c r="AI15" i="19" s="1"/>
  <c r="AX15" i="19" s="1"/>
  <c r="H16" i="19"/>
  <c r="H17" i="19"/>
  <c r="H18" i="19"/>
  <c r="H19" i="19"/>
  <c r="H23" i="19"/>
  <c r="AI23" i="19" s="1"/>
  <c r="AX23" i="19" s="1"/>
  <c r="H14" i="17"/>
  <c r="H15" i="17"/>
  <c r="H16" i="17"/>
  <c r="H17" i="17"/>
  <c r="H18" i="17"/>
  <c r="H19" i="17"/>
  <c r="H20" i="17"/>
  <c r="H21" i="17"/>
  <c r="H22" i="17"/>
  <c r="H23" i="17"/>
  <c r="H24" i="17"/>
  <c r="H25" i="17"/>
  <c r="A40" i="19"/>
  <c r="F27" i="11" s="1"/>
  <c r="F15" i="6"/>
  <c r="N13" i="6"/>
  <c r="H13" i="6"/>
  <c r="H4" i="14"/>
  <c r="F13" i="6"/>
  <c r="H14" i="6"/>
  <c r="W31" i="21"/>
  <c r="W61" i="21" s="1"/>
  <c r="X31" i="21"/>
  <c r="X61" i="21" s="1"/>
  <c r="Y31" i="21"/>
  <c r="Y61" i="21" s="1"/>
  <c r="Z31" i="21"/>
  <c r="Z61" i="21" s="1"/>
  <c r="AA31" i="21"/>
  <c r="AA61" i="21" s="1"/>
  <c r="AB31" i="21"/>
  <c r="AB61" i="21" s="1"/>
  <c r="AC31" i="21"/>
  <c r="AC61" i="21" s="1"/>
  <c r="AD31" i="21"/>
  <c r="AD61" i="21" s="1"/>
  <c r="AE31" i="21"/>
  <c r="AE61" i="21" s="1"/>
  <c r="AF31" i="21"/>
  <c r="AF61" i="21" s="1"/>
  <c r="V31" i="21"/>
  <c r="V61" i="21" s="1"/>
  <c r="K6" i="19"/>
  <c r="L6" i="19"/>
  <c r="M6" i="19"/>
  <c r="N6" i="19"/>
  <c r="O6" i="19"/>
  <c r="P6" i="19"/>
  <c r="Q6" i="19"/>
  <c r="R6" i="19"/>
  <c r="S6" i="19"/>
  <c r="J6" i="19"/>
  <c r="O1" i="21"/>
  <c r="I1" i="14"/>
  <c r="O1" i="13"/>
  <c r="N1" i="11"/>
  <c r="A17" i="14"/>
  <c r="A18" i="14"/>
  <c r="A19" i="14"/>
  <c r="A20" i="14"/>
  <c r="A21" i="14"/>
  <c r="A22" i="14"/>
  <c r="A23" i="14"/>
  <c r="A24" i="14"/>
  <c r="A25" i="14"/>
  <c r="A26" i="14"/>
  <c r="A27" i="14"/>
  <c r="A28" i="14"/>
  <c r="A29" i="14"/>
  <c r="A30" i="14"/>
  <c r="A31" i="14"/>
  <c r="A32" i="14"/>
  <c r="A33" i="14"/>
  <c r="A34" i="14"/>
  <c r="A35" i="14"/>
  <c r="A36" i="14"/>
  <c r="A37" i="14"/>
  <c r="D35" i="14"/>
  <c r="D34" i="14"/>
  <c r="D33" i="14"/>
  <c r="G3" i="7"/>
  <c r="J158" i="7" s="1"/>
  <c r="L45" i="19"/>
  <c r="G36" i="11" s="1"/>
  <c r="O11" i="21"/>
  <c r="L11" i="21"/>
  <c r="C3"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AA64" i="21"/>
  <c r="AC64" i="21"/>
  <c r="AD64" i="21"/>
  <c r="AF64" i="21"/>
  <c r="W34" i="21"/>
  <c r="X38" i="21" s="1"/>
  <c r="X34" i="21"/>
  <c r="X39" i="21" s="1"/>
  <c r="Y34" i="21"/>
  <c r="X40" i="21" s="1"/>
  <c r="Z34" i="21"/>
  <c r="X41" i="21" s="1"/>
  <c r="AA34" i="21"/>
  <c r="X42" i="21" s="1"/>
  <c r="AB34" i="21"/>
  <c r="X53" i="21" s="1"/>
  <c r="AC34" i="21"/>
  <c r="X54" i="21" s="1"/>
  <c r="AD34" i="21"/>
  <c r="X55" i="21" s="1"/>
  <c r="AE34" i="21"/>
  <c r="X56" i="21" s="1"/>
  <c r="AF34" i="21"/>
  <c r="X57" i="21" s="1"/>
  <c r="V30" i="21"/>
  <c r="V34" i="21" s="1"/>
  <c r="X37" i="21" s="1"/>
  <c r="B312" i="7"/>
  <c r="C312" i="7" s="1"/>
  <c r="A312" i="7" s="1"/>
  <c r="P8" i="13"/>
  <c r="P9" i="13"/>
  <c r="P10" i="13"/>
  <c r="P11" i="13"/>
  <c r="P12" i="13"/>
  <c r="P13" i="13"/>
  <c r="P14" i="13"/>
  <c r="P15" i="13"/>
  <c r="P16" i="13"/>
  <c r="P17" i="13"/>
  <c r="P18" i="13"/>
  <c r="P19" i="13"/>
  <c r="P20" i="13"/>
  <c r="P21" i="13"/>
  <c r="P22" i="13"/>
  <c r="P23" i="13"/>
  <c r="O2" i="21"/>
  <c r="O10" i="21"/>
  <c r="O9" i="21"/>
  <c r="O8" i="21"/>
  <c r="O6" i="21"/>
  <c r="O7" i="21"/>
  <c r="O5" i="21"/>
  <c r="O4" i="21"/>
  <c r="F11" i="21"/>
  <c r="F9" i="21"/>
  <c r="F8" i="21"/>
  <c r="F7" i="21"/>
  <c r="F6" i="21"/>
  <c r="J5" i="21"/>
  <c r="F5" i="21"/>
  <c r="I4" i="21"/>
  <c r="F4" i="21"/>
  <c r="C38" i="14"/>
  <c r="L7" i="11"/>
  <c r="C1" i="5"/>
  <c r="C7" i="14"/>
  <c r="B38" i="14" s="1"/>
  <c r="D17" i="14"/>
  <c r="D18" i="14"/>
  <c r="D19" i="14"/>
  <c r="D20" i="14"/>
  <c r="D21" i="14"/>
  <c r="D22" i="14"/>
  <c r="D23" i="14"/>
  <c r="D24" i="14"/>
  <c r="D25" i="14"/>
  <c r="D26" i="14"/>
  <c r="D27" i="14"/>
  <c r="D28" i="14"/>
  <c r="D29" i="14"/>
  <c r="D30" i="14"/>
  <c r="D31" i="14"/>
  <c r="D32" i="14"/>
  <c r="D37" i="14"/>
  <c r="C7" i="11"/>
  <c r="C6" i="11"/>
  <c r="W13" i="11"/>
  <c r="L13" i="11" s="1"/>
  <c r="S34" i="19"/>
  <c r="A30" i="19"/>
  <c r="A29" i="19"/>
  <c r="U24" i="19"/>
  <c r="AF33" i="21" s="1"/>
  <c r="W57" i="21" s="1"/>
  <c r="S24" i="19"/>
  <c r="AE33" i="21" s="1"/>
  <c r="W56" i="21" s="1"/>
  <c r="R24" i="19"/>
  <c r="AD33" i="21" s="1"/>
  <c r="W55" i="21" s="1"/>
  <c r="Q24" i="19"/>
  <c r="AC33" i="21" s="1"/>
  <c r="W54" i="21" s="1"/>
  <c r="P24" i="19"/>
  <c r="AB33" i="21" s="1"/>
  <c r="W53" i="21" s="1"/>
  <c r="O24" i="19"/>
  <c r="AA33" i="21" s="1"/>
  <c r="W42" i="21" s="1"/>
  <c r="N24" i="19"/>
  <c r="Z33" i="21" s="1"/>
  <c r="W41" i="21" s="1"/>
  <c r="M24" i="19"/>
  <c r="Y33" i="21" s="1"/>
  <c r="W40" i="21" s="1"/>
  <c r="L24" i="19"/>
  <c r="X33" i="21" s="1"/>
  <c r="W39" i="21" s="1"/>
  <c r="K24" i="19"/>
  <c r="W33" i="21" s="1"/>
  <c r="W38" i="21" s="1"/>
  <c r="J24" i="19"/>
  <c r="V33" i="21" s="1"/>
  <c r="W37" i="21" s="1"/>
  <c r="V23" i="19"/>
  <c r="AI19" i="19"/>
  <c r="V19" i="19"/>
  <c r="V18" i="19"/>
  <c r="V17" i="19"/>
  <c r="V16" i="19"/>
  <c r="V15" i="19"/>
  <c r="V14" i="19"/>
  <c r="V13" i="19"/>
  <c r="V12" i="19"/>
  <c r="V11" i="19"/>
  <c r="A11" i="19"/>
  <c r="V10" i="19"/>
  <c r="V9" i="19"/>
  <c r="A8" i="19"/>
  <c r="BL7" i="19"/>
  <c r="BK7" i="19"/>
  <c r="A7" i="19"/>
  <c r="C6" i="19"/>
  <c r="A6" i="19"/>
  <c r="C5" i="19"/>
  <c r="A5" i="19"/>
  <c r="C4" i="19"/>
  <c r="D32" i="19" s="1"/>
  <c r="L32" i="19" s="1"/>
  <c r="A4" i="19"/>
  <c r="V1" i="19"/>
  <c r="A1" i="19"/>
  <c r="A1" i="11"/>
  <c r="Q8" i="13"/>
  <c r="Q9" i="13"/>
  <c r="Q10" i="13"/>
  <c r="Q11" i="13"/>
  <c r="Q12" i="13"/>
  <c r="Q13" i="13"/>
  <c r="Q14" i="13"/>
  <c r="Q15" i="13"/>
  <c r="Q16" i="13"/>
  <c r="Q17" i="13"/>
  <c r="Q18" i="13"/>
  <c r="Q19" i="13"/>
  <c r="Q21" i="13"/>
  <c r="Q22" i="13"/>
  <c r="Q23" i="13"/>
  <c r="Q31" i="13"/>
  <c r="Q7" i="13"/>
  <c r="C33" i="13"/>
  <c r="H6" i="14"/>
  <c r="H5" i="14"/>
  <c r="A9" i="14"/>
  <c r="A8" i="14"/>
  <c r="A6" i="14"/>
  <c r="A5" i="14"/>
  <c r="A4" i="14"/>
  <c r="C1" i="13"/>
  <c r="A1" i="14"/>
  <c r="B1" i="5"/>
  <c r="C9" i="14"/>
  <c r="C8" i="14"/>
  <c r="C6" i="14"/>
  <c r="C4" i="14"/>
  <c r="C5" i="14"/>
  <c r="C4" i="13"/>
  <c r="A31" i="17"/>
  <c r="A32" i="17"/>
  <c r="A11" i="17"/>
  <c r="V1" i="17"/>
  <c r="C6" i="17"/>
  <c r="C5" i="17"/>
  <c r="A4" i="17"/>
  <c r="A1" i="17"/>
  <c r="A8" i="17"/>
  <c r="A7" i="17"/>
  <c r="A6" i="17"/>
  <c r="A5" i="17"/>
  <c r="C159" i="7"/>
  <c r="E161" i="7" s="1"/>
  <c r="F161" i="7" s="1"/>
  <c r="T26" i="17"/>
  <c r="AF32" i="21" s="1"/>
  <c r="V57" i="21" s="1"/>
  <c r="S26" i="17"/>
  <c r="AE32" i="21" s="1"/>
  <c r="V56" i="21" s="1"/>
  <c r="R26" i="17"/>
  <c r="AD32" i="21" s="1"/>
  <c r="V55" i="21" s="1"/>
  <c r="Q26" i="17"/>
  <c r="AC32" i="21" s="1"/>
  <c r="V54" i="21" s="1"/>
  <c r="P26" i="17"/>
  <c r="AB32" i="21" s="1"/>
  <c r="V53" i="21" s="1"/>
  <c r="O26" i="17"/>
  <c r="AA32" i="21" s="1"/>
  <c r="V42" i="21" s="1"/>
  <c r="N26" i="17"/>
  <c r="Z32" i="21" s="1"/>
  <c r="V41" i="21" s="1"/>
  <c r="M26" i="17"/>
  <c r="Y32" i="21" s="1"/>
  <c r="V40" i="21" s="1"/>
  <c r="L26" i="17"/>
  <c r="X32" i="21" s="1"/>
  <c r="V39" i="21" s="1"/>
  <c r="K26" i="17"/>
  <c r="W32" i="21" s="1"/>
  <c r="V38" i="21" s="1"/>
  <c r="J26" i="17"/>
  <c r="V32" i="21" s="1"/>
  <c r="V37" i="21" s="1"/>
  <c r="BL7" i="17"/>
  <c r="BK7" i="17"/>
  <c r="D16" i="14"/>
  <c r="U49" i="13"/>
  <c r="U48" i="13"/>
  <c r="U47" i="13"/>
  <c r="U46" i="13"/>
  <c r="U45" i="13"/>
  <c r="U44" i="13"/>
  <c r="U43" i="13"/>
  <c r="U42" i="13"/>
  <c r="U41" i="13"/>
  <c r="U40" i="13"/>
  <c r="U39" i="13"/>
  <c r="U38" i="13"/>
  <c r="U37" i="13"/>
  <c r="U36" i="13"/>
  <c r="U35" i="13"/>
  <c r="U34" i="13"/>
  <c r="U33" i="13"/>
  <c r="O33" i="13"/>
  <c r="N33" i="13"/>
  <c r="M33" i="13"/>
  <c r="L33" i="13"/>
  <c r="K33" i="13"/>
  <c r="U32" i="13"/>
  <c r="U31" i="13"/>
  <c r="P31" i="13"/>
  <c r="U23" i="13"/>
  <c r="U19" i="13"/>
  <c r="U18" i="13"/>
  <c r="AC16" i="13"/>
  <c r="AA16" i="13"/>
  <c r="AC15" i="13"/>
  <c r="AA15" i="13"/>
  <c r="AC14" i="13"/>
  <c r="AA14" i="13"/>
  <c r="W14" i="13"/>
  <c r="U14" i="13"/>
  <c r="AC13" i="13"/>
  <c r="AA13" i="13"/>
  <c r="W13" i="13"/>
  <c r="U13" i="13"/>
  <c r="AC9" i="13"/>
  <c r="AA9" i="13"/>
  <c r="W9" i="13"/>
  <c r="U9" i="13"/>
  <c r="AC8" i="13"/>
  <c r="AA8" i="13"/>
  <c r="W8" i="13"/>
  <c r="U8" i="13"/>
  <c r="AC7" i="13"/>
  <c r="AA7" i="13"/>
  <c r="W7" i="13"/>
  <c r="U7" i="13"/>
  <c r="W6" i="13"/>
  <c r="U6" i="13"/>
  <c r="W5" i="13"/>
  <c r="U5" i="13"/>
  <c r="B30" i="7"/>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V63" i="21"/>
  <c r="W63" i="21"/>
  <c r="AB63" i="21"/>
  <c r="AD63" i="21"/>
  <c r="AE63" i="21"/>
  <c r="AF63" i="21"/>
  <c r="AC63" i="21"/>
  <c r="AA63" i="21"/>
  <c r="Z63" i="21"/>
  <c r="Y63" i="21"/>
  <c r="V62" i="21"/>
  <c r="AA62" i="21"/>
  <c r="Y62" i="21"/>
  <c r="AF62" i="21"/>
  <c r="W62" i="21"/>
  <c r="AD62" i="21"/>
  <c r="AE62" i="21"/>
  <c r="AB62" i="21"/>
  <c r="AC62" i="21"/>
  <c r="Z62" i="21"/>
  <c r="X63" i="21"/>
  <c r="X62" i="21"/>
  <c r="A105" i="6"/>
  <c r="A80" i="6"/>
  <c r="A131" i="6"/>
  <c r="A101" i="6"/>
  <c r="A107" i="6"/>
  <c r="A71" i="6"/>
  <c r="A64" i="6"/>
  <c r="A84" i="6"/>
  <c r="A97" i="6"/>
  <c r="A72" i="6"/>
  <c r="A81" i="6"/>
  <c r="A127" i="6"/>
  <c r="A95" i="6"/>
  <c r="A125" i="6"/>
  <c r="A75" i="6"/>
  <c r="A85" i="6"/>
  <c r="A76" i="6"/>
  <c r="A63" i="6"/>
  <c r="A100" i="6"/>
  <c r="A87" i="6"/>
  <c r="A91" i="6"/>
  <c r="A61" i="6"/>
  <c r="A117" i="6"/>
  <c r="A90" i="6"/>
  <c r="A88" i="6"/>
  <c r="A110" i="6"/>
  <c r="A92" i="6"/>
  <c r="A114" i="6"/>
  <c r="A89" i="6"/>
  <c r="A133" i="6"/>
  <c r="A118" i="6"/>
  <c r="A99" i="6"/>
  <c r="A124" i="6"/>
  <c r="A116" i="6"/>
  <c r="A103" i="6"/>
  <c r="A106" i="6"/>
  <c r="A112" i="6"/>
  <c r="A67" i="6"/>
  <c r="A69" i="6"/>
  <c r="A134" i="6"/>
  <c r="A79" i="6"/>
  <c r="A83" i="6"/>
  <c r="A78" i="6"/>
  <c r="A128" i="6"/>
  <c r="A119" i="6"/>
  <c r="A104" i="6"/>
  <c r="A68" i="6"/>
  <c r="A126" i="6"/>
  <c r="A66" i="6"/>
  <c r="A98" i="6"/>
  <c r="A62" i="6"/>
  <c r="A121" i="6"/>
  <c r="F81" i="7"/>
  <c r="A132" i="6"/>
  <c r="A109" i="6"/>
  <c r="A129" i="6"/>
  <c r="A86" i="6"/>
  <c r="A77" i="6"/>
  <c r="A122" i="6"/>
  <c r="A108" i="6"/>
  <c r="A111" i="6"/>
  <c r="A74" i="6"/>
  <c r="A115" i="6"/>
  <c r="A130" i="6"/>
  <c r="A70" i="6"/>
  <c r="A96" i="6"/>
  <c r="A123" i="6"/>
  <c r="A73" i="6"/>
  <c r="A113" i="6"/>
  <c r="A82" i="6"/>
  <c r="A65" i="6"/>
  <c r="A94" i="6"/>
  <c r="A102" i="6"/>
  <c r="A120" i="6"/>
  <c r="A93" i="6"/>
  <c r="A60" i="6"/>
  <c r="F32" i="6"/>
  <c r="G45" i="6"/>
  <c r="J132" i="7"/>
  <c r="J119" i="7"/>
  <c r="J90" i="7"/>
  <c r="J81" i="7"/>
  <c r="J142" i="7"/>
  <c r="J126" i="7"/>
  <c r="J86" i="7"/>
  <c r="J150" i="7"/>
  <c r="J154" i="7"/>
  <c r="J164" i="7"/>
  <c r="J96" i="7"/>
  <c r="J131" i="7"/>
  <c r="J101" i="7"/>
  <c r="J100" i="7"/>
  <c r="J118" i="7"/>
  <c r="J172" i="7"/>
  <c r="J120" i="7"/>
  <c r="J92" i="7"/>
  <c r="J130" i="7"/>
  <c r="J95" i="7"/>
  <c r="J165" i="7"/>
  <c r="J137" i="7"/>
  <c r="J109" i="7"/>
  <c r="J140" i="7"/>
  <c r="J170" i="7"/>
  <c r="J162" i="7"/>
  <c r="J97" i="7"/>
  <c r="J159" i="7"/>
  <c r="J89" i="7"/>
  <c r="J103" i="7"/>
  <c r="J148" i="7"/>
  <c r="J160" i="7"/>
  <c r="J87" i="7"/>
  <c r="J156" i="7"/>
  <c r="J121" i="7"/>
  <c r="J114" i="7"/>
  <c r="J146" i="7"/>
  <c r="J149" i="7"/>
  <c r="J98" i="7"/>
  <c r="J85" i="7"/>
  <c r="J155" i="7"/>
  <c r="J169" i="7"/>
  <c r="J91" i="7"/>
  <c r="J151" i="7"/>
  <c r="J84" i="7"/>
  <c r="J138" i="7"/>
  <c r="J166" i="7"/>
  <c r="J139" i="7"/>
  <c r="AI9" i="17"/>
  <c r="AH9" i="17" s="1"/>
  <c r="AI8" i="19"/>
  <c r="E164" i="7" l="1"/>
  <c r="F164" i="7" s="1"/>
  <c r="E165" i="7"/>
  <c r="F165" i="7" s="1"/>
  <c r="E168" i="7"/>
  <c r="F168" i="7" s="1"/>
  <c r="E169" i="7"/>
  <c r="F169" i="7" s="1"/>
  <c r="E167" i="7"/>
  <c r="F167" i="7" s="1"/>
  <c r="AH19" i="19"/>
  <c r="AX19" i="19"/>
  <c r="AT13" i="17"/>
  <c r="E162" i="7"/>
  <c r="F162" i="7" s="1"/>
  <c r="G169" i="7" s="1"/>
  <c r="AT24" i="17"/>
  <c r="BI24" i="17"/>
  <c r="E163" i="7"/>
  <c r="F163" i="7" s="1"/>
  <c r="AT25" i="17"/>
  <c r="BI25" i="17"/>
  <c r="AH12" i="19"/>
  <c r="AT17" i="17"/>
  <c r="AT9" i="17"/>
  <c r="AU9" i="17"/>
  <c r="A12" i="17"/>
  <c r="H31" i="17"/>
  <c r="AP13" i="17"/>
  <c r="D309" i="7"/>
  <c r="E309" i="7" s="1"/>
  <c r="D310" i="7"/>
  <c r="A310" i="7" s="1"/>
  <c r="P33" i="13"/>
  <c r="AI16" i="17"/>
  <c r="AX16" i="17" s="1"/>
  <c r="AI21" i="17"/>
  <c r="AH21" i="17" s="1"/>
  <c r="AT21" i="17" s="1"/>
  <c r="BH13" i="17"/>
  <c r="AI22" i="17"/>
  <c r="AX22" i="17" s="1"/>
  <c r="A10" i="17"/>
  <c r="C5" i="11"/>
  <c r="A12" i="11" s="1"/>
  <c r="C306" i="7"/>
  <c r="E306" i="7" s="1"/>
  <c r="D311" i="7"/>
  <c r="E311" i="7" s="1"/>
  <c r="G39" i="19"/>
  <c r="BF24" i="17"/>
  <c r="AS13" i="17"/>
  <c r="AM24" i="17"/>
  <c r="AZ24" i="17"/>
  <c r="AO13" i="17"/>
  <c r="AP24" i="17"/>
  <c r="BG13" i="17"/>
  <c r="AK13" i="17"/>
  <c r="AN24" i="17"/>
  <c r="BF13" i="17"/>
  <c r="AR13" i="17"/>
  <c r="AS24" i="17"/>
  <c r="AS25" i="17"/>
  <c r="BJ25" i="17"/>
  <c r="AO24" i="17"/>
  <c r="BB24" i="17"/>
  <c r="BA24" i="17"/>
  <c r="AN13" i="17"/>
  <c r="AQ13" i="17"/>
  <c r="BD24" i="17"/>
  <c r="AL13" i="17"/>
  <c r="AR24" i="17"/>
  <c r="BE24" i="17"/>
  <c r="AI14" i="17"/>
  <c r="AJ13" i="17"/>
  <c r="BG24" i="17"/>
  <c r="AZ13" i="17"/>
  <c r="AM13" i="17"/>
  <c r="AI24" i="17"/>
  <c r="AX24" i="17" s="1"/>
  <c r="AW18" i="19"/>
  <c r="BL21" i="19"/>
  <c r="BL12" i="19"/>
  <c r="AW22" i="19"/>
  <c r="BL10" i="19"/>
  <c r="AW17" i="19"/>
  <c r="AW10" i="19"/>
  <c r="AW20" i="19"/>
  <c r="BL17" i="19"/>
  <c r="BL23" i="19"/>
  <c r="AW23" i="19"/>
  <c r="BL18" i="19"/>
  <c r="AW16" i="19"/>
  <c r="BL15" i="19"/>
  <c r="AW21" i="19"/>
  <c r="AW13" i="19"/>
  <c r="AW14" i="19"/>
  <c r="BL13" i="19"/>
  <c r="BL19" i="19"/>
  <c r="AW15" i="19"/>
  <c r="BL9" i="19"/>
  <c r="AW12" i="19"/>
  <c r="BL14" i="19"/>
  <c r="BL20" i="19"/>
  <c r="BL16" i="19"/>
  <c r="AW9" i="19"/>
  <c r="BL11" i="19"/>
  <c r="AW19" i="19"/>
  <c r="BL22" i="19"/>
  <c r="AW11" i="19"/>
  <c r="X22" i="11"/>
  <c r="M22" i="11" s="1"/>
  <c r="Z22" i="11"/>
  <c r="X23" i="11"/>
  <c r="M23" i="11" s="1"/>
  <c r="X21" i="11"/>
  <c r="M21" i="11" s="1"/>
  <c r="Z21" i="11"/>
  <c r="Z23" i="11"/>
  <c r="Z20" i="11"/>
  <c r="X20" i="11"/>
  <c r="M20" i="11" s="1"/>
  <c r="Y15" i="11"/>
  <c r="Z15" i="11" s="1"/>
  <c r="Y19" i="11"/>
  <c r="W14" i="11"/>
  <c r="W19" i="11"/>
  <c r="W15" i="11"/>
  <c r="Y14" i="11"/>
  <c r="Z14" i="11" s="1"/>
  <c r="W18" i="11"/>
  <c r="Y18" i="11"/>
  <c r="Z18" i="11" s="1"/>
  <c r="Y17" i="11"/>
  <c r="Z17" i="11" s="1"/>
  <c r="W17" i="11"/>
  <c r="Y16" i="11"/>
  <c r="Z16" i="11" s="1"/>
  <c r="W16" i="11"/>
  <c r="Z13" i="11"/>
  <c r="AH8" i="19"/>
  <c r="AP8" i="19" s="1"/>
  <c r="X13" i="11"/>
  <c r="M13" i="11" s="1"/>
  <c r="K42" i="19"/>
  <c r="AH21" i="19"/>
  <c r="H29" i="19"/>
  <c r="V24" i="19"/>
  <c r="F32" i="19" s="1"/>
  <c r="C302" i="7"/>
  <c r="A302" i="7" s="1"/>
  <c r="J106" i="7"/>
  <c r="J141" i="7"/>
  <c r="J102" i="7"/>
  <c r="J82" i="7"/>
  <c r="J144" i="7"/>
  <c r="J152" i="7"/>
  <c r="J124" i="7"/>
  <c r="J163" i="7"/>
  <c r="J128" i="7"/>
  <c r="J125" i="7"/>
  <c r="J134" i="7"/>
  <c r="E166" i="7"/>
  <c r="F166" i="7" s="1"/>
  <c r="J88" i="7"/>
  <c r="J168" i="7"/>
  <c r="J112" i="7"/>
  <c r="J161" i="7"/>
  <c r="J94" i="7"/>
  <c r="J123" i="7"/>
  <c r="J135" i="7"/>
  <c r="J157" i="7"/>
  <c r="J153" i="7"/>
  <c r="J129" i="7"/>
  <c r="J127" i="7"/>
  <c r="C305" i="7"/>
  <c r="A305" i="7" s="1"/>
  <c r="J105" i="7"/>
  <c r="J115" i="7"/>
  <c r="J117" i="7"/>
  <c r="J99" i="7"/>
  <c r="J145" i="7"/>
  <c r="J110" i="7"/>
  <c r="J147" i="7"/>
  <c r="J93" i="7"/>
  <c r="J122" i="7"/>
  <c r="J143" i="7"/>
  <c r="J167" i="7"/>
  <c r="J83" i="7"/>
  <c r="J171" i="7"/>
  <c r="J111" i="7"/>
  <c r="J113" i="7"/>
  <c r="J136" i="7"/>
  <c r="J116" i="7"/>
  <c r="J108" i="7"/>
  <c r="J107" i="7"/>
  <c r="J133" i="7"/>
  <c r="J104" i="7"/>
  <c r="D307" i="7"/>
  <c r="E307" i="7" s="1"/>
  <c r="F307" i="7" s="1"/>
  <c r="G40" i="17" s="1"/>
  <c r="F22" i="21" s="1"/>
  <c r="AU8" i="17"/>
  <c r="AT8" i="17"/>
  <c r="AM25" i="17"/>
  <c r="AU25" i="17"/>
  <c r="AY13" i="17"/>
  <c r="AU13" i="17"/>
  <c r="AM21" i="17"/>
  <c r="AU21" i="17"/>
  <c r="AI23" i="17"/>
  <c r="AX23" i="17" s="1"/>
  <c r="AI15" i="17"/>
  <c r="AH15" i="17" s="1"/>
  <c r="AT15" i="17"/>
  <c r="AU15" i="17"/>
  <c r="BH24" i="17"/>
  <c r="AU24" i="17"/>
  <c r="AX8" i="17"/>
  <c r="BC8" i="17" s="1"/>
  <c r="AI17" i="17"/>
  <c r="AH17" i="17" s="1"/>
  <c r="AO17" i="17" s="1"/>
  <c r="AK25" i="17"/>
  <c r="AJ24" i="17"/>
  <c r="AQ24" i="17"/>
  <c r="AK24" i="17"/>
  <c r="BC24" i="17"/>
  <c r="AL24" i="17"/>
  <c r="AS21" i="17"/>
  <c r="AH22" i="19"/>
  <c r="AH15" i="19"/>
  <c r="AX9" i="17"/>
  <c r="BH9" i="17" s="1"/>
  <c r="AS9" i="17"/>
  <c r="AI19" i="17"/>
  <c r="AX19" i="17" s="1"/>
  <c r="V26" i="17"/>
  <c r="A13" i="17" s="1"/>
  <c r="Y11" i="11"/>
  <c r="Z11" i="11" s="1"/>
  <c r="W11" i="11"/>
  <c r="T8" i="11"/>
  <c r="AL8" i="17"/>
  <c r="W10" i="11"/>
  <c r="L10" i="11" s="1"/>
  <c r="AQ9" i="17"/>
  <c r="BH25" i="17"/>
  <c r="BE25" i="17"/>
  <c r="AR17" i="17"/>
  <c r="AK9" i="17"/>
  <c r="AN25" i="17"/>
  <c r="AN9" i="17"/>
  <c r="AO25" i="17"/>
  <c r="BD25" i="17"/>
  <c r="BG25" i="17"/>
  <c r="AR9" i="17"/>
  <c r="AR25" i="17"/>
  <c r="AM9" i="17"/>
  <c r="AH14" i="19"/>
  <c r="AL25" i="17"/>
  <c r="AY25" i="17"/>
  <c r="AO9" i="17"/>
  <c r="AZ25" i="17"/>
  <c r="AQ25" i="17"/>
  <c r="AJ25" i="17"/>
  <c r="BC25" i="17"/>
  <c r="AI16" i="19"/>
  <c r="AX16" i="19" s="1"/>
  <c r="AI25" i="17"/>
  <c r="AX25" i="17" s="1"/>
  <c r="AP25" i="17"/>
  <c r="AP9" i="17"/>
  <c r="AL9" i="17"/>
  <c r="BB25" i="17"/>
  <c r="BA25" i="17"/>
  <c r="BF25" i="17"/>
  <c r="AJ9" i="17"/>
  <c r="A10" i="19"/>
  <c r="AH23" i="19"/>
  <c r="D303" i="7"/>
  <c r="A303" i="7" s="1"/>
  <c r="D304" i="7"/>
  <c r="A304" i="7" s="1"/>
  <c r="AX8" i="19"/>
  <c r="E22" i="21"/>
  <c r="E310" i="7"/>
  <c r="F310" i="7" s="1"/>
  <c r="G310" i="7" s="1"/>
  <c r="AR8" i="17"/>
  <c r="AM8" i="17"/>
  <c r="AP8" i="17"/>
  <c r="AS8" i="17"/>
  <c r="AC17" i="13"/>
  <c r="AH11" i="19"/>
  <c r="D301" i="7"/>
  <c r="L34" i="17"/>
  <c r="AI12" i="17"/>
  <c r="AI11" i="17"/>
  <c r="AI17" i="19"/>
  <c r="AX17" i="19" s="1"/>
  <c r="AI10" i="19"/>
  <c r="AX10" i="19" s="1"/>
  <c r="AI9" i="19"/>
  <c r="AX9" i="19" s="1"/>
  <c r="AI20" i="17"/>
  <c r="AI18" i="19"/>
  <c r="AX18" i="19" s="1"/>
  <c r="AJ8" i="17"/>
  <c r="AK8" i="17"/>
  <c r="C308" i="7"/>
  <c r="W12" i="11"/>
  <c r="L12" i="11" s="1"/>
  <c r="Y12" i="11"/>
  <c r="Z12" i="11" s="1"/>
  <c r="W9" i="11"/>
  <c r="L9" i="11" s="1"/>
  <c r="Y9" i="11"/>
  <c r="Z9" i="11" s="1"/>
  <c r="F35" i="21"/>
  <c r="F32" i="21"/>
  <c r="F40" i="21"/>
  <c r="F33" i="21"/>
  <c r="F41" i="21"/>
  <c r="F31" i="21"/>
  <c r="F36" i="21"/>
  <c r="F34" i="21"/>
  <c r="F39" i="21"/>
  <c r="AH20" i="19"/>
  <c r="AH13" i="19"/>
  <c r="AY24" i="17"/>
  <c r="AI10" i="17"/>
  <c r="AI18" i="17"/>
  <c r="AX13" i="17"/>
  <c r="BJ13" i="17" s="1"/>
  <c r="F37" i="21"/>
  <c r="F38" i="21"/>
  <c r="AN15" i="17" l="1"/>
  <c r="AJ15" i="17"/>
  <c r="AM15" i="17"/>
  <c r="AS15" i="17"/>
  <c r="AK15" i="17"/>
  <c r="AL15" i="17"/>
  <c r="AO15" i="17"/>
  <c r="AS17" i="17"/>
  <c r="AN17" i="17"/>
  <c r="AU17" i="17"/>
  <c r="AR21" i="17"/>
  <c r="AK21" i="17"/>
  <c r="AO21" i="17"/>
  <c r="AN21" i="17"/>
  <c r="AP21" i="17"/>
  <c r="AJ21" i="17"/>
  <c r="AQ21" i="17"/>
  <c r="AL21" i="17"/>
  <c r="AL17" i="17"/>
  <c r="AK17" i="17"/>
  <c r="BE17" i="17"/>
  <c r="AM17" i="17"/>
  <c r="AQ17" i="17"/>
  <c r="AP17" i="17"/>
  <c r="AJ17" i="17"/>
  <c r="BC17" i="17"/>
  <c r="AP15" i="17"/>
  <c r="AQ15" i="17"/>
  <c r="AR15" i="17"/>
  <c r="AV15" i="17" s="1"/>
  <c r="AW15" i="17" s="1"/>
  <c r="BI15" i="17" s="1"/>
  <c r="BA13" i="17"/>
  <c r="BC13" i="17"/>
  <c r="BE13" i="17"/>
  <c r="BD13" i="17"/>
  <c r="BB13" i="17"/>
  <c r="G165" i="7"/>
  <c r="G166" i="7"/>
  <c r="G163" i="7"/>
  <c r="G161" i="7"/>
  <c r="AH16" i="19"/>
  <c r="G168" i="7"/>
  <c r="G164" i="7"/>
  <c r="G162" i="7"/>
  <c r="BF9" i="17"/>
  <c r="AZ9" i="17"/>
  <c r="AY9" i="17"/>
  <c r="BJ9" i="17"/>
  <c r="A309" i="7"/>
  <c r="AX21" i="17"/>
  <c r="AH16" i="17"/>
  <c r="AH24" i="17"/>
  <c r="A311" i="7"/>
  <c r="AH22" i="17"/>
  <c r="AH19" i="17"/>
  <c r="A306" i="7"/>
  <c r="A307" i="7"/>
  <c r="AH14" i="17"/>
  <c r="AX14" i="17"/>
  <c r="AX15" i="17"/>
  <c r="AX17" i="17"/>
  <c r="AZ17" i="17" s="1"/>
  <c r="AV13" i="17"/>
  <c r="AW13" i="17" s="1"/>
  <c r="BI13" i="17" s="1"/>
  <c r="BK13" i="17" s="1"/>
  <c r="BL13" i="17" s="1"/>
  <c r="X17" i="11"/>
  <c r="L17" i="11"/>
  <c r="X18" i="11"/>
  <c r="L18" i="11"/>
  <c r="X11" i="11"/>
  <c r="L11" i="11"/>
  <c r="X15" i="11"/>
  <c r="L15" i="11"/>
  <c r="X16" i="11"/>
  <c r="L16" i="11"/>
  <c r="X19" i="11"/>
  <c r="L19" i="11"/>
  <c r="X14" i="11"/>
  <c r="L14" i="11"/>
  <c r="BE8" i="17"/>
  <c r="Z19" i="11"/>
  <c r="AE64" i="21"/>
  <c r="E302" i="7"/>
  <c r="F302" i="7" s="1"/>
  <c r="BC8" i="19"/>
  <c r="AK8" i="19"/>
  <c r="AJ8" i="19"/>
  <c r="AT8" i="19" s="1"/>
  <c r="AS8" i="19"/>
  <c r="AR8" i="19"/>
  <c r="AM8" i="19"/>
  <c r="AN8" i="19"/>
  <c r="AQ8" i="19"/>
  <c r="X10" i="11"/>
  <c r="M10" i="11" s="1"/>
  <c r="X9" i="11"/>
  <c r="M9" i="11" s="1"/>
  <c r="S26" i="19"/>
  <c r="P26" i="19"/>
  <c r="U26" i="19"/>
  <c r="L26" i="19"/>
  <c r="R26" i="19"/>
  <c r="O26" i="19"/>
  <c r="N26" i="19"/>
  <c r="AY8" i="17"/>
  <c r="BB8" i="17"/>
  <c r="BF8" i="17"/>
  <c r="AZ8" i="17"/>
  <c r="BG8" i="17"/>
  <c r="BH8" i="17"/>
  <c r="BD8" i="17"/>
  <c r="BJ8" i="17"/>
  <c r="F14" i="21"/>
  <c r="X12" i="11"/>
  <c r="M12" i="11" s="1"/>
  <c r="Q26" i="19"/>
  <c r="K26" i="19"/>
  <c r="M26" i="19"/>
  <c r="J26" i="19"/>
  <c r="A12" i="19"/>
  <c r="BB8" i="19"/>
  <c r="G167" i="7"/>
  <c r="F21" i="21"/>
  <c r="E305" i="7"/>
  <c r="F305" i="7" s="1"/>
  <c r="G38" i="17" s="1"/>
  <c r="E303" i="7"/>
  <c r="H303" i="7" s="1"/>
  <c r="BK24" i="17"/>
  <c r="BL24" i="17" s="1"/>
  <c r="BK25" i="17"/>
  <c r="BL25" i="17" s="1"/>
  <c r="M28" i="17"/>
  <c r="E304" i="7"/>
  <c r="F304" i="7" s="1"/>
  <c r="AH23" i="17"/>
  <c r="AV24" i="17"/>
  <c r="AW24" i="17" s="1"/>
  <c r="BG8" i="19"/>
  <c r="AH9" i="19"/>
  <c r="BC9" i="17"/>
  <c r="BB9" i="17"/>
  <c r="BE9" i="17"/>
  <c r="BA9" i="17"/>
  <c r="BG9" i="17"/>
  <c r="BD9" i="17"/>
  <c r="F34" i="17"/>
  <c r="S28" i="17"/>
  <c r="L28" i="17"/>
  <c r="K28" i="17"/>
  <c r="N28" i="17"/>
  <c r="Q28" i="17"/>
  <c r="O28" i="17"/>
  <c r="P28" i="17"/>
  <c r="R28" i="17"/>
  <c r="J28" i="17"/>
  <c r="T28" i="17"/>
  <c r="F18" i="21"/>
  <c r="AN8" i="17"/>
  <c r="AO8" i="19"/>
  <c r="BA8" i="17"/>
  <c r="BJ8" i="19"/>
  <c r="AU8" i="19"/>
  <c r="AL8" i="19"/>
  <c r="Y10" i="11"/>
  <c r="AB64" i="21" s="1"/>
  <c r="W8" i="11"/>
  <c r="L8" i="11" s="1"/>
  <c r="BD8" i="19"/>
  <c r="AQ8" i="17"/>
  <c r="BF8" i="19"/>
  <c r="Y8" i="11"/>
  <c r="Z8" i="11" s="1"/>
  <c r="AO8" i="17"/>
  <c r="AV25" i="17"/>
  <c r="AW25" i="17" s="1"/>
  <c r="AV9" i="17"/>
  <c r="AW9" i="17" s="1"/>
  <c r="BI9" i="17" s="1"/>
  <c r="AH25" i="17"/>
  <c r="AY8" i="19"/>
  <c r="BI8" i="19" s="1"/>
  <c r="BA8" i="19"/>
  <c r="BH8" i="19"/>
  <c r="AZ8" i="19"/>
  <c r="BE8" i="19"/>
  <c r="G307" i="7"/>
  <c r="G38" i="19"/>
  <c r="H307" i="7"/>
  <c r="H310" i="7"/>
  <c r="AH18" i="19"/>
  <c r="AX20" i="17"/>
  <c r="AH20" i="17"/>
  <c r="A301" i="7"/>
  <c r="E301" i="7"/>
  <c r="AH10" i="19"/>
  <c r="AH12" i="17"/>
  <c r="AT12" i="17" s="1"/>
  <c r="AX12" i="17"/>
  <c r="AH17" i="19"/>
  <c r="AH11" i="17"/>
  <c r="AT11" i="17" s="1"/>
  <c r="AX11" i="17"/>
  <c r="F309" i="7"/>
  <c r="G309" i="7" s="1"/>
  <c r="H309" i="7"/>
  <c r="E308" i="7"/>
  <c r="A308" i="7"/>
  <c r="F19" i="21"/>
  <c r="F306" i="7"/>
  <c r="G306" i="7" s="1"/>
  <c r="H306" i="7"/>
  <c r="H311" i="7"/>
  <c r="F311" i="7"/>
  <c r="G311" i="7" s="1"/>
  <c r="H41" i="17" s="1"/>
  <c r="AH10" i="17"/>
  <c r="AT10" i="17" s="1"/>
  <c r="AX10" i="17"/>
  <c r="AH18" i="17"/>
  <c r="AX18" i="17"/>
  <c r="F42" i="21"/>
  <c r="G31" i="21" s="1"/>
  <c r="BF21" i="17" l="1"/>
  <c r="AY21" i="17"/>
  <c r="BJ21" i="17"/>
  <c r="AV21" i="17"/>
  <c r="AW21" i="17" s="1"/>
  <c r="BI21" i="17" s="1"/>
  <c r="AY17" i="17"/>
  <c r="AZ21" i="17"/>
  <c r="BH21" i="17"/>
  <c r="BD21" i="17"/>
  <c r="BE21" i="17"/>
  <c r="BJ23" i="17"/>
  <c r="BF23" i="17"/>
  <c r="BE23" i="17"/>
  <c r="AU23" i="17"/>
  <c r="BA23" i="17"/>
  <c r="AZ23" i="17"/>
  <c r="AN23" i="17"/>
  <c r="AJ23" i="17"/>
  <c r="AM23" i="17"/>
  <c r="AY23" i="17"/>
  <c r="BD23" i="17"/>
  <c r="BG23" i="17"/>
  <c r="BB23" i="17"/>
  <c r="AS23" i="17"/>
  <c r="AO23" i="17"/>
  <c r="AP23" i="17"/>
  <c r="AK23" i="17"/>
  <c r="BC23" i="17"/>
  <c r="AL23" i="17"/>
  <c r="AQ23" i="17"/>
  <c r="BH23" i="17"/>
  <c r="AR23" i="17"/>
  <c r="AT23" i="17"/>
  <c r="AV17" i="17"/>
  <c r="AW17" i="17" s="1"/>
  <c r="BI17" i="17" s="1"/>
  <c r="AS22" i="17"/>
  <c r="AZ22" i="17"/>
  <c r="AQ22" i="17"/>
  <c r="BJ22" i="17"/>
  <c r="BG22" i="17"/>
  <c r="BA22" i="17"/>
  <c r="AR22" i="17"/>
  <c r="BH22" i="17"/>
  <c r="AT22" i="17"/>
  <c r="AM22" i="17"/>
  <c r="AK22" i="17"/>
  <c r="AU22" i="17"/>
  <c r="BD22" i="17"/>
  <c r="BE22" i="17"/>
  <c r="BF22" i="17"/>
  <c r="BC22" i="17"/>
  <c r="AO22" i="17"/>
  <c r="BB22" i="17"/>
  <c r="AY22" i="17"/>
  <c r="AP22" i="17"/>
  <c r="AN22" i="17"/>
  <c r="AL22" i="17"/>
  <c r="AJ22" i="17"/>
  <c r="BC21" i="17"/>
  <c r="BA21" i="17"/>
  <c r="BB21" i="17"/>
  <c r="BG21" i="17"/>
  <c r="BJ20" i="17"/>
  <c r="AS20" i="17"/>
  <c r="BD20" i="17"/>
  <c r="AZ20" i="17"/>
  <c r="BA20" i="17"/>
  <c r="AN20" i="17"/>
  <c r="BG20" i="17"/>
  <c r="AO20" i="17"/>
  <c r="AK20" i="17"/>
  <c r="BC20" i="17"/>
  <c r="AR20" i="17"/>
  <c r="AQ20" i="17"/>
  <c r="AY20" i="17"/>
  <c r="AP20" i="17"/>
  <c r="BF20" i="17"/>
  <c r="AM20" i="17"/>
  <c r="AU20" i="17"/>
  <c r="BE20" i="17"/>
  <c r="BH20" i="17"/>
  <c r="AJ20" i="17"/>
  <c r="AL20" i="17"/>
  <c r="BB20" i="17"/>
  <c r="AT20" i="17"/>
  <c r="BJ19" i="17"/>
  <c r="AK19" i="17"/>
  <c r="BD19" i="17"/>
  <c r="BC19" i="17"/>
  <c r="AM19" i="17"/>
  <c r="AN19" i="17"/>
  <c r="AO19" i="17"/>
  <c r="BH19" i="17"/>
  <c r="BG19" i="17"/>
  <c r="BA19" i="17"/>
  <c r="AQ19" i="17"/>
  <c r="BF19" i="17"/>
  <c r="BB19" i="17"/>
  <c r="AY19" i="17"/>
  <c r="AS19" i="17"/>
  <c r="AZ19" i="17"/>
  <c r="AJ19" i="17"/>
  <c r="AL19" i="17"/>
  <c r="AP19" i="17"/>
  <c r="AT19" i="17"/>
  <c r="BE19" i="17"/>
  <c r="AR19" i="17"/>
  <c r="AU19" i="17"/>
  <c r="BJ18" i="17"/>
  <c r="AM18" i="17"/>
  <c r="BH18" i="17"/>
  <c r="AL18" i="17"/>
  <c r="AU18" i="17"/>
  <c r="AS18" i="17"/>
  <c r="AJ18" i="17"/>
  <c r="BB18" i="17"/>
  <c r="BC18" i="17"/>
  <c r="BF18" i="17"/>
  <c r="AR18" i="17"/>
  <c r="BE18" i="17"/>
  <c r="AP18" i="17"/>
  <c r="AY18" i="17"/>
  <c r="AO18" i="17"/>
  <c r="BD18" i="17"/>
  <c r="AQ18" i="17"/>
  <c r="AN18" i="17"/>
  <c r="BA18" i="17"/>
  <c r="AK18" i="17"/>
  <c r="BG18" i="17"/>
  <c r="AZ18" i="17"/>
  <c r="AT18" i="17"/>
  <c r="BD17" i="17"/>
  <c r="BG17" i="17"/>
  <c r="BA17" i="17"/>
  <c r="BH17" i="17"/>
  <c r="BF17" i="17"/>
  <c r="BB17" i="17"/>
  <c r="BJ17" i="17"/>
  <c r="BJ16" i="17"/>
  <c r="AL16" i="17"/>
  <c r="BF16" i="17"/>
  <c r="BD16" i="17"/>
  <c r="AS16" i="17"/>
  <c r="BA16" i="17"/>
  <c r="AM16" i="17"/>
  <c r="BB16" i="17"/>
  <c r="AP16" i="17"/>
  <c r="AT16" i="17"/>
  <c r="BH16" i="17"/>
  <c r="AO16" i="17"/>
  <c r="AK16" i="17"/>
  <c r="AY16" i="17"/>
  <c r="AZ16" i="17"/>
  <c r="BC16" i="17"/>
  <c r="AJ16" i="17"/>
  <c r="AR16" i="17"/>
  <c r="BG16" i="17"/>
  <c r="BE16" i="17"/>
  <c r="AU16" i="17"/>
  <c r="AN16" i="17"/>
  <c r="AQ16" i="17"/>
  <c r="BH15" i="17"/>
  <c r="BD15" i="17"/>
  <c r="BE15" i="17"/>
  <c r="AY15" i="17"/>
  <c r="BC15" i="17"/>
  <c r="AZ15" i="17"/>
  <c r="BA15" i="17"/>
  <c r="BF15" i="17"/>
  <c r="BB15" i="17"/>
  <c r="BG15" i="17"/>
  <c r="BJ15" i="17"/>
  <c r="AQ14" i="17"/>
  <c r="BC14" i="17"/>
  <c r="AM14" i="17"/>
  <c r="BH14" i="17"/>
  <c r="AJ14" i="17"/>
  <c r="BD14" i="17"/>
  <c r="BG14" i="17"/>
  <c r="BA14" i="17"/>
  <c r="AP14" i="17"/>
  <c r="AR14" i="17"/>
  <c r="BF14" i="17"/>
  <c r="AZ14" i="17"/>
  <c r="AK14" i="17"/>
  <c r="AO14" i="17"/>
  <c r="AS14" i="17"/>
  <c r="BB14" i="17"/>
  <c r="AN14" i="17"/>
  <c r="AL14" i="17"/>
  <c r="AY14" i="17"/>
  <c r="AU14" i="17"/>
  <c r="BJ14" i="17"/>
  <c r="AT14" i="17"/>
  <c r="BE14" i="17"/>
  <c r="BJ12" i="17"/>
  <c r="BB12" i="17"/>
  <c r="AY12" i="17"/>
  <c r="BD12" i="17"/>
  <c r="AL12" i="17"/>
  <c r="AU12" i="17"/>
  <c r="BE12" i="17"/>
  <c r="AR12" i="17"/>
  <c r="AN12" i="17"/>
  <c r="BA12" i="17"/>
  <c r="BC12" i="17"/>
  <c r="AQ12" i="17"/>
  <c r="AM12" i="17"/>
  <c r="BG12" i="17"/>
  <c r="AK12" i="17"/>
  <c r="AJ12" i="17"/>
  <c r="AO12" i="17"/>
  <c r="BF12" i="17"/>
  <c r="BH12" i="17"/>
  <c r="AP12" i="17"/>
  <c r="AZ12" i="17"/>
  <c r="AS12" i="17"/>
  <c r="BJ11" i="17"/>
  <c r="AK11" i="17"/>
  <c r="BG11" i="17"/>
  <c r="AU11" i="17"/>
  <c r="AQ11" i="17"/>
  <c r="AN11" i="17"/>
  <c r="AM11" i="17"/>
  <c r="BE11" i="17"/>
  <c r="AO11" i="17"/>
  <c r="AY11" i="17"/>
  <c r="BA11" i="17"/>
  <c r="BB11" i="17"/>
  <c r="AR11" i="17"/>
  <c r="BH11" i="17"/>
  <c r="BD11" i="17"/>
  <c r="AS11" i="17"/>
  <c r="AL11" i="17"/>
  <c r="AZ11" i="17"/>
  <c r="BF11" i="17"/>
  <c r="AP11" i="17"/>
  <c r="BC11" i="17"/>
  <c r="AJ11" i="17"/>
  <c r="BJ10" i="17"/>
  <c r="AR10" i="17"/>
  <c r="BB10" i="17"/>
  <c r="AS10" i="17"/>
  <c r="AZ10" i="17"/>
  <c r="AP10" i="17"/>
  <c r="BF10" i="17"/>
  <c r="BC10" i="17"/>
  <c r="BH10" i="17"/>
  <c r="AL10" i="17"/>
  <c r="BD10" i="17"/>
  <c r="AO10" i="17"/>
  <c r="AY10" i="17"/>
  <c r="AM10" i="17"/>
  <c r="AN10" i="17"/>
  <c r="BE10" i="17"/>
  <c r="BA10" i="17"/>
  <c r="AQ10" i="17"/>
  <c r="BG10" i="17"/>
  <c r="AU10" i="17"/>
  <c r="AK10" i="17"/>
  <c r="AJ10" i="17"/>
  <c r="Z64" i="21"/>
  <c r="M16" i="11"/>
  <c r="M19" i="11"/>
  <c r="M18" i="11"/>
  <c r="L24" i="11"/>
  <c r="M15" i="11"/>
  <c r="M14" i="11"/>
  <c r="M17" i="11"/>
  <c r="H302" i="7"/>
  <c r="F33" i="19" s="1"/>
  <c r="V64" i="21"/>
  <c r="G36" i="19"/>
  <c r="Y64" i="21"/>
  <c r="Z10" i="11"/>
  <c r="Z24" i="11" s="1"/>
  <c r="A33" i="11" s="1"/>
  <c r="X8" i="11"/>
  <c r="M8" i="11" s="1"/>
  <c r="G37" i="21"/>
  <c r="G40" i="21"/>
  <c r="G38" i="21"/>
  <c r="G33" i="19"/>
  <c r="G35" i="17"/>
  <c r="G305" i="7"/>
  <c r="H38" i="17" s="1"/>
  <c r="H305" i="7"/>
  <c r="F36" i="19" s="1"/>
  <c r="H304" i="7"/>
  <c r="F37" i="17" s="1"/>
  <c r="F303" i="7"/>
  <c r="G36" i="17" s="1"/>
  <c r="BK9" i="17"/>
  <c r="BL9" i="17" s="1"/>
  <c r="F34" i="19"/>
  <c r="F36" i="17"/>
  <c r="G39" i="21"/>
  <c r="W64" i="21"/>
  <c r="G41" i="21"/>
  <c r="AV8" i="17"/>
  <c r="AW8" i="17" s="1"/>
  <c r="AV8" i="19"/>
  <c r="AW8" i="19" s="1"/>
  <c r="W24" i="11"/>
  <c r="X64" i="21"/>
  <c r="Y24" i="11"/>
  <c r="A34" i="11" s="1"/>
  <c r="G35" i="21"/>
  <c r="G33" i="21"/>
  <c r="BK8" i="19"/>
  <c r="BL8" i="19" s="1"/>
  <c r="G32" i="21"/>
  <c r="F40" i="17"/>
  <c r="F38" i="19"/>
  <c r="H40" i="17"/>
  <c r="H38" i="19"/>
  <c r="F39" i="17"/>
  <c r="F37" i="19"/>
  <c r="G39" i="17"/>
  <c r="G37" i="19"/>
  <c r="G37" i="17"/>
  <c r="G35" i="19"/>
  <c r="H39" i="17"/>
  <c r="H37" i="19"/>
  <c r="F301" i="7"/>
  <c r="G301" i="7" s="1"/>
  <c r="H301" i="7"/>
  <c r="G36" i="21"/>
  <c r="G34" i="21"/>
  <c r="G304" i="7"/>
  <c r="H308" i="7"/>
  <c r="F308" i="7"/>
  <c r="G41" i="17" s="1"/>
  <c r="G302" i="7"/>
  <c r="M11" i="11"/>
  <c r="AV23" i="17" l="1"/>
  <c r="AW23" i="17" s="1"/>
  <c r="BI23" i="17" s="1"/>
  <c r="BK23" i="17" s="1"/>
  <c r="BL23" i="17" s="1"/>
  <c r="BK21" i="17"/>
  <c r="BL21" i="17" s="1"/>
  <c r="BK17" i="17"/>
  <c r="BL17" i="17" s="1"/>
  <c r="AV22" i="17"/>
  <c r="AW22" i="17" s="1"/>
  <c r="BI22" i="17" s="1"/>
  <c r="BK22" i="17" s="1"/>
  <c r="BL22" i="17" s="1"/>
  <c r="AV20" i="17"/>
  <c r="AW20" i="17" s="1"/>
  <c r="BI20" i="17" s="1"/>
  <c r="BK20" i="17" s="1"/>
  <c r="BL20" i="17" s="1"/>
  <c r="AV19" i="17"/>
  <c r="AW19" i="17" s="1"/>
  <c r="BI19" i="17" s="1"/>
  <c r="BK19" i="17" s="1"/>
  <c r="BL19" i="17" s="1"/>
  <c r="AV18" i="17"/>
  <c r="AW18" i="17" s="1"/>
  <c r="BI18" i="17" s="1"/>
  <c r="BK18" i="17" s="1"/>
  <c r="BL18" i="17" s="1"/>
  <c r="AV16" i="17"/>
  <c r="AW16" i="17" s="1"/>
  <c r="BI16" i="17" s="1"/>
  <c r="BK16" i="17" s="1"/>
  <c r="BL16" i="17" s="1"/>
  <c r="BK15" i="17"/>
  <c r="BL15" i="17" s="1"/>
  <c r="AV14" i="17"/>
  <c r="AW14" i="17" s="1"/>
  <c r="BI14" i="17" s="1"/>
  <c r="BK14" i="17" s="1"/>
  <c r="BL14" i="17" s="1"/>
  <c r="AV11" i="17"/>
  <c r="AW11" i="17" s="1"/>
  <c r="BI11" i="17" s="1"/>
  <c r="BK11" i="17" s="1"/>
  <c r="BL11" i="17" s="1"/>
  <c r="AV12" i="17"/>
  <c r="AW12" i="17" s="1"/>
  <c r="BI12" i="17" s="1"/>
  <c r="BK12" i="17" s="1"/>
  <c r="BL12" i="17" s="1"/>
  <c r="AV10" i="17"/>
  <c r="AW10" i="17" s="1"/>
  <c r="BI10" i="17" s="1"/>
  <c r="BK10" i="17" s="1"/>
  <c r="BL10" i="17" s="1"/>
  <c r="BI8" i="17"/>
  <c r="BK8" i="17" s="1"/>
  <c r="F35" i="17"/>
  <c r="F35" i="19"/>
  <c r="X24" i="11"/>
  <c r="M24" i="11" s="1"/>
  <c r="H36" i="19"/>
  <c r="G34" i="19"/>
  <c r="F38" i="17"/>
  <c r="G303" i="7"/>
  <c r="H34" i="19" s="1"/>
  <c r="F20" i="21"/>
  <c r="O13" i="6" s="1"/>
  <c r="P13" i="6" s="1"/>
  <c r="H33" i="19"/>
  <c r="L26" i="11"/>
  <c r="G33" i="11" s="1"/>
  <c r="H33" i="11" s="1"/>
  <c r="L25" i="11"/>
  <c r="H34" i="17"/>
  <c r="H32" i="19"/>
  <c r="F41" i="17"/>
  <c r="F39" i="19"/>
  <c r="H37" i="17"/>
  <c r="H35" i="19"/>
  <c r="F313" i="7"/>
  <c r="H35" i="17"/>
  <c r="G308" i="7"/>
  <c r="AW26" i="17" l="1"/>
  <c r="Q33" i="17" s="1"/>
  <c r="S33" i="17" s="1"/>
  <c r="AV26" i="17"/>
  <c r="BL8" i="17"/>
  <c r="BL26" i="17" s="1"/>
  <c r="V44" i="17" s="1"/>
  <c r="BK26" i="17"/>
  <c r="V45" i="17" s="1"/>
  <c r="F41" i="19"/>
  <c r="F43" i="17"/>
  <c r="H36" i="17"/>
  <c r="H43" i="17" s="1"/>
  <c r="G313" i="7"/>
  <c r="F17" i="21" s="1"/>
  <c r="BL24" i="19"/>
  <c r="V42" i="19" s="1"/>
  <c r="AW24" i="19"/>
  <c r="Q31" i="19" s="1"/>
  <c r="D30" i="19" s="1"/>
  <c r="BK24" i="19"/>
  <c r="V43" i="19" s="1"/>
  <c r="AV24" i="19"/>
  <c r="H41" i="19"/>
  <c r="L28" i="11"/>
  <c r="I33" i="11" s="1"/>
  <c r="H10" i="14" l="1"/>
  <c r="F19" i="14" s="1"/>
  <c r="G34" i="17"/>
  <c r="I34" i="11"/>
  <c r="B34" i="11" s="1"/>
  <c r="G34" i="11"/>
  <c r="H34" i="11" s="1"/>
  <c r="C31" i="11"/>
  <c r="F15" i="21"/>
  <c r="S31" i="19"/>
  <c r="S32" i="19" s="1"/>
  <c r="S33" i="19" s="1"/>
  <c r="F16" i="21"/>
  <c r="J20" i="21" s="1"/>
  <c r="B33" i="11"/>
  <c r="M33" i="11" s="1"/>
  <c r="J33" i="11"/>
  <c r="G43" i="17" l="1"/>
  <c r="L44" i="17" s="1"/>
  <c r="L45" i="17" s="1"/>
  <c r="M45" i="17" s="1"/>
  <c r="Q34" i="17"/>
  <c r="Q35" i="17" s="1"/>
  <c r="Q36" i="17" s="1"/>
  <c r="Q37" i="17" s="1"/>
  <c r="B12" i="14"/>
  <c r="H8" i="14"/>
  <c r="H9" i="14" s="1"/>
  <c r="F17" i="14"/>
  <c r="F46" i="17"/>
  <c r="S37" i="17" s="1"/>
  <c r="S36" i="17" s="1"/>
  <c r="N44" i="17"/>
  <c r="N45" i="17" s="1"/>
  <c r="O45" i="17" s="1"/>
  <c r="F23" i="21"/>
  <c r="F25" i="21" s="1"/>
  <c r="G25" i="21" s="1"/>
  <c r="J23" i="21"/>
  <c r="J22" i="21"/>
  <c r="J21" i="21"/>
  <c r="J34" i="11"/>
  <c r="L33" i="11"/>
  <c r="K33" i="11"/>
  <c r="W44" i="17" l="1"/>
  <c r="R44" i="17" s="1"/>
  <c r="M44" i="17"/>
  <c r="S34" i="17"/>
  <c r="S35" i="17" s="1"/>
  <c r="O44" i="17"/>
  <c r="T44" i="17"/>
  <c r="P44" i="17" s="1"/>
  <c r="M14" i="21"/>
  <c r="L14" i="21" s="1"/>
  <c r="F24" i="21"/>
  <c r="G24" i="21" s="1"/>
  <c r="T45" i="17"/>
  <c r="M15" i="21" l="1"/>
  <c r="L15" i="21" s="1"/>
  <c r="J19" i="21"/>
  <c r="J18" i="21" l="1"/>
  <c r="G32" i="19"/>
  <c r="F44" i="19" s="1"/>
  <c r="Q32" i="19"/>
  <c r="Q33" i="19" s="1"/>
  <c r="Q34" i="19" s="1"/>
  <c r="Q35" i="19" s="1"/>
  <c r="G41" i="19" l="1"/>
  <c r="L42" i="19" s="1"/>
  <c r="N42" i="19"/>
  <c r="N43" i="19" l="1"/>
  <c r="O43" i="19" s="1"/>
  <c r="U42" i="19"/>
  <c r="P42" i="19" s="1"/>
  <c r="O42" i="19"/>
  <c r="M42" i="19"/>
  <c r="L43" i="19"/>
  <c r="M43" i="19" s="1"/>
  <c r="U43" i="19" s="1"/>
  <c r="W42" i="19"/>
  <c r="R42"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Derek Noronha</author>
    <author>narendra.nath</author>
  </authors>
  <commentList>
    <comment ref="H7" authorId="0" shapeId="0" xr:uid="{00000000-0006-0000-0300-000001000000}">
      <text>
        <r>
          <rPr>
            <b/>
            <sz val="9"/>
            <color indexed="81"/>
            <rFont val="Tahoma"/>
            <family val="2"/>
          </rPr>
          <t>Country is set default to the Organisation selected in the mainsheet. If the resources working on the task belong to a different country - Please select accordingly.</t>
        </r>
      </text>
    </comment>
    <comment ref="I7" authorId="0" shapeId="0" xr:uid="{00000000-0006-0000-03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Q34" authorId="1" shapeId="0" xr:uid="{5CE92F00-53A7-42EC-8782-6DAF7095080E}">
      <text>
        <r>
          <rPr>
            <sz val="9"/>
            <color indexed="81"/>
            <rFont val="Calibri"/>
            <family val="2"/>
            <scheme val="minor"/>
          </rPr>
          <t>Defaults to Standard Fee. Change Proposed Fee to calculate Recovery %.</t>
        </r>
      </text>
    </comment>
    <comment ref="S37" authorId="1" shapeId="0" xr:uid="{00000000-0006-0000-0300-000004000000}">
      <text>
        <r>
          <rPr>
            <b/>
            <sz val="9"/>
            <color indexed="81"/>
            <rFont val="Calibri"/>
            <family val="2"/>
            <scheme val="minor"/>
          </rPr>
          <t>Defaults to 100%. Change Recovery % to calculate Proposed Fee.</t>
        </r>
      </text>
    </comment>
    <comment ref="P43" authorId="0" shapeId="0" xr:uid="{00000000-0006-0000-0300-000005000000}">
      <text>
        <r>
          <rPr>
            <sz val="9"/>
            <color indexed="81"/>
            <rFont val="Calibri"/>
            <family val="2"/>
            <scheme val="minor"/>
          </rPr>
          <t>On Net Fee</t>
        </r>
      </text>
    </comment>
    <comment ref="R43" authorId="0" shapeId="0" xr:uid="{5F73075C-1D32-49DB-A843-15CCB4EE2FA6}">
      <text>
        <r>
          <rPr>
            <sz val="9"/>
            <color indexed="81"/>
            <rFont val="Calibri"/>
            <family val="2"/>
            <scheme val="minor"/>
          </rPr>
          <t>On Gross Fee less Non-billable OPEs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Derek Noronha</author>
    <author>narendra.nath</author>
  </authors>
  <commentList>
    <comment ref="H7" authorId="0" shapeId="0" xr:uid="{00000000-0006-0000-0400-000001000000}">
      <text>
        <r>
          <rPr>
            <b/>
            <sz val="9"/>
            <color indexed="81"/>
            <rFont val="Tahoma"/>
            <family val="2"/>
          </rPr>
          <t>Country is set default to the Organisation selected in the mainsheet. If the resources working on the task belong to a different country - Please select accordingly.</t>
        </r>
      </text>
    </comment>
    <comment ref="I7" authorId="0" shapeId="0" xr:uid="{00000000-0006-0000-04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Q32" authorId="1" shapeId="0" xr:uid="{00000000-0006-0000-0400-000003000000}">
      <text>
        <r>
          <rPr>
            <sz val="9"/>
            <color indexed="81"/>
            <rFont val="Calibri"/>
            <family val="2"/>
            <scheme val="minor"/>
          </rPr>
          <t>Defaults to Standard Fee. Change Proposed Fee to calculate Recovery %.</t>
        </r>
      </text>
    </comment>
    <comment ref="S35" authorId="1" shapeId="0" xr:uid="{00000000-0006-0000-0400-000004000000}">
      <text>
        <r>
          <rPr>
            <b/>
            <sz val="9"/>
            <color indexed="81"/>
            <rFont val="Calibri"/>
            <family val="2"/>
            <scheme val="minor"/>
          </rPr>
          <t>Defaults to 100%. Change Recovery % to calculate Proposed Fee.</t>
        </r>
      </text>
    </comment>
    <comment ref="P41" authorId="0" shapeId="0" xr:uid="{25DB72F0-2FA4-44AE-8789-971799168C00}">
      <text>
        <r>
          <rPr>
            <sz val="9"/>
            <color indexed="81"/>
            <rFont val="Calibri"/>
            <family val="2"/>
            <scheme val="minor"/>
          </rPr>
          <t>On Net Fee</t>
        </r>
      </text>
    </comment>
    <comment ref="R41" authorId="0" shapeId="0" xr:uid="{AAB5DE7E-C9E0-4810-92FE-1FCA06D97731}">
      <text>
        <r>
          <rPr>
            <sz val="9"/>
            <color indexed="81"/>
            <rFont val="Calibri"/>
            <family val="2"/>
            <scheme val="minor"/>
          </rPr>
          <t>On Gross Fee less Non-billable OPEs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Derek Noronha</author>
  </authors>
  <commentList>
    <comment ref="F6" authorId="0" shapeId="0" xr:uid="{00000000-0006-0000-0500-000001000000}">
      <text>
        <r>
          <rPr>
            <b/>
            <sz val="9"/>
            <color indexed="81"/>
            <rFont val="Tahoma"/>
            <family val="2"/>
          </rPr>
          <t>Country is set default to the Organisation selected in the mainsheet. If the resources working on the task belong to a different country - Please select accordingly.</t>
        </r>
      </text>
    </comment>
    <comment ref="G6" authorId="0" shapeId="0" xr:uid="{00000000-0006-0000-0500-000002000000}">
      <text>
        <r>
          <rPr>
            <b/>
            <sz val="9"/>
            <color indexed="81"/>
            <rFont val="Tahoma"/>
            <family val="2"/>
          </rPr>
          <t xml:space="preserve">Service Line is set default to the service line selected in the mainsheet. If the task is being delivered by any other service line please select accordingly. </t>
        </r>
        <r>
          <rPr>
            <sz val="9"/>
            <color indexed="81"/>
            <rFont val="Tahoma"/>
            <family val="2"/>
          </rPr>
          <t xml:space="preserve">
</t>
        </r>
      </text>
    </comment>
    <comment ref="K32" authorId="0" shapeId="0" xr:uid="{00000000-0006-0000-0500-000003000000}">
      <text>
        <r>
          <rPr>
            <sz val="9"/>
            <color indexed="81"/>
            <rFont val="Calibri"/>
            <family val="2"/>
            <scheme val="minor"/>
          </rPr>
          <t>On Net Fee</t>
        </r>
      </text>
    </comment>
    <comment ref="L32" authorId="0" shapeId="0" xr:uid="{464B1463-E399-41B0-BE83-6A827451D365}">
      <text>
        <r>
          <rPr>
            <sz val="9"/>
            <color indexed="81"/>
            <rFont val="Calibri"/>
            <family val="2"/>
            <scheme val="minor"/>
          </rPr>
          <t>On Gross Fee less Non-billable OPEs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narendra.nath</author>
    <author>Derek Noronha</author>
    <author>Pankaj Arora (IND)</author>
  </authors>
  <commentList>
    <comment ref="A3" authorId="0" shapeId="0" xr:uid="{00000000-0006-0000-0200-000001000000}">
      <text>
        <r>
          <rPr>
            <b/>
            <sz val="8"/>
            <color indexed="81"/>
            <rFont val="Tahoma"/>
            <family val="2"/>
          </rPr>
          <t>Please specify whether it’s a New project or Revision to an existing Project. If it is a Revision, in the Assigned Project Code field, please specify Project code for the project that is being revised.</t>
        </r>
      </text>
    </comment>
    <comment ref="A6" authorId="0" shapeId="0" xr:uid="{00000000-0006-0000-0200-000002000000}">
      <text>
        <r>
          <rPr>
            <b/>
            <sz val="8"/>
            <color indexed="81"/>
            <rFont val="Tahoma"/>
            <family val="2"/>
          </rPr>
          <t>Please select the appropriate business unit from the list
Should be the country from where the EL has been issued &amp; Service line delivering</t>
        </r>
      </text>
    </comment>
    <comment ref="F6" authorId="0" shapeId="0" xr:uid="{00000000-0006-0000-0200-000003000000}">
      <text>
        <r>
          <rPr>
            <b/>
            <sz val="8"/>
            <color indexed="81"/>
            <rFont val="Tahoma"/>
            <family val="2"/>
          </rPr>
          <t>Enter here the expected date of commencing the project.</t>
        </r>
      </text>
    </comment>
    <comment ref="H6" authorId="1" shapeId="0" xr:uid="{00000000-0006-0000-0200-000004000000}">
      <text>
        <r>
          <rPr>
            <b/>
            <sz val="8"/>
            <color indexed="81"/>
            <rFont val="Tahoma"/>
            <family val="2"/>
          </rPr>
          <t>Enter here the expected date of completing the project. This can be the contractual end date or an earlier date.</t>
        </r>
      </text>
    </comment>
    <comment ref="A7" authorId="0" shapeId="0" xr:uid="{00000000-0006-0000-0200-000005000000}">
      <text>
        <r>
          <rPr>
            <b/>
            <sz val="8"/>
            <color indexed="81"/>
            <rFont val="Tahoma"/>
            <family val="2"/>
          </rPr>
          <t>Kindly provide the Protiviti Legal entity name</t>
        </r>
      </text>
    </comment>
    <comment ref="F7" authorId="1" shapeId="0" xr:uid="{00000000-0006-0000-0200-000006000000}">
      <text>
        <r>
          <rPr>
            <b/>
            <sz val="8"/>
            <color indexed="81"/>
            <rFont val="Tahoma"/>
            <family val="2"/>
          </rPr>
          <t>Select the appropriate solution from the list</t>
        </r>
      </text>
    </comment>
    <comment ref="A8" authorId="0" shapeId="0" xr:uid="{00000000-0006-0000-0200-000007000000}">
      <text>
        <r>
          <rPr>
            <b/>
            <sz val="8"/>
            <color indexed="81"/>
            <rFont val="Tahoma"/>
            <family val="2"/>
          </rPr>
          <t>Enter the client legal name , kindly avoid short name or abbreviations</t>
        </r>
      </text>
    </comment>
    <comment ref="F8" authorId="0" shapeId="0" xr:uid="{00000000-0006-0000-0200-000008000000}">
      <text>
        <r>
          <rPr>
            <b/>
            <sz val="8"/>
            <color indexed="81"/>
            <rFont val="Tahoma"/>
            <family val="2"/>
          </rPr>
          <t>Provide a project name - based on the nature of work/ Solution offered.
Refer to Help for further information</t>
        </r>
      </text>
    </comment>
    <comment ref="A9" authorId="0" shapeId="0" xr:uid="{00000000-0006-0000-0200-000009000000}">
      <text>
        <r>
          <rPr>
            <b/>
            <sz val="8"/>
            <color indexed="81"/>
            <rFont val="Tahoma"/>
            <family val="2"/>
          </rPr>
          <t>Billing currency as per the agreement with the client</t>
        </r>
      </text>
    </comment>
    <comment ref="A10" authorId="2" shapeId="0" xr:uid="{0A5AA557-D3EF-4163-8D66-D8AD98C6F66D}">
      <text>
        <r>
          <rPr>
            <b/>
            <sz val="9"/>
            <color indexed="81"/>
            <rFont val="Tahoma"/>
            <family val="2"/>
          </rPr>
          <t>Enter Opportunity Value. In case of multiple opportunities please separate by a comma.</t>
        </r>
      </text>
    </comment>
    <comment ref="A11" authorId="2" shapeId="0" xr:uid="{87D2FD0A-C8C0-4182-90A9-E449E7BADD98}">
      <text>
        <r>
          <rPr>
            <b/>
            <sz val="9"/>
            <color indexed="81"/>
            <rFont val="Tahoma"/>
            <family val="2"/>
          </rPr>
          <t>Enter Opportunity Value. In case of multiple opportunities please separate by a comma.</t>
        </r>
      </text>
    </comment>
    <comment ref="A12" authorId="0" shapeId="0" xr:uid="{00000000-0006-0000-0200-00000A000000}">
      <text>
        <r>
          <rPr>
            <b/>
            <sz val="8"/>
            <color indexed="81"/>
            <rFont val="Tahoma"/>
            <family val="2"/>
          </rPr>
          <t>Select one of the following:
1.  "Fixed Fee (Incl. Outlays)" for engagements where fee includes all outlays
2. "Fixed Fee Plus Outlays" for engagements where the outlays can be billed in addition to the fees.
3. "Time and Material" if fee is billed on actual time and expenses incurred.</t>
        </r>
      </text>
    </comment>
    <comment ref="H12" authorId="1" shapeId="0" xr:uid="{00000000-0006-0000-0200-00000B000000}">
      <text>
        <r>
          <rPr>
            <b/>
            <sz val="9"/>
            <color indexed="81"/>
            <rFont val="Tahoma"/>
            <family val="2"/>
          </rPr>
          <t>on date requested for code creation</t>
        </r>
        <r>
          <rPr>
            <sz val="9"/>
            <color indexed="81"/>
            <rFont val="Tahoma"/>
            <family val="2"/>
          </rPr>
          <t xml:space="preserve">
</t>
        </r>
      </text>
    </comment>
    <comment ref="A13" authorId="1" shapeId="0" xr:uid="{00000000-0006-0000-0200-00000C000000}">
      <text>
        <r>
          <rPr>
            <b/>
            <sz val="9"/>
            <color indexed="81"/>
            <rFont val="Tahoma"/>
            <family val="2"/>
          </rPr>
          <t>Check help to understand the differentiation</t>
        </r>
      </text>
    </comment>
    <comment ref="H13" authorId="1" shapeId="0" xr:uid="{00000000-0006-0000-0200-00000D000000}">
      <text>
        <r>
          <rPr>
            <b/>
            <sz val="9"/>
            <color indexed="81"/>
            <rFont val="Tahoma"/>
            <family val="2"/>
          </rPr>
          <t>on date requested for code creation</t>
        </r>
        <r>
          <rPr>
            <sz val="9"/>
            <color indexed="81"/>
            <rFont val="Tahoma"/>
            <family val="2"/>
          </rPr>
          <t xml:space="preserve">
</t>
        </r>
      </text>
    </comment>
    <comment ref="H14" authorId="1" shapeId="0" xr:uid="{00000000-0006-0000-0200-00000E000000}">
      <text>
        <r>
          <rPr>
            <b/>
            <sz val="9"/>
            <color indexed="81"/>
            <rFont val="Tahoma"/>
            <family val="2"/>
          </rPr>
          <t>on date requested for code creation</t>
        </r>
        <r>
          <rPr>
            <sz val="9"/>
            <color indexed="81"/>
            <rFont val="Tahoma"/>
            <family val="2"/>
          </rPr>
          <t xml:space="preserve">
</t>
        </r>
      </text>
    </comment>
    <comment ref="A18" authorId="1" shapeId="0" xr:uid="{00000000-0006-0000-0200-00000F000000}">
      <text>
        <r>
          <rPr>
            <b/>
            <sz val="9"/>
            <color indexed="81"/>
            <rFont val="Tahoma"/>
            <family val="2"/>
          </rPr>
          <t>Enter Client type &amp; Specify client parent co; name if a subsidary.</t>
        </r>
      </text>
    </comment>
    <comment ref="A19" authorId="1" shapeId="0" xr:uid="{00000000-0006-0000-0200-000010000000}">
      <text>
        <r>
          <rPr>
            <b/>
            <sz val="9"/>
            <color indexed="81"/>
            <rFont val="Tahoma"/>
            <family val="2"/>
          </rPr>
          <t>The Parent Client name.</t>
        </r>
      </text>
    </comment>
    <comment ref="A20" authorId="1" shapeId="0" xr:uid="{00000000-0006-0000-0200-000011000000}">
      <text>
        <r>
          <rPr>
            <b/>
            <sz val="9"/>
            <color indexed="81"/>
            <rFont val="Calibri"/>
            <family val="2"/>
            <scheme val="minor"/>
          </rPr>
          <t>Select the Industry to which the client belongs</t>
        </r>
      </text>
    </comment>
    <comment ref="A31" authorId="0" shapeId="0" xr:uid="{00000000-0006-0000-0200-000012000000}">
      <text>
        <r>
          <rPr>
            <b/>
            <sz val="9"/>
            <color indexed="81"/>
            <rFont val="Tahoma"/>
            <family val="2"/>
          </rPr>
          <t>Include Country and region code</t>
        </r>
      </text>
    </comment>
    <comment ref="A32" authorId="0" shapeId="0" xr:uid="{00000000-0006-0000-0200-000013000000}">
      <text>
        <r>
          <rPr>
            <b/>
            <sz val="9"/>
            <color indexed="81"/>
            <rFont val="Tahoma"/>
            <family val="2"/>
          </rPr>
          <t>Include Country and region code</t>
        </r>
      </text>
    </comment>
  </commentList>
</comments>
</file>

<file path=xl/sharedStrings.xml><?xml version="1.0" encoding="utf-8"?>
<sst xmlns="http://schemas.openxmlformats.org/spreadsheetml/2006/main" count="1589" uniqueCount="674">
  <si>
    <t>Project Template - References</t>
  </si>
  <si>
    <t>*</t>
  </si>
  <si>
    <t>Country</t>
  </si>
  <si>
    <t>-</t>
  </si>
  <si>
    <t>The Country undertaking the project.</t>
  </si>
  <si>
    <t>Service Line</t>
  </si>
  <si>
    <t>The Team undertaking the Job.</t>
  </si>
  <si>
    <t>Engagement Organisation</t>
  </si>
  <si>
    <t>Protiviti Legal Entity Name under which we have signed the agreement with the client.</t>
  </si>
  <si>
    <t>Project Description</t>
  </si>
  <si>
    <t>This determines the name of the project</t>
  </si>
  <si>
    <t>This can be verified with the scope of the EL  / Subject line of the EL.</t>
  </si>
  <si>
    <t>There may be similar projects with the same description in the past, please add uniqueness to the name by adding in the year</t>
  </si>
  <si>
    <t>This description will reflect in the timesheet, Hence naming is Critical, so resources do not select the wrong project.</t>
  </si>
  <si>
    <t>Sales Force ID &amp; Sales Person</t>
  </si>
  <si>
    <t>The Sales Force id generated in Sales Force &amp; the person responsible for the Lead.</t>
  </si>
  <si>
    <t>Client Legal name</t>
  </si>
  <si>
    <t>Client Legal Entity Name under which Protiviti have signed the agreement with the client.</t>
  </si>
  <si>
    <t>if this is a New Win project please enter the details in the new wins form to be shared within the organization.</t>
  </si>
  <si>
    <t>Should you not require to share the new wins. Please specify accordingly on the New Wins template (Why we won - Editable)</t>
  </si>
  <si>
    <t>Billing Currency</t>
  </si>
  <si>
    <t>This is the billing currency as agreed with the client as  per the contract</t>
  </si>
  <si>
    <t>Project Type</t>
  </si>
  <si>
    <t>We basically perform 2 broad kind of services.</t>
  </si>
  <si>
    <t>A</t>
  </si>
  <si>
    <t>i</t>
  </si>
  <si>
    <t>Fixed Fee Inclusive of Outlays - Where the fee is agreed  in the beginning &amp; expenses are borne by Protiviti.</t>
  </si>
  <si>
    <t>ii</t>
  </si>
  <si>
    <t>Fixed Fee Exclusive of Outlays - Where the fee is agreed  in the beginning &amp; expenses are borne by the client.</t>
  </si>
  <si>
    <t>B</t>
  </si>
  <si>
    <t>iii</t>
  </si>
  <si>
    <t>Time &amp; Material - The Rates for various designation or a blended rate agreed in the beginning &amp; all expenses  will be chargeable to the client.</t>
  </si>
  <si>
    <t>Basis Of Billing</t>
  </si>
  <si>
    <t>This is the type of billing to be raised to the client. Billings Can be as follows:</t>
  </si>
  <si>
    <t>Fixed Rate</t>
  </si>
  <si>
    <t>Project Based on TOR, where rate is fixed as per the Designations working.
TOR forms the basis of the Project Being created, Hence should include the No: of Days required to perform the agreed Scope.</t>
  </si>
  <si>
    <t>Blended Rate</t>
  </si>
  <si>
    <t>Project Based on TOR, where a blended rate is fixed irrespective of the Designations working.
TOR forms the basis of the Project Being created, Hence should include the No: of Days required to perform the agreed Scope.</t>
  </si>
  <si>
    <t>Fixed Fee</t>
  </si>
  <si>
    <t>Project Based on 1 EL, has all agreed Scope &amp; Fee agreed Upon.
1  El/ Contract  will have only 1 code. Projects cannot be split into Multiple codes.</t>
  </si>
  <si>
    <t xml:space="preserve">Secondment </t>
  </si>
  <si>
    <t>Secondment based project - Where the scope is lending out a resource Full time to the client.
Days of billing will be calculated based on timesheets.</t>
  </si>
  <si>
    <t>Recurring</t>
  </si>
  <si>
    <t>Projects which recurring based on 1 EL signed which was previously signed with the client.</t>
  </si>
  <si>
    <t>Time &amp; Material on Actuals</t>
  </si>
  <si>
    <t>Project based on a Actuals time spend &amp; expenses Incurred during the scope and for the project</t>
  </si>
  <si>
    <t>Success Fee</t>
  </si>
  <si>
    <t xml:space="preserve">Based on the finalization of a Successful Deal. </t>
  </si>
  <si>
    <t>Start Date/ End date</t>
  </si>
  <si>
    <t>The project start date &amp; a expected end date.</t>
  </si>
  <si>
    <t>Solution Type</t>
  </si>
  <si>
    <t>The Solution Offered to the client.</t>
  </si>
  <si>
    <t>Project Roles</t>
  </si>
  <si>
    <t xml:space="preserve">Project MD - </t>
  </si>
  <si>
    <t xml:space="preserve">The MD listed on the project, who would be able to approve time &amp; expenses for all &amp; self on the project. </t>
  </si>
  <si>
    <t xml:space="preserve">Project Director - </t>
  </si>
  <si>
    <t xml:space="preserve">The Director listed on the project, who would be able to approve time &amp; expenses for all &amp; self on the project. </t>
  </si>
  <si>
    <t>C</t>
  </si>
  <si>
    <t xml:space="preserve">Project Manager - </t>
  </si>
  <si>
    <t xml:space="preserve">The Manager listed on the project, who would be able to approve time for all except self on the project. </t>
  </si>
  <si>
    <t>Created By &amp; Created Date</t>
  </si>
  <si>
    <t>The Individual creating this template &amp; the date of the creation of the template.</t>
  </si>
  <si>
    <t>Contract Status On Creation</t>
  </si>
  <si>
    <t>This Determines the availability of the signed contract</t>
  </si>
  <si>
    <t>if not available by when do we expect the EL/ Contract.</t>
  </si>
  <si>
    <t>Client Type</t>
  </si>
  <si>
    <t>This determines if this client ( the work being performed for) is a parent / Subsidiary / independent.</t>
  </si>
  <si>
    <t>Independent</t>
  </si>
  <si>
    <t>Project is being performed for an Independent Client. No subsidiary Currently.</t>
  </si>
  <si>
    <t xml:space="preserve">Parent </t>
  </si>
  <si>
    <t>Project is being performed for a Parent/ Group head client. And has a subsidiary or multiple subsidiary's</t>
  </si>
  <si>
    <t>subsidiary</t>
  </si>
  <si>
    <t>Project is being performed for a subsidiary client. which is held by a different Parent client</t>
  </si>
  <si>
    <t>Industry</t>
  </si>
  <si>
    <t>The Industry under which the client falls.</t>
  </si>
  <si>
    <t>Client Details</t>
  </si>
  <si>
    <t>This is the details of the client contact &amp; the Invoice Addressee when we raise the invoice.</t>
  </si>
  <si>
    <t>Remarks/ Comments</t>
  </si>
  <si>
    <t>Any additional information in respect to the project</t>
  </si>
  <si>
    <t>Resource Plan</t>
  </si>
  <si>
    <t>The Budgeted hours allocated for the various designations who will be involved on the project</t>
  </si>
  <si>
    <t>The business unit for each line of Budgeting has  to be selected.</t>
  </si>
  <si>
    <t>Fee Break Down</t>
  </si>
  <si>
    <t>This is the Fee Break down of how the Project value has been split between various departments/ parties &amp; OPE expenses.</t>
  </si>
  <si>
    <t>Home Office</t>
  </si>
  <si>
    <t>This is the Net Revenue which the Primary Department is to receive after reducing the below expenses for the below Expense type.</t>
  </si>
  <si>
    <t>Protiviti ME</t>
  </si>
  <si>
    <t>The Fee being sub contracted to Protiviti ME . Please provide calculations (Fees &amp; expected OPE)</t>
  </si>
  <si>
    <t>Protiviti (Other Offices)</t>
  </si>
  <si>
    <t>The Fee being sub contracted to Other Protiviti Offices (US, UK etc.)</t>
  </si>
  <si>
    <t>Sub-Contractor (3rd party)</t>
  </si>
  <si>
    <t>The Fee being sub contracted to a person or company outside Protiviti</t>
  </si>
  <si>
    <t>Retention/ Others</t>
  </si>
  <si>
    <t>The Expenses which is retained due to Country laws / TAX or any other expenses type</t>
  </si>
  <si>
    <t>VAT</t>
  </si>
  <si>
    <t>The VAT amount agreed on the project</t>
  </si>
  <si>
    <t>Expenses (Column)</t>
  </si>
  <si>
    <t>This is linked to the Expenses break down sheet. 
Expense relating to each Category above needs to be broken down.</t>
  </si>
  <si>
    <t>Billing</t>
  </si>
  <si>
    <t>This is the billing Schedule as per the agreed payment milestones  on the Contract/ EL.</t>
  </si>
  <si>
    <t>Dates of billing are within the project start &amp; end date.</t>
  </si>
  <si>
    <t>Total fee listed in the fee break down needs to match the Fees in the billing scheduling</t>
  </si>
  <si>
    <t>To help know the balance scheduled amount - the field balance Scheduling amount is provided.</t>
  </si>
  <si>
    <t>Share Details with Marketing Team</t>
  </si>
  <si>
    <t>YES</t>
  </si>
  <si>
    <t>Template for sharing client wins and renewals</t>
  </si>
  <si>
    <t>1.    Date Of Win</t>
  </si>
  <si>
    <r>
      <t>2.</t>
    </r>
    <r>
      <rPr>
        <b/>
        <sz val="9"/>
        <color rgb="FF000000"/>
        <rFont val="Times New Roman"/>
        <family val="1"/>
      </rPr>
      <t xml:space="preserve">    </t>
    </r>
    <r>
      <rPr>
        <b/>
        <sz val="9"/>
        <color rgb="FF000000"/>
        <rFont val="Arial"/>
        <family val="2"/>
      </rPr>
      <t>Client Name</t>
    </r>
  </si>
  <si>
    <t>HSBC</t>
  </si>
  <si>
    <t/>
  </si>
  <si>
    <r>
      <t>3.</t>
    </r>
    <r>
      <rPr>
        <b/>
        <sz val="9"/>
        <color rgb="FF000000"/>
        <rFont val="Times New Roman"/>
        <family val="1"/>
      </rPr>
      <t xml:space="preserve">    </t>
    </r>
    <r>
      <rPr>
        <b/>
        <sz val="9"/>
        <color rgb="FF000000"/>
        <rFont val="Arial"/>
        <family val="2"/>
      </rPr>
      <t>Client location</t>
    </r>
  </si>
  <si>
    <t>Gurgaon</t>
  </si>
  <si>
    <t>4.     Is this a New Client ?</t>
  </si>
  <si>
    <t>No</t>
  </si>
  <si>
    <r>
      <t>5.</t>
    </r>
    <r>
      <rPr>
        <b/>
        <sz val="9"/>
        <color rgb="FF000000"/>
        <rFont val="Times New Roman"/>
        <family val="1"/>
      </rPr>
      <t xml:space="preserve">    </t>
    </r>
    <r>
      <rPr>
        <b/>
        <sz val="9"/>
        <color rgb="FF000000"/>
        <rFont val="Arial"/>
        <family val="2"/>
      </rPr>
      <t>Sales Force Opportunity No.</t>
    </r>
  </si>
  <si>
    <r>
      <t>6.</t>
    </r>
    <r>
      <rPr>
        <b/>
        <sz val="9"/>
        <color rgb="FF000000"/>
        <rFont val="Times New Roman"/>
        <family val="1"/>
      </rPr>
      <t xml:space="preserve">    </t>
    </r>
    <r>
      <rPr>
        <b/>
        <sz val="9"/>
        <color rgb="FF000000"/>
        <rFont val="Arial"/>
        <family val="2"/>
      </rPr>
      <t>Industry  </t>
    </r>
  </si>
  <si>
    <t>Banking</t>
  </si>
  <si>
    <r>
      <t>7.</t>
    </r>
    <r>
      <rPr>
        <b/>
        <sz val="9"/>
        <color rgb="FF000000"/>
        <rFont val="Times New Roman"/>
        <family val="1"/>
      </rPr>
      <t xml:space="preserve">    </t>
    </r>
    <r>
      <rPr>
        <b/>
        <sz val="9"/>
        <color rgb="FF000000"/>
        <rFont val="Arial"/>
        <family val="2"/>
      </rPr>
      <t>Solution offering</t>
    </r>
  </si>
  <si>
    <t>Agreed upon procedures</t>
  </si>
  <si>
    <r>
      <t>8.</t>
    </r>
    <r>
      <rPr>
        <b/>
        <sz val="9"/>
        <color rgb="FF000000"/>
        <rFont val="Times New Roman"/>
        <family val="1"/>
      </rPr>
      <t xml:space="preserve">    </t>
    </r>
    <r>
      <rPr>
        <b/>
        <sz val="9"/>
        <color rgb="FF000000"/>
        <rFont val="Arial"/>
        <family val="2"/>
      </rPr>
      <t>Client/ pursuit team</t>
    </r>
  </si>
  <si>
    <r>
      <t>9.</t>
    </r>
    <r>
      <rPr>
        <b/>
        <sz val="9"/>
        <color rgb="FF000000"/>
        <rFont val="Times New Roman"/>
        <family val="1"/>
      </rPr>
      <t xml:space="preserve">    </t>
    </r>
    <r>
      <rPr>
        <b/>
        <sz val="9"/>
        <color rgb="FF000000"/>
        <rFont val="Arial"/>
        <family val="2"/>
      </rPr>
      <t>Gross Fees (in USD)</t>
    </r>
  </si>
  <si>
    <r>
      <t>9.</t>
    </r>
    <r>
      <rPr>
        <b/>
        <sz val="9"/>
        <color rgb="FF000000"/>
        <rFont val="Times New Roman"/>
        <family val="1"/>
      </rPr>
      <t xml:space="preserve">    </t>
    </r>
    <r>
      <rPr>
        <b/>
        <sz val="9"/>
        <color rgb="FF000000"/>
        <rFont val="Arial"/>
        <family val="2"/>
      </rPr>
      <t>Why we won</t>
    </r>
  </si>
  <si>
    <r>
      <rPr>
        <u/>
        <sz val="11"/>
        <color theme="1"/>
        <rFont val="Calibri"/>
        <family val="2"/>
        <scheme val="minor"/>
      </rPr>
      <t xml:space="preserve">
WHY WE WON - CONTENT</t>
    </r>
    <r>
      <rPr>
        <sz val="11"/>
        <color theme="1"/>
        <rFont val="Calibri"/>
        <family val="2"/>
        <scheme val="minor"/>
      </rPr>
      <t xml:space="preserve">
You can talk of our USP, how did it differentiated us/ out think competition. What did the client like in our pitch?  Any fresh perspectives and innovative solutions we bought on the table that differentiated us. Who reached out to the client for the opportunity? Is it a unique engagement for us that can be taken to other clients?
Our G2E factors are a good way to describe our reasons for winning.
• Understanding Business Context 
• Understand Real Problems
• Visualize, Deliver and Validate Value
• Manage Project Plan
• Deliver Exceptional Memories
• Build Relationships
</t>
    </r>
  </si>
  <si>
    <t>Project Template - Fixed Fee Inclusive Outlays</t>
  </si>
  <si>
    <t>Resource Plan (Home Office) - Budgeted Hours by Task and Resource Category</t>
  </si>
  <si>
    <t>Task Name</t>
  </si>
  <si>
    <t>Business Unit</t>
  </si>
  <si>
    <t>MD</t>
  </si>
  <si>
    <t>SD</t>
  </si>
  <si>
    <t>DIR</t>
  </si>
  <si>
    <t>AD</t>
  </si>
  <si>
    <t>SR. MGR</t>
  </si>
  <si>
    <t>MGR</t>
  </si>
  <si>
    <t>DM</t>
  </si>
  <si>
    <t>SR. CONS.</t>
  </si>
  <si>
    <t>CON3</t>
  </si>
  <si>
    <t>CON2</t>
  </si>
  <si>
    <t>CON1</t>
  </si>
  <si>
    <t>ANLST.</t>
  </si>
  <si>
    <t>TOTAL</t>
  </si>
  <si>
    <t>STD Rev</t>
  </si>
  <si>
    <t>Std Cost</t>
  </si>
  <si>
    <t>Service line</t>
  </si>
  <si>
    <t>Sum USD</t>
  </si>
  <si>
    <t>SUM (BC)</t>
  </si>
  <si>
    <t>Fixed Fee (Incl. Outlays)</t>
  </si>
  <si>
    <t>Requirement Gathering &amp; Feasibility Study</t>
  </si>
  <si>
    <t>India</t>
  </si>
  <si>
    <t>R&amp;C</t>
  </si>
  <si>
    <t>Technical Architecture, Design &amp; Planning</t>
  </si>
  <si>
    <t xml:space="preserve">Database Design </t>
  </si>
  <si>
    <t>API Design &amp; Implementation</t>
  </si>
  <si>
    <t>Integration with data sources (1)</t>
  </si>
  <si>
    <t>Frontend Prototyping</t>
  </si>
  <si>
    <t>Frontend Design</t>
  </si>
  <si>
    <t>FE &amp; BE Integration</t>
  </si>
  <si>
    <t>AI feature (1)</t>
  </si>
  <si>
    <t>Auth &amp; NFR Implementations</t>
  </si>
  <si>
    <t>Component Testing and SIT</t>
  </si>
  <si>
    <t>User Acceptance Testing (incl. Bug Fixing)</t>
  </si>
  <si>
    <t>Documentation (deployment guide)</t>
  </si>
  <si>
    <t xml:space="preserve">PMO </t>
  </si>
  <si>
    <t>Go-live support</t>
  </si>
  <si>
    <t>Handover &amp; KT</t>
  </si>
  <si>
    <t>Total</t>
  </si>
  <si>
    <t>Project Mix</t>
  </si>
  <si>
    <t>Ideal Mix</t>
  </si>
  <si>
    <t>What if analysis - FYI Only</t>
  </si>
  <si>
    <t>Pricing Tool - Home Office</t>
  </si>
  <si>
    <t>Fee Amount</t>
  </si>
  <si>
    <t>Recovery %</t>
  </si>
  <si>
    <t>Description</t>
  </si>
  <si>
    <t>Org./ Name</t>
  </si>
  <si>
    <t>Hours Breakdown</t>
  </si>
  <si>
    <t>Fee Breakdown</t>
  </si>
  <si>
    <t>Budgeted Outlays</t>
  </si>
  <si>
    <t>Standard Fee</t>
  </si>
  <si>
    <t>Planned Fee Adjustment (PFA)</t>
  </si>
  <si>
    <t>PFA %</t>
  </si>
  <si>
    <t xml:space="preserve"> </t>
  </si>
  <si>
    <t>GST</t>
  </si>
  <si>
    <t>Gross Fee</t>
  </si>
  <si>
    <t>Net Fee</t>
  </si>
  <si>
    <t>Net CM</t>
  </si>
  <si>
    <t>Gross CM</t>
  </si>
  <si>
    <t>Fee</t>
  </si>
  <si>
    <t>Per/Hr</t>
  </si>
  <si>
    <t xml:space="preserve"> %</t>
  </si>
  <si>
    <t>%</t>
  </si>
  <si>
    <t>Margin</t>
  </si>
  <si>
    <t>Staff Cost</t>
  </si>
  <si>
    <t>INR</t>
  </si>
  <si>
    <t>Budgeted Recovery %</t>
  </si>
  <si>
    <t xml:space="preserve">Gross Contribution Margin is derived after considering direct staff cost, mangement fees , Sub-contractor cost and other direct cost. 
Net Contribution Margin is derived after considering direct staff cost, mangement fees and other direct cost. </t>
  </si>
  <si>
    <t>Items to be selected from the list</t>
  </si>
  <si>
    <t>Workflow:</t>
  </si>
  <si>
    <t>Outlays:</t>
  </si>
  <si>
    <t>Will take you to a separate sheet where the expenses breakdown</t>
  </si>
  <si>
    <t>Data to be entered</t>
  </si>
  <si>
    <t>Step 1: Enter data in the above sheet.</t>
  </si>
  <si>
    <r>
      <t xml:space="preserve">can be listed.Please click the Link in the </t>
    </r>
    <r>
      <rPr>
        <b/>
        <sz val="10"/>
        <color theme="9" tint="-0.249977111117893"/>
        <rFont val="Calibri"/>
        <family val="2"/>
        <scheme val="minor"/>
      </rPr>
      <t>"Budgeted Outlays Field"</t>
    </r>
  </si>
  <si>
    <t>Step 2: Click on "Main Sheet" button to go back to the Main Sheet and enter Billing Details.</t>
  </si>
  <si>
    <t>Planning</t>
  </si>
  <si>
    <t xml:space="preserve">Feilwork </t>
  </si>
  <si>
    <t>Reporting</t>
  </si>
  <si>
    <t>Project Template - Fixed Fee Plus Outlays</t>
  </si>
  <si>
    <t>Fixed Fee (Excl. Outlays)</t>
  </si>
  <si>
    <t>Org./ Name0</t>
  </si>
  <si>
    <t>* for all IA jobs</t>
  </si>
  <si>
    <t>!</t>
  </si>
  <si>
    <t>Fixed Fee Plus Outlays</t>
  </si>
  <si>
    <t>Expense For</t>
  </si>
  <si>
    <t>Name</t>
  </si>
  <si>
    <t>Sub-Con Hours</t>
  </si>
  <si>
    <t>Fees Budgeted</t>
  </si>
  <si>
    <t>No Of days</t>
  </si>
  <si>
    <t>No: Of Trips</t>
  </si>
  <si>
    <t>To Location</t>
  </si>
  <si>
    <t>Air fare/ VISA</t>
  </si>
  <si>
    <t>Accomodation</t>
  </si>
  <si>
    <t xml:space="preserve">Per diem </t>
  </si>
  <si>
    <t>License</t>
  </si>
  <si>
    <t>Misc.</t>
  </si>
  <si>
    <t>Total Exp</t>
  </si>
  <si>
    <t>References</t>
  </si>
  <si>
    <t>Home Office - India - R&amp;C</t>
  </si>
  <si>
    <t xml:space="preserve">Sub-Contractor (3rd party) - </t>
  </si>
  <si>
    <t>Inter Department</t>
  </si>
  <si>
    <t>Inter Office - Protiviti ME</t>
  </si>
  <si>
    <t>Expense Type</t>
  </si>
  <si>
    <t>Please Select the appropriate selection from the drop down to which the expenses relate to.</t>
  </si>
  <si>
    <t>Name &amp; Category of the resource.</t>
  </si>
  <si>
    <t>Are Editable fields</t>
  </si>
  <si>
    <t>Value to be Paid out as Profesional Fees</t>
  </si>
  <si>
    <t>Other Protiviti offices (non ME)</t>
  </si>
  <si>
    <t>No: of Days</t>
  </si>
  <si>
    <t>No of trips required.</t>
  </si>
  <si>
    <t>Other Sub-Contractors</t>
  </si>
  <si>
    <t>No: of Trips</t>
  </si>
  <si>
    <t>To which Country</t>
  </si>
  <si>
    <t>Inter Department 2</t>
  </si>
  <si>
    <t>How much is paid as fee for the Sub con.</t>
  </si>
  <si>
    <t>Inter Department 3</t>
  </si>
  <si>
    <t>Fee Paid out</t>
  </si>
  <si>
    <t>Whats the approx air fare charges</t>
  </si>
  <si>
    <t xml:space="preserve">Air fare </t>
  </si>
  <si>
    <t>Whats the approx  Visa charges</t>
  </si>
  <si>
    <t xml:space="preserve">VISA </t>
  </si>
  <si>
    <t>Whats the approx Per Diem for the trip duration</t>
  </si>
  <si>
    <t>Dir</t>
  </si>
  <si>
    <t>Whats the approx  Stay charges</t>
  </si>
  <si>
    <t>Any other Expenses.?</t>
  </si>
  <si>
    <t>Formula driven   - Sum of all the above Expenses.</t>
  </si>
  <si>
    <t>SM</t>
  </si>
  <si>
    <t>Mgr</t>
  </si>
  <si>
    <t>Ast Mgr</t>
  </si>
  <si>
    <t>Snr Con</t>
  </si>
  <si>
    <t>Con</t>
  </si>
  <si>
    <t>Assoc.</t>
  </si>
  <si>
    <t>Analyst</t>
  </si>
  <si>
    <t>Trainee</t>
  </si>
  <si>
    <t xml:space="preserve">Step 1: </t>
  </si>
  <si>
    <t>Please Ensure you Have selected the Teams/ Sub contractors / or Other Expenses types other than OPE on The Fees &amp; Outlays Section</t>
  </si>
  <si>
    <t>No Data to be Entered</t>
  </si>
  <si>
    <t>Also ensure If they are multiple Sub Contractors ensure you have listed their names on the Fees &amp; Outlays Section.</t>
  </si>
  <si>
    <t xml:space="preserve">Step 2: </t>
  </si>
  <si>
    <t>Select the appropriate team/ Sub contractor in the Green fields to Budget the Fees paid to them &amp; the OPE we may incur for them.</t>
  </si>
  <si>
    <t>this amount will be Budgeted Payable amount, at the end of the project</t>
  </si>
  <si>
    <t>Step 3:</t>
  </si>
  <si>
    <t>Only For Home Office - please provide only the OPE break down, also please specify the Name of the resource / Category of the resource.</t>
  </si>
  <si>
    <t>Step 4:</t>
  </si>
  <si>
    <t>All of these sub con Fee &amp; expenses will Sum up in the fees &amp; oulatays. Which will be reduced from the total engagement value.</t>
  </si>
  <si>
    <t>Project Template - Time &amp; Material</t>
  </si>
  <si>
    <t>Billable</t>
  </si>
  <si>
    <t>Non Billable OPE</t>
  </si>
  <si>
    <t>Organisation:</t>
  </si>
  <si>
    <t>Contracted Rate</t>
  </si>
  <si>
    <t>Budgeted Hrs</t>
  </si>
  <si>
    <t>Rate</t>
  </si>
  <si>
    <t>Std Rev</t>
  </si>
  <si>
    <t>Non Billable Sub-con</t>
  </si>
  <si>
    <t>Engagement Organisation:</t>
  </si>
  <si>
    <t>Resource Category</t>
  </si>
  <si>
    <t>Amount</t>
  </si>
  <si>
    <t>Discount*</t>
  </si>
  <si>
    <t>Client Name</t>
  </si>
  <si>
    <t>USD</t>
  </si>
  <si>
    <t>BC</t>
  </si>
  <si>
    <t>Billing Currency:</t>
  </si>
  <si>
    <t>Project Type:</t>
  </si>
  <si>
    <t>Time &amp; Material</t>
  </si>
  <si>
    <t>Engagement Fee</t>
  </si>
  <si>
    <t>Budgeted Outlay</t>
  </si>
  <si>
    <t>Budgeted Sub-con</t>
  </si>
  <si>
    <t>Total Fee</t>
  </si>
  <si>
    <t>Budget Recovery %</t>
  </si>
  <si>
    <t>Data to be selected</t>
  </si>
  <si>
    <r>
      <t>can be listed.Please click the Link in the</t>
    </r>
    <r>
      <rPr>
        <b/>
        <sz val="10"/>
        <color theme="9" tint="-0.249977111117893"/>
        <rFont val="Calibri"/>
        <family val="2"/>
        <scheme val="minor"/>
      </rPr>
      <t xml:space="preserve"> "Budgeted Outlays Field"</t>
    </r>
  </si>
  <si>
    <t>* Enter the per hour rate. For monthly or daily rate, please convert to hourly rate and enter information.</t>
  </si>
  <si>
    <t>Project Template - Billing Schedule</t>
  </si>
  <si>
    <t>Client Name for Billing</t>
  </si>
  <si>
    <t>Client Contact Name for Billing</t>
  </si>
  <si>
    <t>Designation of Client Contact</t>
  </si>
  <si>
    <t>Payment Terms</t>
  </si>
  <si>
    <t>On Delivery / Completion</t>
  </si>
  <si>
    <t>Home Office Fee</t>
  </si>
  <si>
    <t>Sub-Contract Cost and Outlays</t>
  </si>
  <si>
    <t>TOTAL BILLABLE FEES</t>
  </si>
  <si>
    <t>Billing Schedule total amount does not match total billable fees</t>
  </si>
  <si>
    <t>Billing Schedule details do not match Fees and Outlays schedule</t>
  </si>
  <si>
    <t>Billing Schedule for the Project</t>
  </si>
  <si>
    <t>Sl. No.</t>
  </si>
  <si>
    <t>Billing Date</t>
  </si>
  <si>
    <t>Step 2: Click on "Main Sheet" button to go back to the Main Sheet.</t>
  </si>
  <si>
    <t>Solutions</t>
  </si>
  <si>
    <t>Accounting Shared Services</t>
  </si>
  <si>
    <t>Financial Accounting and Reporting</t>
  </si>
  <si>
    <t>Anti-Money Laundering</t>
  </si>
  <si>
    <t>Compliance</t>
  </si>
  <si>
    <t>Attack and Penetration</t>
  </si>
  <si>
    <t>S&amp;P</t>
  </si>
  <si>
    <t>BCM / Disaster Recovery Services</t>
  </si>
  <si>
    <t>TSO</t>
  </si>
  <si>
    <t>Business Planning And Strategy</t>
  </si>
  <si>
    <t>Strategy &amp; Transformation</t>
  </si>
  <si>
    <t>Business Process Reengineering, 3Ps</t>
  </si>
  <si>
    <t>Performance Improvement &amp; Management</t>
  </si>
  <si>
    <t xml:space="preserve">CG, IA QAR and Infrastructure Setup </t>
  </si>
  <si>
    <t>IA</t>
  </si>
  <si>
    <t>Cloud &amp; Infrastructure</t>
  </si>
  <si>
    <t>ETG</t>
  </si>
  <si>
    <t>Cloud Security</t>
  </si>
  <si>
    <t>CM</t>
  </si>
  <si>
    <t>Revenue Assurance</t>
  </si>
  <si>
    <t>Competency, Compensation And Manpower Optimization</t>
  </si>
  <si>
    <t>Human Capital Consulting</t>
  </si>
  <si>
    <t>Compliance Risk Management / Advisory</t>
  </si>
  <si>
    <t>Consulting - Capital Projects</t>
  </si>
  <si>
    <t>CPC</t>
  </si>
  <si>
    <t>Continuous Controls Monitoring</t>
  </si>
  <si>
    <t>Data Science and Analytics [DS&amp;A]</t>
  </si>
  <si>
    <t>Custom Business Applications &amp; Other GRC</t>
  </si>
  <si>
    <t>PSS</t>
  </si>
  <si>
    <t>Custom Development &amp; Emerging Tech</t>
  </si>
  <si>
    <t>Digital Transformation</t>
  </si>
  <si>
    <t>Data Management Implementation</t>
  </si>
  <si>
    <t>Data Management &amp; Governance [DM&amp;G]</t>
  </si>
  <si>
    <t>Data Science Advisory</t>
  </si>
  <si>
    <t>Data Science, BI &amp; Advanced Analytics Implementation</t>
  </si>
  <si>
    <t>Data Security and Privacy</t>
  </si>
  <si>
    <t>Data Strategy &amp; Management Advisory</t>
  </si>
  <si>
    <t>Digital Discovery, Enablement &amp; PMO</t>
  </si>
  <si>
    <t>Digital Identity and Access Management</t>
  </si>
  <si>
    <t>Due Diligence Advisory</t>
  </si>
  <si>
    <t>TS</t>
  </si>
  <si>
    <t>Enterprise Asset Management</t>
  </si>
  <si>
    <t>Enterprise Risk Management</t>
  </si>
  <si>
    <t>ERM</t>
  </si>
  <si>
    <t>Finance, Business Transformation and Programme Mgt.</t>
  </si>
  <si>
    <t>Financial /Market/Treasury/Credit</t>
  </si>
  <si>
    <t>Risk</t>
  </si>
  <si>
    <t>Financial Reporting</t>
  </si>
  <si>
    <t>Financial/Forensic Investigations</t>
  </si>
  <si>
    <t>Forensics</t>
  </si>
  <si>
    <t>Fintech</t>
  </si>
  <si>
    <t>Forensic Audit / IBC Review</t>
  </si>
  <si>
    <t>Fraud Risk Assessment - Consulting</t>
  </si>
  <si>
    <t>FS Technology Packaged Solutions Advisory &amp; Implementation</t>
  </si>
  <si>
    <t>FS Technology Packaged Solutions Operations Support</t>
  </si>
  <si>
    <t>IA Co-Sourcing / Out-Sourcing</t>
  </si>
  <si>
    <t>IFRS</t>
  </si>
  <si>
    <t>Innovation as a service</t>
  </si>
  <si>
    <t>Next Gen R&amp;C</t>
  </si>
  <si>
    <t>Innovation as a Service</t>
  </si>
  <si>
    <t>Next Gen TC</t>
  </si>
  <si>
    <t>Innovation as service</t>
  </si>
  <si>
    <t>Next Gen BPI</t>
  </si>
  <si>
    <t>Intelligent Automation - Business Analysis</t>
  </si>
  <si>
    <t>Intelligent Automation - Coding &amp; Deployment</t>
  </si>
  <si>
    <t>Intelligent Automation / Business Analysis</t>
  </si>
  <si>
    <t>Intelligent Automation Advisory</t>
  </si>
  <si>
    <t>Intelligent Automation Implementation</t>
  </si>
  <si>
    <t>Intelligent Automation, Risk Management and Compliance</t>
  </si>
  <si>
    <t>Internal Audit - Capital Projects</t>
  </si>
  <si>
    <t>Internal Control Reviews / SOX / AUP</t>
  </si>
  <si>
    <t>Internet of Things (IoT) &amp; Smart Cities</t>
  </si>
  <si>
    <t>iProEDGE</t>
  </si>
  <si>
    <t>IT Audit Co-sourcing / Out-sourcing / IT SOX</t>
  </si>
  <si>
    <t>IT Audit</t>
  </si>
  <si>
    <t>Local Content Program Certification (ICV)</t>
  </si>
  <si>
    <t>M&amp;A, Buy/Sell Advisory, Deals</t>
  </si>
  <si>
    <t>Managed Business Services</t>
  </si>
  <si>
    <t>Managed Technology Services</t>
  </si>
  <si>
    <t>Market Research, Feasibility and Financial Advisory</t>
  </si>
  <si>
    <t>Microsoft Enterprise Solutions</t>
  </si>
  <si>
    <t>EAS</t>
  </si>
  <si>
    <t>Model Services</t>
  </si>
  <si>
    <t>Monimove</t>
  </si>
  <si>
    <t>MSS, Incident Response &amp; Ops Resilience</t>
  </si>
  <si>
    <t>Next Gen Audits (Digital, Cloud, RPA, Social Media, Data Governance etc.)</t>
  </si>
  <si>
    <t>Next Gen IA</t>
  </si>
  <si>
    <t>Operational Risk</t>
  </si>
  <si>
    <t>Operations and Delivery</t>
  </si>
  <si>
    <t>Oracle Services</t>
  </si>
  <si>
    <t>Organization Structure, JDs And 3Ps</t>
  </si>
  <si>
    <t>Other Application Services</t>
  </si>
  <si>
    <t>Others</t>
  </si>
  <si>
    <t>Outsourcing / Co-Sourcing Risk Mgmt.</t>
  </si>
  <si>
    <t>Performance Improvement</t>
  </si>
  <si>
    <t>Platforms- Outsystems, Force, Now, Azure, AWS</t>
  </si>
  <si>
    <t>Protiviti Governance Portal</t>
  </si>
  <si>
    <t>SAP Services</t>
  </si>
  <si>
    <t>Security Program and Strategy</t>
  </si>
  <si>
    <t>Supply Chain</t>
  </si>
  <si>
    <t>System Selection / Solutions Design</t>
  </si>
  <si>
    <t>Technology Risk Management &amp; Governance</t>
  </si>
  <si>
    <t>Technology/Digital Strategy, Selection and Architecture</t>
  </si>
  <si>
    <t>Transformation Program Execution &amp; Management</t>
  </si>
  <si>
    <t>Valuation and PPA</t>
  </si>
  <si>
    <t>MBS</t>
  </si>
  <si>
    <t>Talent Solution</t>
  </si>
  <si>
    <t>ESG Solution</t>
  </si>
  <si>
    <t>Kuwait</t>
  </si>
  <si>
    <t>Protiviti Member Firm Kuwait WLL</t>
  </si>
  <si>
    <t>Qatar</t>
  </si>
  <si>
    <t>Protiviti Member Firm Qatar LLC</t>
  </si>
  <si>
    <t>KSA</t>
  </si>
  <si>
    <t>Saad Bin Saleh Al Sabti &amp; Partners Company WLL</t>
  </si>
  <si>
    <t>Bahrain</t>
  </si>
  <si>
    <t>Protiviti Member Firm Bahrain SPC</t>
  </si>
  <si>
    <t>Protiviti Member Firm Bahrain Consulting Co. SPC</t>
  </si>
  <si>
    <t>Oman</t>
  </si>
  <si>
    <t>Insight for Financial and Business Consulting LLC - Oman</t>
  </si>
  <si>
    <t>UAE</t>
  </si>
  <si>
    <t xml:space="preserve">Protiviti Member Firm ( ME ) Ltd – Dubai </t>
  </si>
  <si>
    <t xml:space="preserve">Protiviti Member Firm  ME Consultancy- Dubai </t>
  </si>
  <si>
    <t>Protiviti Member Firm  ME Consultancy - AUH On shore company</t>
  </si>
  <si>
    <t>Industries</t>
  </si>
  <si>
    <t>Airlines</t>
  </si>
  <si>
    <t>Alternate Energy</t>
  </si>
  <si>
    <t>Asset Management/Investment Cos.</t>
  </si>
  <si>
    <t>Automotive</t>
  </si>
  <si>
    <t>Charitable Org. / Foundations</t>
  </si>
  <si>
    <t>Construction</t>
  </si>
  <si>
    <t>Education</t>
  </si>
  <si>
    <t>Free Zone</t>
  </si>
  <si>
    <t>Government - Departments</t>
  </si>
  <si>
    <t>Government - Ministries</t>
  </si>
  <si>
    <t>Hospitality</t>
  </si>
  <si>
    <t>Hospitals &amp; Health Care</t>
  </si>
  <si>
    <t>Insurance</t>
  </si>
  <si>
    <t>IT Services / Software</t>
  </si>
  <si>
    <t>Manufacturing</t>
  </si>
  <si>
    <t>Media &amp; Entertainment</t>
  </si>
  <si>
    <t>Mining</t>
  </si>
  <si>
    <t>Oil &amp; Gas</t>
  </si>
  <si>
    <t>Other - Consumer Product Services</t>
  </si>
  <si>
    <t>Other - Energy &amp; Utilities</t>
  </si>
  <si>
    <t>Other - Financial Services</t>
  </si>
  <si>
    <t>Other - Healthcare &amp; Life Sciences</t>
  </si>
  <si>
    <t>Other - Industrial Products</t>
  </si>
  <si>
    <t>Other - Real Estate &amp; Construction</t>
  </si>
  <si>
    <t>Other - Regulator</t>
  </si>
  <si>
    <t>Other - Technology, Media &amp; Communications</t>
  </si>
  <si>
    <t>Pharmeceutical / Pharmecies</t>
  </si>
  <si>
    <t>Real Estate</t>
  </si>
  <si>
    <t>Regulator - Energy &amp; Utilities</t>
  </si>
  <si>
    <t>Regulator - Health Services</t>
  </si>
  <si>
    <t>Regulator - Telecom</t>
  </si>
  <si>
    <t>Regulator-Financial Services</t>
  </si>
  <si>
    <t>Retail</t>
  </si>
  <si>
    <t>Sovereign Wealth Fund</t>
  </si>
  <si>
    <t>Stock Exchange</t>
  </si>
  <si>
    <t>Telcos And ISPS</t>
  </si>
  <si>
    <t>Transportation, Ports And Logistics</t>
  </si>
  <si>
    <t>Utilities - Power &amp; Water</t>
  </si>
  <si>
    <t>Rates &amp; Org</t>
  </si>
  <si>
    <t>Place of Supply</t>
  </si>
  <si>
    <t>Managing Director</t>
  </si>
  <si>
    <t>Andaman &amp; Nicobar Islands</t>
  </si>
  <si>
    <t>Senior Director</t>
  </si>
  <si>
    <t>Andhra Pradesh</t>
  </si>
  <si>
    <t>Director</t>
  </si>
  <si>
    <t>Arunachal Pradesh</t>
  </si>
  <si>
    <t>Associate Director</t>
  </si>
  <si>
    <t>Assam</t>
  </si>
  <si>
    <t>Senior Manager</t>
  </si>
  <si>
    <t>Bihar</t>
  </si>
  <si>
    <t>Manager</t>
  </si>
  <si>
    <t>Chandigarh</t>
  </si>
  <si>
    <t>Deputy Manager</t>
  </si>
  <si>
    <t>Chhattisgarh</t>
  </si>
  <si>
    <t>Senior Consultant</t>
  </si>
  <si>
    <t>Dadra &amp; Nagar Haveli</t>
  </si>
  <si>
    <t>Consultant 3</t>
  </si>
  <si>
    <t>Daman &amp; Diu</t>
  </si>
  <si>
    <t>Consultant 2</t>
  </si>
  <si>
    <t>Delhi</t>
  </si>
  <si>
    <t>Consultant 1</t>
  </si>
  <si>
    <t>Goa</t>
  </si>
  <si>
    <t>Gujarat</t>
  </si>
  <si>
    <t>Sub-Con</t>
  </si>
  <si>
    <t>Haryana</t>
  </si>
  <si>
    <t>Himachal Pradesh</t>
  </si>
  <si>
    <t>AAS/TAS</t>
  </si>
  <si>
    <t>Jammu &amp; Kashmir</t>
  </si>
  <si>
    <t>BPI</t>
  </si>
  <si>
    <t>Jharkhand</t>
  </si>
  <si>
    <t>D&amp;D</t>
  </si>
  <si>
    <t>Hourly</t>
  </si>
  <si>
    <t>Karnataka</t>
  </si>
  <si>
    <t>FRM</t>
  </si>
  <si>
    <t>Daily</t>
  </si>
  <si>
    <t>Kerala</t>
  </si>
  <si>
    <t>IAFA</t>
  </si>
  <si>
    <t>Blended</t>
  </si>
  <si>
    <t>Lakshdweep</t>
  </si>
  <si>
    <t>Monthly</t>
  </si>
  <si>
    <t>Madhya Pradesh</t>
  </si>
  <si>
    <t>Maharashtra</t>
  </si>
  <si>
    <t>Manipur</t>
  </si>
  <si>
    <t>TC-ETG</t>
  </si>
  <si>
    <t>Meghalaya</t>
  </si>
  <si>
    <t>TC-EAS</t>
  </si>
  <si>
    <t>Mizoram</t>
  </si>
  <si>
    <t>TC-PSS</t>
  </si>
  <si>
    <t>Nagaland</t>
  </si>
  <si>
    <t>Odisha (Formerly Orissa)</t>
  </si>
  <si>
    <t>Protiviti India Member Pvt. Ltd.</t>
  </si>
  <si>
    <t>Pondicherry</t>
  </si>
  <si>
    <t>Protiviti Advisory India Member LLP</t>
  </si>
  <si>
    <t>Punjab</t>
  </si>
  <si>
    <t>Rajasthan</t>
  </si>
  <si>
    <t>Sikkim</t>
  </si>
  <si>
    <t>Tamil Nadu</t>
  </si>
  <si>
    <t>Telangana</t>
  </si>
  <si>
    <t>Tripura</t>
  </si>
  <si>
    <t>Uttar Pradesh</t>
  </si>
  <si>
    <t>Uttranchal</t>
  </si>
  <si>
    <t>West Bengal</t>
  </si>
  <si>
    <t>Outside India</t>
  </si>
  <si>
    <t>Billing Details</t>
  </si>
  <si>
    <t>Billing Options</t>
  </si>
  <si>
    <t>Sub Options</t>
  </si>
  <si>
    <t>Inclusive</t>
  </si>
  <si>
    <t>Exempted</t>
  </si>
  <si>
    <t xml:space="preserve">Fixed Fee </t>
  </si>
  <si>
    <t>7 days on invoice submission</t>
  </si>
  <si>
    <t>Chargeable</t>
  </si>
  <si>
    <t>Hourly Rate</t>
  </si>
  <si>
    <t xml:space="preserve">Monthly </t>
  </si>
  <si>
    <t>15 days on invoice submission</t>
  </si>
  <si>
    <t>Daily Rate</t>
  </si>
  <si>
    <t>30 days on invoice submission</t>
  </si>
  <si>
    <t>45 days on invoice submission</t>
  </si>
  <si>
    <t>Secondment</t>
  </si>
  <si>
    <t>90 days on invoice submission</t>
  </si>
  <si>
    <t>Milestone Based</t>
  </si>
  <si>
    <t>Cash payment</t>
  </si>
  <si>
    <t>Monthly Fee</t>
  </si>
  <si>
    <t>Any other terms (please indicate)</t>
  </si>
  <si>
    <t>Quarterly fee</t>
  </si>
  <si>
    <t>Half yearly</t>
  </si>
  <si>
    <t>Yearly Fee</t>
  </si>
  <si>
    <t>Lumpsum - 100% on Deliverable</t>
  </si>
  <si>
    <t>Links</t>
  </si>
  <si>
    <t>Protiviti Member Firm (India)</t>
  </si>
  <si>
    <t>Project_Template_2023_Apr.23</t>
  </si>
  <si>
    <t>Project Template</t>
  </si>
  <si>
    <t>Revision</t>
  </si>
  <si>
    <t>Assigned Project Code</t>
  </si>
  <si>
    <t>New Win ?</t>
  </si>
  <si>
    <t>Yes</t>
  </si>
  <si>
    <t>Basic Data:</t>
  </si>
  <si>
    <t>Project Details</t>
  </si>
  <si>
    <t>Service Line:</t>
  </si>
  <si>
    <t>Expected Start Date:</t>
  </si>
  <si>
    <t>Target End Date:</t>
  </si>
  <si>
    <t>Solution Type:</t>
  </si>
  <si>
    <t>Client Legal Name:</t>
  </si>
  <si>
    <t>Project Description:</t>
  </si>
  <si>
    <t>Project MD:</t>
  </si>
  <si>
    <t>Opportunity ID:</t>
  </si>
  <si>
    <t>Project Director:</t>
  </si>
  <si>
    <t>Opportunity Value</t>
  </si>
  <si>
    <t>Project Manager:</t>
  </si>
  <si>
    <t>Not Available</t>
  </si>
  <si>
    <t>Basis of Billing:</t>
  </si>
  <si>
    <t>Draft</t>
  </si>
  <si>
    <t>Client Details:</t>
  </si>
  <si>
    <t>Type:</t>
  </si>
  <si>
    <t>Parent Group:</t>
  </si>
  <si>
    <t>Address</t>
  </si>
  <si>
    <t>Remarks / Comments:</t>
  </si>
  <si>
    <t>Place of Supply (State)*</t>
  </si>
  <si>
    <t>Client Contact Person Name</t>
  </si>
  <si>
    <t>Mr.</t>
  </si>
  <si>
    <t>Client Contact's Designation</t>
  </si>
  <si>
    <t>PAN No:</t>
  </si>
  <si>
    <t>TAN No:</t>
  </si>
  <si>
    <t>GST No:</t>
  </si>
  <si>
    <t>Email id</t>
  </si>
  <si>
    <t>Phone No.</t>
  </si>
  <si>
    <t>Fax No.</t>
  </si>
  <si>
    <t>Step 2: Click on "Fees and Outlays" button to enter fees and outlay details.</t>
  </si>
  <si>
    <t>1. Business Unit, Billing Currency and Project Type are CRITICAL fields; make sure to select appropriately.</t>
  </si>
  <si>
    <t>Step 3: Click on "Billing Details" button to enter billing schedule.</t>
  </si>
  <si>
    <t>Step 4: SAVE the file.</t>
  </si>
  <si>
    <t>Step 5: Click on the "Print Template" button to print the entire template.</t>
  </si>
  <si>
    <t>2. For the "Fees and Outlays" button to work the macro security setting must be set to Low or Medium and macros must be enabled when prompted. Macro security setting can be changed under Tools – Options – Security – Macro Security.</t>
  </si>
  <si>
    <t xml:space="preserve">S U M M A R Y </t>
  </si>
  <si>
    <t>New Win</t>
  </si>
  <si>
    <t>Sales Force ID</t>
  </si>
  <si>
    <t>Sales Lead</t>
  </si>
  <si>
    <t>Engagement Org</t>
  </si>
  <si>
    <t>Engagement MD</t>
  </si>
  <si>
    <t>Name of the Client</t>
  </si>
  <si>
    <t>Engagement DIR</t>
  </si>
  <si>
    <t>Engagement Manager</t>
  </si>
  <si>
    <t>Start Date</t>
  </si>
  <si>
    <t>Solution/Service</t>
  </si>
  <si>
    <t>End Date</t>
  </si>
  <si>
    <t>Contract  Status</t>
  </si>
  <si>
    <t>Basis of Billing</t>
  </si>
  <si>
    <t>Hours Budgeted</t>
  </si>
  <si>
    <t>Direct Cost</t>
  </si>
  <si>
    <t>Standard Fees</t>
  </si>
  <si>
    <t>Contribution Margin On Net Fee</t>
  </si>
  <si>
    <t xml:space="preserve">Contract Value </t>
  </si>
  <si>
    <t xml:space="preserve">OPE  Budgeted </t>
  </si>
  <si>
    <t>Contribution</t>
  </si>
  <si>
    <t>OPE</t>
  </si>
  <si>
    <t>Other Offices &amp; 3rd party</t>
  </si>
  <si>
    <t>NET fee</t>
  </si>
  <si>
    <t>Retention/ Others / VAT</t>
  </si>
  <si>
    <t>Net Rev per hour</t>
  </si>
  <si>
    <t>Expected Mix</t>
  </si>
  <si>
    <t>Designation</t>
  </si>
  <si>
    <t>Hours</t>
  </si>
  <si>
    <t>Mix</t>
  </si>
  <si>
    <t>Assistant Manager</t>
  </si>
  <si>
    <t>Consultant</t>
  </si>
  <si>
    <t>Associate</t>
  </si>
  <si>
    <t>MD/SD</t>
  </si>
  <si>
    <t>Sr. Mgr</t>
  </si>
  <si>
    <t>Sr. Cons.</t>
  </si>
  <si>
    <t>Dir.</t>
  </si>
  <si>
    <t>Snr. Mgr.</t>
  </si>
  <si>
    <t>Ast. Mgr.</t>
  </si>
  <si>
    <t>Additonal Comments: (If Any)</t>
  </si>
  <si>
    <t xml:space="preserve">
</t>
  </si>
  <si>
    <t>Documents submitted while Creation</t>
  </si>
  <si>
    <t>(Please Check the Boxes)</t>
  </si>
  <si>
    <t>1. Project Template</t>
  </si>
  <si>
    <t>2. Approving MD Email</t>
  </si>
  <si>
    <t>3. Contract/ EL /TOR -Doc. validating the PT Value</t>
  </si>
  <si>
    <t>4. Sub contract - If involved on project</t>
  </si>
  <si>
    <t>5. India Sub contracting Information</t>
  </si>
  <si>
    <t>Snr. Con.</t>
  </si>
  <si>
    <t>Con.</t>
  </si>
  <si>
    <t>R A T E S H E E T</t>
  </si>
  <si>
    <t>Pankaj</t>
  </si>
  <si>
    <t>Calc1</t>
  </si>
  <si>
    <t>Calc</t>
  </si>
  <si>
    <t>Grade</t>
  </si>
  <si>
    <t>Chargeout rates</t>
  </si>
  <si>
    <t>Cost Rate</t>
  </si>
  <si>
    <t>Chargeout rates 1-Jul-23</t>
  </si>
  <si>
    <t>Cost Rate 1-Jul-23</t>
  </si>
  <si>
    <t>Con3</t>
  </si>
  <si>
    <t>Con2</t>
  </si>
  <si>
    <t>Con1</t>
  </si>
  <si>
    <t xml:space="preserve">HSBC </t>
  </si>
  <si>
    <t>CCM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</si>
</sst>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quot;$&quot;#,##0_);\(&quot;$&quot;#,##0\)"/>
    <numFmt numFmtId="165" formatCode="_(&quot;$&quot;* #,##0.00_);_(&quot;$&quot;* \(#,##0.00\);_(&quot;$&quot;* &quot;-&quot;??_);_(@_)"/>
    <numFmt numFmtId="166" formatCode="_(* #,##0.00_);_(* \(#,##0.00\);_(* &quot;-&quot;??_);_(@_)"/>
    <numFmt numFmtId="167" formatCode="#,##0.000_);[Red]\(#,##0.000\)"/>
    <numFmt numFmtId="168" formatCode="0.000%"/>
    <numFmt numFmtId="169" formatCode="0.00_)"/>
    <numFmt numFmtId="170" formatCode="[$-409]mmm\-yy;@"/>
    <numFmt numFmtId="171" formatCode="[$-409]d\-mmm\-yy;@"/>
    <numFmt numFmtId="172" formatCode="\-"/>
    <numFmt numFmtId="173" formatCode="_(* #,##0_);_(* \(#,##0\);_(* &quot;-&quot;??_);_(@_)"/>
    <numFmt numFmtId="174" formatCode="0.0"/>
    <numFmt numFmtId="175" formatCode="0.0%"/>
    <numFmt numFmtId="176" formatCode="_(* #,##0;_(* \(#,##0\);_(* &quot;-&quot;;_(@_)"/>
    <numFmt numFmtId="177" formatCode="_(* #,##0.00;_(* \(#,##0.00\);_(* &quot;-&quot;;_(@_)"/>
    <numFmt numFmtId="178" formatCode="_(* #,##0.0_);_(* \(#,##0.0\);_(* &quot;-&quot;??_);_(@_)"/>
    <numFmt numFmtId="179" formatCode="&quot;$&quot;#,##0"/>
  </numFmts>
  <fonts count="107">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u/>
      <sz val="11"/>
      <color theme="0"/>
      <name val="Calibri"/>
      <family val="2"/>
      <scheme val="minor"/>
    </font>
    <font>
      <u/>
      <sz val="10"/>
      <color indexed="12"/>
      <name val="Arial"/>
      <family val="2"/>
    </font>
    <font>
      <b/>
      <u/>
      <sz val="11"/>
      <color theme="1"/>
      <name val="Calibri"/>
      <family val="2"/>
      <scheme val="minor"/>
    </font>
    <font>
      <b/>
      <sz val="10"/>
      <color theme="1"/>
      <name val="Calibri"/>
      <family val="2"/>
      <scheme val="minor"/>
    </font>
    <font>
      <sz val="10"/>
      <color theme="1"/>
      <name val="Calibri"/>
      <family val="2"/>
      <scheme val="minor"/>
    </font>
    <font>
      <sz val="10"/>
      <name val="Helv"/>
      <charset val="204"/>
    </font>
    <font>
      <sz val="10"/>
      <name val="Arial"/>
      <family val="2"/>
    </font>
    <font>
      <sz val="11"/>
      <color indexed="8"/>
      <name val="Calibri"/>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b/>
      <i/>
      <sz val="16"/>
      <name val="Helv"/>
      <charset val="178"/>
    </font>
    <font>
      <sz val="10"/>
      <name val="Helv"/>
    </font>
    <font>
      <b/>
      <i/>
      <sz val="9"/>
      <color theme="0" tint="-4.9989318521683403E-2"/>
      <name val="Arial"/>
      <family val="2"/>
    </font>
    <font>
      <b/>
      <sz val="9"/>
      <color rgb="FF000000"/>
      <name val="Arial"/>
      <family val="2"/>
    </font>
    <font>
      <b/>
      <sz val="9"/>
      <color rgb="FF000000"/>
      <name val="Times New Roman"/>
      <family val="1"/>
    </font>
    <font>
      <b/>
      <sz val="11"/>
      <name val="Arial"/>
      <family val="2"/>
    </font>
    <font>
      <sz val="11"/>
      <name val="Arial"/>
      <family val="2"/>
    </font>
    <font>
      <sz val="10"/>
      <color theme="0"/>
      <name val="Arial"/>
      <family val="2"/>
    </font>
    <font>
      <sz val="8"/>
      <name val="Calibri"/>
      <family val="2"/>
      <scheme val="minor"/>
    </font>
    <font>
      <b/>
      <u/>
      <sz val="11"/>
      <color theme="9" tint="-0.249977111117893"/>
      <name val="Arial"/>
      <family val="2"/>
    </font>
    <font>
      <b/>
      <i/>
      <sz val="11"/>
      <color indexed="12"/>
      <name val="Arial"/>
      <family val="2"/>
    </font>
    <font>
      <b/>
      <sz val="10"/>
      <color indexed="14"/>
      <name val="Arial"/>
      <family val="2"/>
    </font>
    <font>
      <b/>
      <u/>
      <sz val="14"/>
      <color indexed="12"/>
      <name val="Calibri"/>
      <family val="2"/>
      <scheme val="minor"/>
    </font>
    <font>
      <sz val="10"/>
      <name val="Calibri"/>
      <family val="2"/>
      <scheme val="minor"/>
    </font>
    <font>
      <sz val="9"/>
      <name val="Calibri"/>
      <family val="2"/>
      <scheme val="minor"/>
    </font>
    <font>
      <b/>
      <sz val="8"/>
      <color indexed="81"/>
      <name val="Tahoma"/>
      <family val="2"/>
    </font>
    <font>
      <b/>
      <sz val="9"/>
      <color indexed="81"/>
      <name val="Tahoma"/>
      <family val="2"/>
    </font>
    <font>
      <sz val="9"/>
      <color indexed="81"/>
      <name val="Tahoma"/>
      <family val="2"/>
    </font>
    <font>
      <b/>
      <sz val="9"/>
      <color indexed="81"/>
      <name val="Calibri"/>
      <family val="2"/>
      <scheme val="minor"/>
    </font>
    <font>
      <sz val="11"/>
      <name val="Calibri"/>
      <family val="2"/>
      <scheme val="minor"/>
    </font>
    <font>
      <b/>
      <sz val="8"/>
      <name val="Arial"/>
      <family val="2"/>
    </font>
    <font>
      <sz val="8"/>
      <name val="Arial"/>
      <family val="2"/>
    </font>
    <font>
      <b/>
      <sz val="10"/>
      <name val="Calibri"/>
      <family val="2"/>
      <scheme val="minor"/>
    </font>
    <font>
      <b/>
      <sz val="10"/>
      <name val="Arial"/>
      <family val="2"/>
    </font>
    <font>
      <sz val="9"/>
      <name val="Arial"/>
      <family val="2"/>
    </font>
    <font>
      <b/>
      <sz val="10"/>
      <color indexed="8"/>
      <name val="Calibri"/>
      <family val="2"/>
      <scheme val="minor"/>
    </font>
    <font>
      <b/>
      <sz val="10"/>
      <color theme="0"/>
      <name val="Arial"/>
      <family val="2"/>
    </font>
    <font>
      <b/>
      <sz val="10"/>
      <color rgb="FFFF0000"/>
      <name val="Arial"/>
      <family val="2"/>
    </font>
    <font>
      <b/>
      <sz val="10"/>
      <color rgb="FFFF0000"/>
      <name val="Calibri"/>
      <family val="2"/>
      <scheme val="minor"/>
    </font>
    <font>
      <b/>
      <sz val="10"/>
      <color indexed="10"/>
      <name val="Calibri"/>
      <family val="2"/>
      <scheme val="minor"/>
    </font>
    <font>
      <b/>
      <i/>
      <sz val="10"/>
      <name val="Calibri"/>
      <family val="2"/>
      <scheme val="minor"/>
    </font>
    <font>
      <b/>
      <sz val="11"/>
      <color theme="8" tint="-0.249977111117893"/>
      <name val="Calibri"/>
      <family val="2"/>
      <scheme val="minor"/>
    </font>
    <font>
      <b/>
      <sz val="9"/>
      <name val="Calibri"/>
      <family val="2"/>
      <scheme val="minor"/>
    </font>
    <font>
      <sz val="9"/>
      <color indexed="81"/>
      <name val="Calibri"/>
      <family val="2"/>
      <scheme val="minor"/>
    </font>
    <font>
      <b/>
      <sz val="10"/>
      <color theme="0"/>
      <name val="Calibri"/>
      <family val="2"/>
      <scheme val="minor"/>
    </font>
    <font>
      <sz val="10"/>
      <color theme="0"/>
      <name val="Calibri"/>
      <family val="2"/>
      <scheme val="minor"/>
    </font>
    <font>
      <b/>
      <u/>
      <sz val="10"/>
      <name val="Calibri"/>
      <family val="2"/>
      <scheme val="minor"/>
    </font>
    <font>
      <b/>
      <sz val="10"/>
      <color theme="8" tint="-0.249977111117893"/>
      <name val="Calibri"/>
      <family val="2"/>
      <scheme val="minor"/>
    </font>
    <font>
      <b/>
      <sz val="8"/>
      <name val="Calibri"/>
      <family val="2"/>
      <scheme val="minor"/>
    </font>
    <font>
      <b/>
      <i/>
      <sz val="10"/>
      <color indexed="12"/>
      <name val="Calibri"/>
      <family val="2"/>
      <scheme val="minor"/>
    </font>
    <font>
      <b/>
      <sz val="10"/>
      <color theme="9" tint="-0.249977111117893"/>
      <name val="Calibri"/>
      <family val="2"/>
      <scheme val="minor"/>
    </font>
    <font>
      <b/>
      <i/>
      <sz val="10"/>
      <name val="Cambria"/>
      <family val="1"/>
      <scheme val="major"/>
    </font>
    <font>
      <b/>
      <sz val="9"/>
      <name val="Arial"/>
      <family val="2"/>
    </font>
    <font>
      <sz val="10"/>
      <color indexed="9"/>
      <name val="Arial"/>
      <family val="2"/>
    </font>
    <font>
      <sz val="8"/>
      <color theme="1"/>
      <name val="Calibri"/>
      <family val="2"/>
      <scheme val="minor"/>
    </font>
    <font>
      <b/>
      <sz val="8"/>
      <color theme="1"/>
      <name val="Calibri"/>
      <family val="2"/>
      <scheme val="minor"/>
    </font>
    <font>
      <b/>
      <sz val="8"/>
      <name val="Calibri"/>
      <family val="2"/>
    </font>
    <font>
      <b/>
      <sz val="15"/>
      <color theme="1"/>
      <name val="Calibri"/>
      <family val="2"/>
      <scheme val="minor"/>
    </font>
    <font>
      <b/>
      <sz val="10"/>
      <color indexed="10"/>
      <name val="Arial"/>
      <family val="2"/>
    </font>
    <font>
      <b/>
      <sz val="10"/>
      <color indexed="12"/>
      <name val="Arial"/>
      <family val="2"/>
    </font>
    <font>
      <b/>
      <sz val="10"/>
      <color indexed="9"/>
      <name val="Arial"/>
      <family val="2"/>
    </font>
    <font>
      <b/>
      <sz val="8"/>
      <color rgb="FFFF0000"/>
      <name val="Arial"/>
      <family val="2"/>
    </font>
    <font>
      <b/>
      <i/>
      <sz val="10"/>
      <color indexed="12"/>
      <name val="Arial"/>
      <family val="2"/>
    </font>
    <font>
      <b/>
      <sz val="11"/>
      <color theme="1" tint="0.249977111117893"/>
      <name val="Calibri"/>
      <family val="2"/>
      <scheme val="minor"/>
    </font>
    <font>
      <sz val="10"/>
      <name val="Calibri"/>
      <family val="2"/>
    </font>
    <font>
      <b/>
      <sz val="11"/>
      <name val="Calibri"/>
      <family val="2"/>
      <scheme val="minor"/>
    </font>
    <font>
      <b/>
      <i/>
      <sz val="10"/>
      <color theme="0"/>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0"/>
      <color theme="1"/>
      <name val="Arial"/>
      <family val="2"/>
    </font>
    <font>
      <b/>
      <sz val="11"/>
      <name val="Calibri"/>
      <family val="2"/>
    </font>
    <font>
      <sz val="11"/>
      <name val="Calibri"/>
      <family val="2"/>
    </font>
    <font>
      <u/>
      <sz val="11"/>
      <color theme="1"/>
      <name val="Calibri"/>
      <family val="2"/>
      <scheme val="minor"/>
    </font>
    <font>
      <b/>
      <u/>
      <sz val="11"/>
      <name val="Calibri"/>
      <family val="2"/>
    </font>
    <font>
      <b/>
      <i/>
      <sz val="10"/>
      <color theme="1"/>
      <name val="Calibri"/>
      <family val="2"/>
      <scheme val="minor"/>
    </font>
    <font>
      <sz val="10"/>
      <color rgb="FF000000"/>
      <name val="Calibri"/>
      <family val="2"/>
      <scheme val="minor"/>
    </font>
    <font>
      <sz val="11"/>
      <color theme="4" tint="0.79998168889431442"/>
      <name val="Times New Roman"/>
      <family val="1"/>
    </font>
    <font>
      <sz val="11"/>
      <color theme="4" tint="0.79998168889431442"/>
      <name val="Calibri"/>
      <family val="2"/>
      <scheme val="minor"/>
    </font>
    <font>
      <sz val="11"/>
      <color theme="4" tint="0.79998168889431442"/>
      <name val="Calibri"/>
      <family val="2"/>
    </font>
    <font>
      <b/>
      <sz val="11"/>
      <color theme="0"/>
      <name val="Calibri"/>
      <family val="2"/>
      <scheme val="minor"/>
    </font>
    <font>
      <b/>
      <sz val="9"/>
      <color theme="0"/>
      <name val="Calibri"/>
      <family val="2"/>
      <scheme val="minor"/>
    </font>
    <font>
      <i/>
      <sz val="9"/>
      <name val="Calibri"/>
      <family val="2"/>
      <scheme val="minor"/>
    </font>
    <font>
      <u/>
      <sz val="9"/>
      <color indexed="12"/>
      <name val="Calibri"/>
      <family val="2"/>
      <scheme val="minor"/>
    </font>
    <font>
      <sz val="9"/>
      <color theme="0"/>
      <name val="Calibri"/>
      <family val="2"/>
      <scheme val="minor"/>
    </font>
    <font>
      <sz val="9"/>
      <color rgb="FFCCFFCC"/>
      <name val="Calibri"/>
      <family val="2"/>
      <scheme val="minor"/>
    </font>
    <font>
      <sz val="9"/>
      <color indexed="9"/>
      <name val="Calibri"/>
      <family val="2"/>
      <scheme val="minor"/>
    </font>
    <font>
      <b/>
      <i/>
      <u/>
      <sz val="9"/>
      <name val="Calibri"/>
      <family val="2"/>
      <scheme val="minor"/>
    </font>
    <font>
      <b/>
      <i/>
      <sz val="9"/>
      <name val="Calibri"/>
      <family val="2"/>
      <scheme val="minor"/>
    </font>
    <font>
      <sz val="9"/>
      <color theme="1"/>
      <name val="Calibri"/>
      <family val="2"/>
      <scheme val="minor"/>
    </font>
    <font>
      <b/>
      <sz val="9"/>
      <color rgb="FFCCFFCC"/>
      <name val="Calibri"/>
      <family val="2"/>
      <scheme val="minor"/>
    </font>
    <font>
      <b/>
      <sz val="9"/>
      <color indexed="9"/>
      <name val="Calibri"/>
      <family val="2"/>
      <scheme val="minor"/>
    </font>
    <font>
      <b/>
      <u/>
      <sz val="9"/>
      <name val="Calibri"/>
      <family val="2"/>
      <scheme val="minor"/>
    </font>
    <font>
      <b/>
      <u/>
      <sz val="9"/>
      <color theme="9" tint="-0.249977111117893"/>
      <name val="Calibri"/>
      <family val="2"/>
      <scheme val="minor"/>
    </font>
    <font>
      <b/>
      <i/>
      <sz val="9"/>
      <color indexed="12"/>
      <name val="Calibri"/>
      <family val="2"/>
      <scheme val="minor"/>
    </font>
    <font>
      <b/>
      <sz val="9"/>
      <color indexed="14"/>
      <name val="Calibri"/>
      <family val="2"/>
      <scheme val="minor"/>
    </font>
    <font>
      <b/>
      <sz val="9"/>
      <color theme="8" tint="-0.249977111117893"/>
      <name val="Calibri"/>
      <family val="2"/>
      <scheme val="minor"/>
    </font>
    <font>
      <sz val="9"/>
      <color rgb="FFFF0000"/>
      <name val="Calibri"/>
      <family val="2"/>
      <scheme val="minor"/>
    </font>
    <font>
      <b/>
      <sz val="10"/>
      <color rgb="FF000000"/>
      <name val="Calibri"/>
      <family val="2"/>
    </font>
    <font>
      <sz val="10"/>
      <color rgb="FF000000"/>
      <name val="Arial"/>
      <family val="2"/>
    </font>
  </fonts>
  <fills count="32">
    <fill>
      <patternFill patternType="none"/>
    </fill>
    <fill>
      <patternFill patternType="gray125"/>
    </fill>
    <fill>
      <patternFill patternType="solid">
        <fgColor theme="3" tint="0.39997558519241921"/>
        <bgColor indexed="64"/>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indexed="23"/>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5"/>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CCDDEA"/>
        <bgColor indexed="64"/>
      </patternFill>
    </fill>
    <fill>
      <patternFill patternType="solid">
        <fgColor rgb="FFF2F2F2"/>
        <bgColor indexed="64"/>
      </patternFill>
    </fill>
    <fill>
      <patternFill patternType="solid">
        <fgColor theme="2"/>
        <bgColor indexed="64"/>
      </patternFill>
    </fill>
    <fill>
      <patternFill patternType="solid">
        <fgColor rgb="FFDBDBDB"/>
        <bgColor indexed="64"/>
      </patternFill>
    </fill>
    <fill>
      <patternFill patternType="solid">
        <fgColor rgb="FFCCDDE7"/>
        <bgColor indexed="64"/>
      </patternFill>
    </fill>
  </fills>
  <borders count="25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style="thin">
        <color indexed="23"/>
      </bottom>
      <diagonal/>
    </border>
    <border>
      <left/>
      <right style="thin">
        <color theme="0" tint="-0.34998626667073579"/>
      </right>
      <top style="thin">
        <color theme="0" tint="-0.34998626667073579"/>
      </top>
      <bottom style="thin">
        <color indexed="23"/>
      </bottom>
      <diagonal/>
    </border>
    <border>
      <left/>
      <right/>
      <top/>
      <bottom style="thin">
        <color indexed="23"/>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499984740745262"/>
      </top>
      <bottom/>
      <diagonal/>
    </border>
    <border>
      <left/>
      <right/>
      <top/>
      <bottom style="thin">
        <color theme="0" tint="-0.34998626667073579"/>
      </bottom>
      <diagonal/>
    </border>
    <border>
      <left/>
      <right style="thin">
        <color theme="0" tint="-0.34998626667073579"/>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55"/>
      </right>
      <top style="hair">
        <color indexed="64"/>
      </top>
      <bottom style="hair">
        <color indexed="64"/>
      </bottom>
      <diagonal/>
    </border>
    <border>
      <left style="thin">
        <color indexed="23"/>
      </left>
      <right style="thin">
        <color indexed="23"/>
      </right>
      <top/>
      <bottom style="thin">
        <color indexed="23"/>
      </bottom>
      <diagonal/>
    </border>
    <border>
      <left/>
      <right style="thin">
        <color indexed="23"/>
      </right>
      <top/>
      <bottom style="thin">
        <color indexed="23"/>
      </bottom>
      <diagonal/>
    </border>
    <border>
      <left/>
      <right style="thin">
        <color indexed="64"/>
      </right>
      <top style="hair">
        <color indexed="64"/>
      </top>
      <bottom style="hair">
        <color indexed="64"/>
      </bottom>
      <diagonal/>
    </border>
    <border>
      <left style="thin">
        <color indexed="23"/>
      </left>
      <right/>
      <top style="hair">
        <color indexed="23"/>
      </top>
      <bottom style="hair">
        <color indexed="23"/>
      </bottom>
      <diagonal/>
    </border>
    <border>
      <left/>
      <right style="thin">
        <color indexed="23"/>
      </right>
      <top style="hair">
        <color indexed="23"/>
      </top>
      <bottom style="hair">
        <color indexed="23"/>
      </bottom>
      <diagonal/>
    </border>
    <border>
      <left style="thin">
        <color indexed="23"/>
      </left>
      <right style="thin">
        <color indexed="23"/>
      </right>
      <top style="hair">
        <color indexed="23"/>
      </top>
      <bottom style="hair">
        <color indexed="2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23"/>
      </left>
      <right/>
      <top style="hair">
        <color indexed="23"/>
      </top>
      <bottom style="double">
        <color theme="0" tint="-0.34998626667073579"/>
      </bottom>
      <diagonal/>
    </border>
    <border>
      <left/>
      <right style="thin">
        <color indexed="23"/>
      </right>
      <top style="hair">
        <color indexed="23"/>
      </top>
      <bottom style="double">
        <color theme="0" tint="-0.34998626667073579"/>
      </bottom>
      <diagonal/>
    </border>
    <border>
      <left style="thin">
        <color indexed="23"/>
      </left>
      <right style="thin">
        <color indexed="23"/>
      </right>
      <top style="hair">
        <color indexed="23"/>
      </top>
      <bottom style="double">
        <color theme="0" tint="-0.34998626667073579"/>
      </bottom>
      <diagonal/>
    </border>
    <border>
      <left/>
      <right/>
      <top style="thin">
        <color theme="0" tint="-0.34998626667073579"/>
      </top>
      <bottom style="hair">
        <color indexed="23"/>
      </bottom>
      <diagonal/>
    </border>
    <border>
      <left/>
      <right style="thin">
        <color indexed="23"/>
      </right>
      <top style="thin">
        <color theme="0" tint="-0.34998626667073579"/>
      </top>
      <bottom style="hair">
        <color indexed="23"/>
      </bottom>
      <diagonal/>
    </border>
    <border>
      <left/>
      <right/>
      <top style="medium">
        <color theme="0" tint="-0.34998626667073579"/>
      </top>
      <bottom/>
      <diagonal/>
    </border>
    <border>
      <left/>
      <right/>
      <top style="medium">
        <color indexed="64"/>
      </top>
      <bottom style="medium">
        <color indexed="64"/>
      </bottom>
      <diagonal/>
    </border>
    <border>
      <left/>
      <right style="thin">
        <color indexed="23"/>
      </right>
      <top style="hair">
        <color indexed="64"/>
      </top>
      <bottom style="hair">
        <color indexed="64"/>
      </bottom>
      <diagonal/>
    </border>
    <border>
      <left style="thin">
        <color indexed="23"/>
      </left>
      <right style="thin">
        <color indexed="23"/>
      </right>
      <top style="hair">
        <color indexed="64"/>
      </top>
      <bottom style="hair">
        <color indexed="64"/>
      </bottom>
      <diagonal/>
    </border>
    <border>
      <left style="thin">
        <color indexed="55"/>
      </left>
      <right/>
      <top/>
      <bottom/>
      <diagonal/>
    </border>
    <border>
      <left style="thin">
        <color indexed="55"/>
      </left>
      <right style="thin">
        <color indexed="55"/>
      </right>
      <top/>
      <bottom/>
      <diagonal/>
    </border>
    <border>
      <left style="thin">
        <color indexed="55"/>
      </left>
      <right/>
      <top/>
      <bottom style="medium">
        <color theme="0" tint="-0.34998626667073579"/>
      </bottom>
      <diagonal/>
    </border>
    <border>
      <left/>
      <right/>
      <top/>
      <bottom style="medium">
        <color theme="0" tint="-0.34998626667073579"/>
      </bottom>
      <diagonal/>
    </border>
    <border>
      <left style="thin">
        <color indexed="55"/>
      </left>
      <right style="medium">
        <color theme="0" tint="-0.34998626667073579"/>
      </right>
      <top/>
      <bottom style="medium">
        <color theme="0" tint="-0.34998626667073579"/>
      </bottom>
      <diagonal/>
    </border>
    <border>
      <left style="thin">
        <color indexed="55"/>
      </left>
      <right style="thin">
        <color indexed="55"/>
      </right>
      <top/>
      <bottom style="hair">
        <color indexed="64"/>
      </bottom>
      <diagonal/>
    </border>
    <border>
      <left style="thin">
        <color indexed="64"/>
      </left>
      <right/>
      <top style="hair">
        <color indexed="64"/>
      </top>
      <bottom style="thin">
        <color indexed="23"/>
      </bottom>
      <diagonal/>
    </border>
    <border>
      <left/>
      <right style="thin">
        <color indexed="23"/>
      </right>
      <top style="hair">
        <color indexed="64"/>
      </top>
      <bottom style="thin">
        <color indexed="23"/>
      </bottom>
      <diagonal/>
    </border>
    <border>
      <left style="thin">
        <color indexed="23"/>
      </left>
      <right style="thin">
        <color indexed="23"/>
      </right>
      <top style="hair">
        <color indexed="64"/>
      </top>
      <bottom style="thin">
        <color indexed="23"/>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55"/>
      </bottom>
      <diagonal/>
    </border>
    <border>
      <left style="thin">
        <color indexed="55"/>
      </left>
      <right style="thin">
        <color indexed="55"/>
      </right>
      <top/>
      <bottom style="thin">
        <color indexed="55"/>
      </bottom>
      <diagonal/>
    </border>
    <border>
      <left style="medium">
        <color theme="0" tint="-0.34998626667073579"/>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medium">
        <color theme="0" tint="-0.34998626667073579"/>
      </right>
      <top/>
      <bottom style="medium">
        <color theme="0" tint="-0.34998626667073579"/>
      </bottom>
      <diagonal/>
    </border>
    <border>
      <left style="thin">
        <color indexed="23"/>
      </left>
      <right/>
      <top/>
      <bottom/>
      <diagonal/>
    </border>
    <border>
      <left/>
      <right style="thin">
        <color indexed="23"/>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top style="thin">
        <color indexed="64"/>
      </top>
      <bottom style="double">
        <color indexed="64"/>
      </bottom>
      <diagonal/>
    </border>
    <border>
      <left style="thin">
        <color indexed="64"/>
      </left>
      <right style="thin">
        <color indexed="23"/>
      </right>
      <top style="hair">
        <color indexed="55"/>
      </top>
      <bottom style="hair">
        <color indexed="55"/>
      </bottom>
      <diagonal/>
    </border>
    <border>
      <left style="thin">
        <color indexed="23"/>
      </left>
      <right style="thin">
        <color indexed="23"/>
      </right>
      <top style="hair">
        <color indexed="55"/>
      </top>
      <bottom style="hair">
        <color indexed="55"/>
      </bottom>
      <diagonal/>
    </border>
    <border>
      <left style="thin">
        <color indexed="55"/>
      </left>
      <right style="thin">
        <color indexed="55"/>
      </right>
      <top style="hair">
        <color indexed="55"/>
      </top>
      <bottom style="hair">
        <color indexed="55"/>
      </bottom>
      <diagonal/>
    </border>
    <border>
      <left style="thin">
        <color indexed="23"/>
      </left>
      <right/>
      <top style="hair">
        <color indexed="55"/>
      </top>
      <bottom style="hair">
        <color indexed="55"/>
      </bottom>
      <diagonal/>
    </border>
    <border>
      <left/>
      <right style="thin">
        <color indexed="23"/>
      </right>
      <top style="hair">
        <color indexed="55"/>
      </top>
      <bottom style="hair">
        <color indexed="55"/>
      </bottom>
      <diagonal/>
    </border>
    <border>
      <left style="thin">
        <color indexed="64"/>
      </left>
      <right style="thin">
        <color indexed="23"/>
      </right>
      <top style="hair">
        <color indexed="55"/>
      </top>
      <bottom style="thin">
        <color indexed="23"/>
      </bottom>
      <diagonal/>
    </border>
    <border>
      <left style="thin">
        <color indexed="23"/>
      </left>
      <right style="thin">
        <color indexed="23"/>
      </right>
      <top style="hair">
        <color indexed="55"/>
      </top>
      <bottom style="thin">
        <color indexed="23"/>
      </bottom>
      <diagonal/>
    </border>
    <border>
      <left style="thin">
        <color indexed="55"/>
      </left>
      <right style="thin">
        <color indexed="55"/>
      </right>
      <top style="hair">
        <color indexed="55"/>
      </top>
      <bottom style="thin">
        <color indexed="55"/>
      </bottom>
      <diagonal/>
    </border>
    <border>
      <left style="thin">
        <color indexed="64"/>
      </left>
      <right style="thin">
        <color indexed="55"/>
      </right>
      <top/>
      <bottom style="hair">
        <color indexed="55"/>
      </bottom>
      <diagonal/>
    </border>
    <border>
      <left style="thin">
        <color indexed="55"/>
      </left>
      <right style="thin">
        <color indexed="55"/>
      </right>
      <top/>
      <bottom style="hair">
        <color indexed="55"/>
      </bottom>
      <diagonal/>
    </border>
    <border>
      <left style="thin">
        <color indexed="64"/>
      </left>
      <right style="thin">
        <color indexed="55"/>
      </right>
      <top style="hair">
        <color indexed="55"/>
      </top>
      <bottom style="hair">
        <color indexed="55"/>
      </bottom>
      <diagonal/>
    </border>
    <border>
      <left style="medium">
        <color indexed="64"/>
      </left>
      <right style="medium">
        <color indexed="64"/>
      </right>
      <top style="medium">
        <color indexed="64"/>
      </top>
      <bottom style="medium">
        <color indexed="64"/>
      </bottom>
      <diagonal/>
    </border>
    <border>
      <left style="thin">
        <color indexed="64"/>
      </left>
      <right/>
      <top style="thin">
        <color theme="1" tint="0.499984740745262"/>
      </top>
      <bottom style="thin">
        <color theme="1"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indexed="23"/>
      </right>
      <top/>
      <bottom/>
      <diagonal/>
    </border>
    <border>
      <left style="thin">
        <color indexed="23"/>
      </left>
      <right style="thin">
        <color indexed="23"/>
      </right>
      <top/>
      <bottom style="hair">
        <color indexed="23"/>
      </bottom>
      <diagonal/>
    </border>
    <border>
      <left style="thin">
        <color theme="0" tint="-0.34998626667073579"/>
      </left>
      <right style="thin">
        <color indexed="23"/>
      </right>
      <top style="thin">
        <color theme="0" tint="-0.34998626667073579"/>
      </top>
      <bottom/>
      <diagonal/>
    </border>
    <border>
      <left style="thin">
        <color indexed="23"/>
      </left>
      <right style="thin">
        <color theme="0" tint="-0.499984740745262"/>
      </right>
      <top style="thin">
        <color theme="0" tint="-0.34998626667073579"/>
      </top>
      <bottom/>
      <diagonal/>
    </border>
    <border>
      <left style="thin">
        <color theme="0" tint="-0.499984740745262"/>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right style="thin">
        <color indexed="23"/>
      </right>
      <top style="thin">
        <color theme="0" tint="-0.34998626667073579"/>
      </top>
      <bottom/>
      <diagonal/>
    </border>
    <border>
      <left style="thin">
        <color indexed="23"/>
      </left>
      <right style="thin">
        <color indexed="23"/>
      </right>
      <top style="thin">
        <color theme="0" tint="-0.34998626667073579"/>
      </top>
      <bottom/>
      <diagonal/>
    </border>
    <border>
      <left style="thin">
        <color theme="0" tint="-0.34998626667073579"/>
      </left>
      <right/>
      <top style="hair">
        <color indexed="23"/>
      </top>
      <bottom style="hair">
        <color indexed="23"/>
      </bottom>
      <diagonal/>
    </border>
    <border>
      <left style="thin">
        <color theme="0" tint="-0.34998626667073579"/>
      </left>
      <right/>
      <top style="hair">
        <color indexed="23"/>
      </top>
      <bottom style="double">
        <color theme="0" tint="-0.34998626667073579"/>
      </bottom>
      <diagonal/>
    </border>
    <border>
      <left style="thin">
        <color theme="0" tint="-0.34998626667073579"/>
      </left>
      <right/>
      <top/>
      <bottom style="thin">
        <color theme="0" tint="-0.34998626667073579"/>
      </bottom>
      <diagonal/>
    </border>
    <border>
      <left style="thin">
        <color indexed="23"/>
      </left>
      <right style="thin">
        <color indexed="23"/>
      </right>
      <top/>
      <bottom style="thin">
        <color theme="0" tint="-0.34998626667073579"/>
      </bottom>
      <diagonal/>
    </border>
    <border>
      <left style="thin">
        <color indexed="23"/>
      </left>
      <right/>
      <top/>
      <bottom style="thin">
        <color theme="0" tint="-0.34998626667073579"/>
      </bottom>
      <diagonal/>
    </border>
    <border>
      <left style="thin">
        <color indexed="23"/>
      </left>
      <right style="thin">
        <color indexed="23"/>
      </right>
      <top/>
      <bottom/>
      <diagonal/>
    </border>
    <border>
      <left/>
      <right style="thin">
        <color theme="0" tint="-0.34998626667073579"/>
      </right>
      <top/>
      <bottom style="thin">
        <color theme="0" tint="-0.34998626667073579"/>
      </bottom>
      <diagonal/>
    </border>
    <border>
      <left style="thin">
        <color indexed="23"/>
      </left>
      <right style="thin">
        <color theme="0" tint="-0.34998626667073579"/>
      </right>
      <top style="thin">
        <color theme="0" tint="-0.34998626667073579"/>
      </top>
      <bottom/>
      <diagonal/>
    </border>
    <border>
      <left style="thin">
        <color indexed="23"/>
      </left>
      <right style="thin">
        <color theme="0" tint="-0.34998626667073579"/>
      </right>
      <top/>
      <bottom style="thin">
        <color indexed="23"/>
      </bottom>
      <diagonal/>
    </border>
    <border>
      <left style="thin">
        <color indexed="23"/>
      </left>
      <right style="thin">
        <color theme="0" tint="-0.34998626667073579"/>
      </right>
      <top style="hair">
        <color indexed="23"/>
      </top>
      <bottom style="hair">
        <color indexed="23"/>
      </bottom>
      <diagonal/>
    </border>
    <border>
      <left style="thin">
        <color indexed="23"/>
      </left>
      <right style="thin">
        <color theme="0" tint="-0.34998626667073579"/>
      </right>
      <top style="hair">
        <color indexed="23"/>
      </top>
      <bottom style="double">
        <color theme="0" tint="-0.34998626667073579"/>
      </bottom>
      <diagonal/>
    </border>
    <border>
      <left style="thin">
        <color indexed="23"/>
      </left>
      <right style="thin">
        <color theme="0" tint="-0.34998626667073579"/>
      </right>
      <top/>
      <bottom style="thin">
        <color theme="0" tint="-0.34998626667073579"/>
      </bottom>
      <diagonal/>
    </border>
    <border>
      <left style="thin">
        <color indexed="23"/>
      </left>
      <right/>
      <top style="thin">
        <color theme="0" tint="-0.34998626667073579"/>
      </top>
      <bottom style="hair">
        <color indexed="23"/>
      </bottom>
      <diagonal/>
    </border>
    <border>
      <left style="thin">
        <color indexed="23"/>
      </left>
      <right/>
      <top style="double">
        <color theme="0" tint="-0.34998626667073579"/>
      </top>
      <bottom style="thin">
        <color indexed="23"/>
      </bottom>
      <diagonal/>
    </border>
    <border>
      <left/>
      <right style="thin">
        <color indexed="23"/>
      </right>
      <top style="double">
        <color theme="0" tint="-0.34998626667073579"/>
      </top>
      <bottom style="thin">
        <color indexed="23"/>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style="hair">
        <color indexed="64"/>
      </top>
      <bottom style="hair">
        <color indexed="64"/>
      </bottom>
      <diagonal/>
    </border>
    <border>
      <left/>
      <right style="thin">
        <color theme="1"/>
      </right>
      <top style="thin">
        <color theme="0" tint="-0.34998626667073579"/>
      </top>
      <bottom/>
      <diagonal/>
    </border>
    <border>
      <left/>
      <right style="thin">
        <color theme="1"/>
      </right>
      <top/>
      <bottom style="thin">
        <color indexed="23"/>
      </bottom>
      <diagonal/>
    </border>
    <border>
      <left/>
      <right style="thin">
        <color theme="1"/>
      </right>
      <top style="hair">
        <color indexed="23"/>
      </top>
      <bottom style="hair">
        <color indexed="23"/>
      </bottom>
      <diagonal/>
    </border>
    <border>
      <left/>
      <right style="thin">
        <color theme="1"/>
      </right>
      <top style="hair">
        <color indexed="23"/>
      </top>
      <bottom style="double">
        <color theme="0" tint="-0.34998626667073579"/>
      </bottom>
      <diagonal/>
    </border>
    <border>
      <left/>
      <right style="thin">
        <color theme="1"/>
      </right>
      <top/>
      <bottom style="thin">
        <color theme="0" tint="-0.34998626667073579"/>
      </bottom>
      <diagonal/>
    </border>
    <border>
      <left style="thin">
        <color theme="1"/>
      </left>
      <right/>
      <top style="thin">
        <color theme="0" tint="-0.34998626667073579"/>
      </top>
      <bottom style="thin">
        <color theme="0" tint="-0.34998626667073579"/>
      </bottom>
      <diagonal/>
    </border>
    <border>
      <left style="thin">
        <color theme="1"/>
      </left>
      <right/>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1"/>
      </left>
      <right/>
      <top/>
      <bottom style="thin">
        <color indexed="23"/>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style="thin">
        <color indexed="23"/>
      </right>
      <top style="thin">
        <color theme="0" tint="-0.34998626667073579"/>
      </top>
      <bottom style="thin">
        <color theme="0" tint="-0.34998626667073579"/>
      </bottom>
      <diagonal/>
    </border>
    <border>
      <left/>
      <right/>
      <top style="thin">
        <color theme="0" tint="-0.34998626667073579"/>
      </top>
      <bottom/>
      <diagonal/>
    </border>
    <border>
      <left/>
      <right style="thin">
        <color indexed="55"/>
      </right>
      <top/>
      <bottom style="hair">
        <color indexed="64"/>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right style="medium">
        <color theme="0" tint="-0.34998626667073579"/>
      </right>
      <top style="medium">
        <color theme="0" tint="-0.34998626667073579"/>
      </top>
      <bottom/>
      <diagonal/>
    </border>
    <border>
      <left/>
      <right style="medium">
        <color theme="0" tint="-0.34998626667073579"/>
      </right>
      <top/>
      <bottom/>
      <diagonal/>
    </border>
    <border>
      <left style="thin">
        <color indexed="23"/>
      </left>
      <right/>
      <top style="thin">
        <color theme="0" tint="-0.34998626667073579"/>
      </top>
      <bottom style="thin">
        <color theme="0" tint="-0.34998626667073579"/>
      </bottom>
      <diagonal/>
    </border>
    <border>
      <left style="thin">
        <color indexed="64"/>
      </left>
      <right style="thin">
        <color indexed="64"/>
      </right>
      <top style="thin">
        <color indexed="64"/>
      </top>
      <bottom style="double">
        <color indexed="64"/>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style="thin">
        <color theme="0" tint="-0.499984740745262"/>
      </left>
      <right/>
      <top/>
      <bottom/>
      <diagonal/>
    </border>
    <border>
      <left/>
      <right style="thin">
        <color theme="0" tint="-0.499984740745262"/>
      </right>
      <top/>
      <bottom/>
      <diagonal/>
    </border>
    <border>
      <left style="thin">
        <color theme="0" tint="-0.34998626667073579"/>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ouble">
        <color theme="0" tint="-0.499984740745262"/>
      </bottom>
      <diagonal/>
    </border>
    <border>
      <left style="thin">
        <color theme="0" tint="-0.499984740745262"/>
      </left>
      <right style="thin">
        <color theme="0" tint="-0.499984740745262"/>
      </right>
      <top/>
      <bottom style="double">
        <color theme="0" tint="-0.499984740745262"/>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style="medium">
        <color theme="0" tint="-0.34998626667073579"/>
      </left>
      <right/>
      <top style="medium">
        <color theme="0" tint="-0.34998626667073579"/>
      </top>
      <bottom/>
      <diagonal/>
    </border>
    <border>
      <left style="medium">
        <color theme="0" tint="-0.34998626667073579"/>
      </left>
      <right/>
      <top/>
      <bottom/>
      <diagonal/>
    </border>
    <border>
      <left style="medium">
        <color theme="0" tint="-0.34998626667073579"/>
      </left>
      <right/>
      <top/>
      <bottom style="medium">
        <color theme="0" tint="-0.34998626667073579"/>
      </bottom>
      <diagonal/>
    </border>
    <border>
      <left style="thin">
        <color theme="0" tint="-0.34998626667073579"/>
      </left>
      <right/>
      <top/>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top style="thin">
        <color theme="0" tint="-0.34998626667073579"/>
      </top>
      <bottom style="medium">
        <color theme="0" tint="-0.34998626667073579"/>
      </bottom>
      <diagonal/>
    </border>
    <border>
      <left/>
      <right/>
      <top style="thin">
        <color theme="0" tint="-0.34998626667073579"/>
      </top>
      <bottom style="medium">
        <color theme="0" tint="-0.34998626667073579"/>
      </bottom>
      <diagonal/>
    </border>
    <border>
      <left/>
      <right style="medium">
        <color theme="0" tint="-0.34998626667073579"/>
      </right>
      <top style="thin">
        <color theme="0" tint="-0.34998626667073579"/>
      </top>
      <bottom style="medium">
        <color theme="0" tint="-0.34998626667073579"/>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thin">
        <color indexed="55"/>
      </left>
      <right/>
      <top/>
      <bottom style="thin">
        <color indexed="55"/>
      </bottom>
      <diagonal/>
    </border>
    <border>
      <left/>
      <right style="thin">
        <color indexed="55"/>
      </right>
      <top/>
      <bottom style="thin">
        <color indexed="55"/>
      </bottom>
      <diagonal/>
    </border>
    <border>
      <left style="thin">
        <color theme="0" tint="-0.34998626667073579"/>
      </left>
      <right style="thin">
        <color indexed="23"/>
      </right>
      <top/>
      <bottom/>
      <diagonal/>
    </border>
    <border>
      <left style="thin">
        <color indexed="23"/>
      </left>
      <right style="thin">
        <color theme="0" tint="-0.499984740745262"/>
      </right>
      <top/>
      <bottom/>
      <diagonal/>
    </border>
    <border>
      <left style="thin">
        <color theme="0" tint="-0.34998626667073579"/>
      </left>
      <right/>
      <top/>
      <bottom style="double">
        <color theme="0" tint="-0.34998626667073579"/>
      </bottom>
      <diagonal/>
    </border>
    <border>
      <left/>
      <right style="thin">
        <color indexed="23"/>
      </right>
      <top/>
      <bottom style="double">
        <color theme="0" tint="-0.34998626667073579"/>
      </bottom>
      <diagonal/>
    </border>
    <border>
      <left style="thin">
        <color theme="0" tint="-0.499984740745262"/>
      </left>
      <right style="thin">
        <color theme="0" tint="-0.499984740745262"/>
      </right>
      <top/>
      <bottom/>
      <diagonal/>
    </border>
    <border>
      <left style="thin">
        <color theme="0" tint="-0.499984740745262"/>
      </left>
      <right style="thin">
        <color indexed="23"/>
      </right>
      <top style="thin">
        <color theme="0" tint="-0.34998626667073579"/>
      </top>
      <bottom/>
      <diagonal/>
    </border>
    <border>
      <left style="thin">
        <color theme="0" tint="-0.499984740745262"/>
      </left>
      <right style="thin">
        <color indexed="23"/>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tint="-0.249977111117893"/>
      </right>
      <top/>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34998626667073579"/>
      </bottom>
      <diagonal/>
    </border>
    <border>
      <left/>
      <right style="thin">
        <color indexed="23"/>
      </right>
      <top style="thin">
        <color theme="0" tint="-0.249977111117893"/>
      </top>
      <bottom style="thin">
        <color theme="0" tint="-0.34998626667073579"/>
      </bottom>
      <diagonal/>
    </border>
    <border>
      <left style="thin">
        <color indexed="23"/>
      </left>
      <right style="thin">
        <color theme="0" tint="-0.249977111117893"/>
      </right>
      <top/>
      <bottom/>
      <diagonal/>
    </border>
    <border>
      <left style="thin">
        <color theme="0" tint="-0.249977111117893"/>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249977111117893"/>
      </right>
      <top style="thin">
        <color theme="0" tint="-0.34998626667073579"/>
      </top>
      <bottom style="thin">
        <color theme="0" tint="-0.34998626667073579"/>
      </bottom>
      <diagonal/>
    </border>
    <border>
      <left style="thin">
        <color theme="0" tint="-0.249977111117893"/>
      </left>
      <right/>
      <top style="thin">
        <color theme="0" tint="-0.34998626667073579"/>
      </top>
      <bottom style="thin">
        <color theme="0" tint="-0.34998626667073579"/>
      </bottom>
      <diagonal/>
    </border>
    <border>
      <left/>
      <right style="thin">
        <color theme="0" tint="-0.249977111117893"/>
      </right>
      <top style="thin">
        <color theme="0" tint="-0.34998626667073579"/>
      </top>
      <bottom style="thin">
        <color theme="0" tint="-0.34998626667073579"/>
      </bottom>
      <diagonal/>
    </border>
    <border>
      <left style="thin">
        <color theme="0" tint="-0.249977111117893"/>
      </left>
      <right style="thin">
        <color theme="0" tint="-0.34998626667073579"/>
      </right>
      <top style="thin">
        <color theme="0" tint="-0.34998626667073579"/>
      </top>
      <bottom style="thin">
        <color theme="0" tint="-0.249977111117893"/>
      </bottom>
      <diagonal/>
    </border>
    <border>
      <left style="thin">
        <color theme="0" tint="-0.34998626667073579"/>
      </left>
      <right style="thin">
        <color theme="0" tint="-0.34998626667073579"/>
      </right>
      <top style="thin">
        <color theme="0" tint="-0.34998626667073579"/>
      </top>
      <bottom style="thin">
        <color theme="0" tint="-0.249977111117893"/>
      </bottom>
      <diagonal/>
    </border>
    <border>
      <left style="thin">
        <color theme="0" tint="-0.34998626667073579"/>
      </left>
      <right style="thin">
        <color theme="0" tint="-0.249977111117893"/>
      </right>
      <top style="thin">
        <color theme="0" tint="-0.34998626667073579"/>
      </top>
      <bottom style="thin">
        <color theme="0" tint="-0.249977111117893"/>
      </bottom>
      <diagonal/>
    </border>
    <border>
      <left style="thin">
        <color indexed="23"/>
      </left>
      <right style="thin">
        <color indexed="23"/>
      </right>
      <top style="thin">
        <color theme="0" tint="-0.34998626667073579"/>
      </top>
      <bottom style="double">
        <color theme="0" tint="-0.34998626667073579"/>
      </bottom>
      <diagonal/>
    </border>
    <border>
      <left style="thin">
        <color theme="1" tint="0.499984740745262"/>
      </left>
      <right/>
      <top style="thin">
        <color theme="1" tint="0.499984740745262"/>
      </top>
      <bottom/>
      <diagonal/>
    </border>
    <border>
      <left/>
      <right style="thin">
        <color indexed="23"/>
      </right>
      <top/>
      <bottom style="hair">
        <color indexed="23"/>
      </bottom>
      <diagonal/>
    </border>
    <border>
      <left/>
      <right/>
      <top style="thin">
        <color indexed="64"/>
      </top>
      <bottom/>
      <diagonal/>
    </border>
    <border>
      <left/>
      <right style="thin">
        <color theme="0" tint="-0.34998626667073579"/>
      </right>
      <top style="thin">
        <color theme="0" tint="-0.499984740745262"/>
      </top>
      <bottom style="thin">
        <color theme="0" tint="-0.499984740745262"/>
      </bottom>
      <diagonal/>
    </border>
    <border>
      <left/>
      <right/>
      <top style="thin">
        <color theme="0" tint="-0.34998626667073579"/>
      </top>
      <bottom style="thin">
        <color indexed="23"/>
      </bottom>
      <diagonal/>
    </border>
    <border>
      <left/>
      <right style="thin">
        <color indexed="23"/>
      </right>
      <top style="thin">
        <color theme="0" tint="-0.34998626667073579"/>
      </top>
      <bottom style="thin">
        <color indexed="23"/>
      </bottom>
      <diagonal/>
    </border>
    <border>
      <left/>
      <right/>
      <top style="double">
        <color theme="0" tint="-0.34998626667073579"/>
      </top>
      <bottom style="thin">
        <color indexed="23"/>
      </bottom>
      <diagonal/>
    </border>
    <border>
      <left style="thin">
        <color indexed="23"/>
      </left>
      <right/>
      <top style="thin">
        <color indexed="23"/>
      </top>
      <bottom/>
      <diagonal/>
    </border>
    <border>
      <left style="thin">
        <color theme="0" tint="-0.34998626667073579"/>
      </left>
      <right style="thin">
        <color theme="0" tint="-0.34998626667073579"/>
      </right>
      <top style="thin">
        <color theme="0" tint="-0.34998626667073579"/>
      </top>
      <bottom style="hair">
        <color indexed="23"/>
      </bottom>
      <diagonal/>
    </border>
    <border>
      <left style="thin">
        <color indexed="23"/>
      </left>
      <right/>
      <top style="thin">
        <color theme="0" tint="-0.34998626667073579"/>
      </top>
      <bottom style="thin">
        <color indexed="23"/>
      </bottom>
      <diagonal/>
    </border>
    <border>
      <left style="thin">
        <color theme="0" tint="-0.34998626667073579"/>
      </left>
      <right/>
      <top style="thin">
        <color indexed="55"/>
      </top>
      <bottom/>
      <diagonal/>
    </border>
    <border>
      <left/>
      <right style="thin">
        <color theme="0" tint="-0.34998626667073579"/>
      </right>
      <top style="thin">
        <color indexed="55"/>
      </top>
      <bottom/>
      <diagonal/>
    </border>
    <border>
      <left style="thin">
        <color theme="0" tint="-0.34998626667073579"/>
      </left>
      <right/>
      <top/>
      <bottom style="thin">
        <color indexed="55"/>
      </bottom>
      <diagonal/>
    </border>
    <border>
      <left/>
      <right style="thin">
        <color theme="0" tint="-0.34998626667073579"/>
      </right>
      <top/>
      <bottom style="thin">
        <color indexed="55"/>
      </bottom>
      <diagonal/>
    </border>
    <border>
      <left/>
      <right/>
      <top style="thin">
        <color indexed="23"/>
      </top>
      <bottom/>
      <diagonal/>
    </border>
    <border>
      <left/>
      <right style="thin">
        <color theme="0" tint="-0.34998626667073579"/>
      </right>
      <top style="thin">
        <color indexed="23"/>
      </top>
      <bottom/>
      <diagonal/>
    </border>
    <border>
      <left style="thin">
        <color theme="0" tint="-0.34998626667073579"/>
      </left>
      <right/>
      <top style="medium">
        <color theme="0" tint="-0.34998626667073579"/>
      </top>
      <bottom style="thin">
        <color theme="0" tint="-0.34998626667073579"/>
      </bottom>
      <diagonal/>
    </border>
    <border>
      <left style="thin">
        <color theme="0" tint="-0.34998626667073579"/>
      </left>
      <right/>
      <top style="thin">
        <color theme="0" tint="-0.34998626667073579"/>
      </top>
      <bottom style="thin">
        <color theme="0" tint="-0.249977111117893"/>
      </bottom>
      <diagonal/>
    </border>
    <border>
      <left style="thin">
        <color theme="1"/>
      </left>
      <right/>
      <top style="thin">
        <color indexed="55"/>
      </top>
      <bottom style="hair">
        <color indexed="64"/>
      </bottom>
      <diagonal/>
    </border>
    <border>
      <left/>
      <right/>
      <top style="thin">
        <color indexed="55"/>
      </top>
      <bottom style="hair">
        <color indexed="64"/>
      </bottom>
      <diagonal/>
    </border>
    <border>
      <left style="thin">
        <color indexed="64"/>
      </left>
      <right/>
      <top style="thin">
        <color indexed="55"/>
      </top>
      <bottom style="hair">
        <color indexed="64"/>
      </bottom>
      <diagonal/>
    </border>
    <border>
      <left/>
      <right style="thin">
        <color indexed="55"/>
      </right>
      <top style="thin">
        <color indexed="55"/>
      </top>
      <bottom style="hair">
        <color indexed="64"/>
      </bottom>
      <diagonal/>
    </border>
    <border>
      <left style="thin">
        <color indexed="23"/>
      </left>
      <right style="thin">
        <color indexed="23"/>
      </right>
      <top style="thin">
        <color indexed="23"/>
      </top>
      <bottom style="hair">
        <color indexed="23"/>
      </bottom>
      <diagonal/>
    </border>
    <border>
      <left/>
      <right style="thin">
        <color theme="1"/>
      </right>
      <top style="thin">
        <color indexed="23"/>
      </top>
      <bottom style="hair">
        <color indexed="23"/>
      </bottom>
      <diagonal/>
    </border>
    <border>
      <left style="thin">
        <color indexed="23"/>
      </left>
      <right/>
      <top style="thin">
        <color indexed="23"/>
      </top>
      <bottom style="hair">
        <color indexed="23"/>
      </bottom>
      <diagonal/>
    </border>
    <border>
      <left/>
      <right style="thin">
        <color indexed="23"/>
      </right>
      <top style="thin">
        <color indexed="23"/>
      </top>
      <bottom style="hair">
        <color indexed="23"/>
      </bottom>
      <diagonal/>
    </border>
    <border>
      <left style="thin">
        <color indexed="64"/>
      </left>
      <right/>
      <top style="thin">
        <color indexed="23"/>
      </top>
      <bottom style="hair">
        <color indexed="64"/>
      </bottom>
      <diagonal/>
    </border>
    <border>
      <left/>
      <right style="thin">
        <color indexed="23"/>
      </right>
      <top style="thin">
        <color indexed="23"/>
      </top>
      <bottom style="hair">
        <color indexed="64"/>
      </bottom>
      <diagonal/>
    </border>
    <border>
      <left style="thin">
        <color indexed="23"/>
      </left>
      <right style="thin">
        <color indexed="23"/>
      </right>
      <top style="thin">
        <color indexed="23"/>
      </top>
      <bottom style="hair">
        <color indexed="64"/>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right/>
      <top style="thin">
        <color indexed="55"/>
      </top>
      <bottom style="thin">
        <color indexed="55"/>
      </bottom>
      <diagonal/>
    </border>
    <border>
      <left style="thin">
        <color indexed="64"/>
      </left>
      <right style="thin">
        <color indexed="23"/>
      </right>
      <top style="thin">
        <color indexed="23"/>
      </top>
      <bottom style="hair">
        <color indexed="55"/>
      </bottom>
      <diagonal/>
    </border>
    <border>
      <left style="thin">
        <color indexed="23"/>
      </left>
      <right style="thin">
        <color indexed="23"/>
      </right>
      <top style="thin">
        <color indexed="23"/>
      </top>
      <bottom style="hair">
        <color indexed="55"/>
      </bottom>
      <diagonal/>
    </border>
    <border>
      <left style="thin">
        <color indexed="55"/>
      </left>
      <right style="thin">
        <color indexed="55"/>
      </right>
      <top style="thin">
        <color indexed="55"/>
      </top>
      <bottom style="hair">
        <color indexed="55"/>
      </bottom>
      <diagonal/>
    </border>
    <border>
      <left style="thin">
        <color indexed="64"/>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64"/>
      </left>
      <right style="thin">
        <color indexed="55"/>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thin">
        <color indexed="23"/>
      </left>
      <right/>
      <top style="thin">
        <color indexed="23"/>
      </top>
      <bottom style="thin">
        <color indexed="23"/>
      </bottom>
      <diagonal/>
    </border>
    <border>
      <left style="thin">
        <color theme="0" tint="-0.34998626667073579"/>
      </left>
      <right/>
      <top style="thin">
        <color indexed="23"/>
      </top>
      <bottom style="thin">
        <color indexed="23"/>
      </bottom>
      <diagonal/>
    </border>
    <border>
      <left/>
      <right style="thin">
        <color theme="0" tint="-0.34998626667073579"/>
      </right>
      <top style="thin">
        <color indexed="23"/>
      </top>
      <bottom style="thin">
        <color indexed="23"/>
      </bottom>
      <diagonal/>
    </border>
    <border>
      <left/>
      <right/>
      <top style="thin">
        <color indexed="23"/>
      </top>
      <bottom style="thin">
        <color indexed="23"/>
      </bottom>
      <diagonal/>
    </border>
    <border>
      <left style="thin">
        <color theme="0" tint="-0.34998626667073579"/>
      </left>
      <right/>
      <top style="thin">
        <color indexed="23"/>
      </top>
      <bottom/>
      <diagonal/>
    </border>
    <border>
      <left style="thin">
        <color auto="1"/>
      </left>
      <right style="thin">
        <color auto="1"/>
      </right>
      <top style="thin">
        <color auto="1"/>
      </top>
      <bottom style="thin">
        <color auto="1"/>
      </bottom>
      <diagonal/>
    </border>
  </borders>
  <cellStyleXfs count="91">
    <xf numFmtId="0" fontId="0" fillId="0" borderId="0"/>
    <xf numFmtId="0" fontId="1" fillId="0" borderId="0"/>
    <xf numFmtId="0" fontId="5" fillId="0" borderId="0" applyNumberFormat="0" applyFill="0" applyBorder="0" applyAlignment="0" applyProtection="0">
      <alignment vertical="top"/>
      <protection locked="0"/>
    </xf>
    <xf numFmtId="0" fontId="9" fillId="0" borderId="0"/>
    <xf numFmtId="166" fontId="10" fillId="0" borderId="0" applyFont="0" applyFill="0" applyBorder="0" applyAlignment="0" applyProtection="0"/>
    <xf numFmtId="166" fontId="1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0" fontId="10" fillId="0" borderId="0">
      <protection locked="0"/>
    </xf>
    <xf numFmtId="167" fontId="10" fillId="0" borderId="0">
      <protection locked="0"/>
    </xf>
    <xf numFmtId="168" fontId="10" fillId="0" borderId="0">
      <protection locked="0"/>
    </xf>
    <xf numFmtId="168" fontId="10" fillId="0" borderId="0">
      <protection locked="0"/>
    </xf>
    <xf numFmtId="38" fontId="12" fillId="0" borderId="0"/>
    <xf numFmtId="38" fontId="13" fillId="0" borderId="0"/>
    <xf numFmtId="38" fontId="14" fillId="0" borderId="0"/>
    <xf numFmtId="38" fontId="15" fillId="0" borderId="0"/>
    <xf numFmtId="0" fontId="16" fillId="0" borderId="0"/>
    <xf numFmtId="0" fontId="16" fillId="0" borderId="0"/>
    <xf numFmtId="169" fontId="17" fillId="0" borderId="0"/>
    <xf numFmtId="0" fontId="10" fillId="0" borderId="0"/>
    <xf numFmtId="0" fontId="1" fillId="0" borderId="0"/>
    <xf numFmtId="170" fontId="1" fillId="0" borderId="0"/>
    <xf numFmtId="171" fontId="10" fillId="0" borderId="0"/>
    <xf numFmtId="0" fontId="10" fillId="0" borderId="0"/>
    <xf numFmtId="0" fontId="1" fillId="0" borderId="0"/>
    <xf numFmtId="0" fontId="1" fillId="0" borderId="0"/>
    <xf numFmtId="0" fontId="1" fillId="0" borderId="0"/>
    <xf numFmtId="9" fontId="1" fillId="0" borderId="0" applyFont="0" applyFill="0" applyBorder="0" applyAlignment="0" applyProtection="0"/>
    <xf numFmtId="9" fontId="10" fillId="0" borderId="0" applyFont="0" applyFill="0" applyBorder="0" applyAlignment="0" applyProtection="0"/>
    <xf numFmtId="0" fontId="18" fillId="0" borderId="0"/>
    <xf numFmtId="166" fontId="1" fillId="0" borderId="0" applyFont="0" applyFill="0" applyBorder="0" applyAlignment="0" applyProtection="0"/>
    <xf numFmtId="9"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1" fillId="0" borderId="0" applyFont="0" applyFill="0" applyBorder="0" applyAlignment="0" applyProtection="0"/>
    <xf numFmtId="166" fontId="10" fillId="0" borderId="0" applyFont="0" applyFill="0" applyBorder="0" applyAlignment="0" applyProtection="0"/>
    <xf numFmtId="166" fontId="1"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71" fontId="10" fillId="0" borderId="0"/>
    <xf numFmtId="171" fontId="1" fillId="0" borderId="0"/>
    <xf numFmtId="171" fontId="11" fillId="0" borderId="0"/>
    <xf numFmtId="170" fontId="1" fillId="0" borderId="0"/>
    <xf numFmtId="170" fontId="1" fillId="0" borderId="0"/>
    <xf numFmtId="170" fontId="1" fillId="0" borderId="0"/>
    <xf numFmtId="0" fontId="10" fillId="0" borderId="0"/>
    <xf numFmtId="0" fontId="10" fillId="0" borderId="0"/>
    <xf numFmtId="0" fontId="10" fillId="0" borderId="0"/>
    <xf numFmtId="0" fontId="10" fillId="0" borderId="0"/>
    <xf numFmtId="9" fontId="10" fillId="0" borderId="0" applyFont="0" applyFill="0" applyBorder="0" applyAlignment="0" applyProtection="0"/>
    <xf numFmtId="9" fontId="1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cellStyleXfs>
  <cellXfs count="1069">
    <xf numFmtId="0" fontId="0" fillId="0" borderId="0" xfId="0"/>
    <xf numFmtId="0" fontId="3" fillId="0" borderId="0" xfId="1" applyFont="1" applyAlignment="1">
      <alignment horizontal="center"/>
    </xf>
    <xf numFmtId="0" fontId="1" fillId="0" borderId="0" xfId="1"/>
    <xf numFmtId="0" fontId="5" fillId="0" borderId="0" xfId="2" applyAlignment="1" applyProtection="1">
      <protection locked="0"/>
    </xf>
    <xf numFmtId="0" fontId="7" fillId="0" borderId="1" xfId="1" applyFont="1" applyBorder="1" applyAlignment="1">
      <alignment horizontal="center"/>
    </xf>
    <xf numFmtId="0" fontId="8" fillId="0" borderId="2" xfId="1" applyFont="1" applyBorder="1"/>
    <xf numFmtId="0" fontId="8" fillId="0" borderId="3" xfId="1" applyFont="1" applyBorder="1"/>
    <xf numFmtId="0" fontId="7" fillId="0" borderId="7" xfId="1" applyFont="1" applyBorder="1" applyAlignment="1">
      <alignment horizontal="center"/>
    </xf>
    <xf numFmtId="0" fontId="7" fillId="0" borderId="0" xfId="1" applyFont="1"/>
    <xf numFmtId="0" fontId="7" fillId="0" borderId="0" xfId="1" applyFont="1" applyAlignment="1">
      <alignment horizontal="center" vertical="center"/>
    </xf>
    <xf numFmtId="0" fontId="8" fillId="0" borderId="0" xfId="1" applyFont="1" applyAlignment="1">
      <alignment vertical="center"/>
    </xf>
    <xf numFmtId="0" fontId="8" fillId="0" borderId="0" xfId="1" applyFont="1"/>
    <xf numFmtId="0" fontId="8" fillId="0" borderId="8" xfId="1" applyFont="1" applyBorder="1"/>
    <xf numFmtId="0" fontId="8" fillId="0" borderId="10" xfId="1" applyFont="1" applyBorder="1"/>
    <xf numFmtId="0" fontId="7" fillId="0" borderId="9" xfId="1" applyFont="1" applyBorder="1" applyAlignment="1">
      <alignment vertical="center"/>
    </xf>
    <xf numFmtId="3" fontId="7" fillId="0" borderId="9" xfId="1" applyNumberFormat="1" applyFont="1" applyBorder="1" applyAlignment="1">
      <alignment vertical="center"/>
    </xf>
    <xf numFmtId="0" fontId="8" fillId="0" borderId="10" xfId="1" applyFont="1" applyBorder="1" applyAlignment="1">
      <alignment vertical="center"/>
    </xf>
    <xf numFmtId="3" fontId="7" fillId="0" borderId="9" xfId="1" applyNumberFormat="1" applyFont="1" applyBorder="1"/>
    <xf numFmtId="0" fontId="7" fillId="0" borderId="7" xfId="1" applyFont="1" applyBorder="1" applyAlignment="1">
      <alignment horizontal="center" vertical="center"/>
    </xf>
    <xf numFmtId="0" fontId="7" fillId="0" borderId="0" xfId="1" applyFont="1" applyAlignment="1">
      <alignment vertical="center"/>
    </xf>
    <xf numFmtId="0" fontId="8" fillId="0" borderId="8" xfId="1" applyFont="1" applyBorder="1" applyAlignment="1">
      <alignment vertical="center"/>
    </xf>
    <xf numFmtId="0" fontId="1" fillId="0" borderId="0" xfId="1" applyAlignment="1">
      <alignment vertical="center"/>
    </xf>
    <xf numFmtId="0" fontId="7" fillId="3" borderId="9" xfId="1" applyFont="1" applyFill="1" applyBorder="1" applyAlignment="1">
      <alignment vertical="center"/>
    </xf>
    <xf numFmtId="0" fontId="8" fillId="3" borderId="10" xfId="1" applyFont="1" applyFill="1" applyBorder="1" applyAlignment="1">
      <alignment vertical="center"/>
    </xf>
    <xf numFmtId="0" fontId="7" fillId="0" borderId="4" xfId="1" applyFont="1" applyBorder="1" applyAlignment="1">
      <alignment horizontal="center"/>
    </xf>
    <xf numFmtId="0" fontId="8" fillId="0" borderId="5" xfId="1" applyFont="1" applyBorder="1"/>
    <xf numFmtId="0" fontId="7" fillId="0" borderId="5" xfId="1" applyFont="1" applyBorder="1" applyAlignment="1">
      <alignment horizontal="center" vertical="center"/>
    </xf>
    <xf numFmtId="0" fontId="8" fillId="0" borderId="6" xfId="1" applyFont="1" applyBorder="1"/>
    <xf numFmtId="0" fontId="1" fillId="0" borderId="0" xfId="28"/>
    <xf numFmtId="0" fontId="20" fillId="5" borderId="12" xfId="28" applyFont="1" applyFill="1" applyBorder="1" applyAlignment="1">
      <alignment horizontal="left" vertical="center" wrapText="1" indent="2"/>
    </xf>
    <xf numFmtId="0" fontId="2" fillId="0" borderId="0" xfId="28" applyFont="1" applyAlignment="1">
      <alignment horizontal="left" vertical="center"/>
    </xf>
    <xf numFmtId="0" fontId="2" fillId="0" borderId="0" xfId="28" applyFont="1"/>
    <xf numFmtId="0" fontId="20" fillId="5" borderId="14" xfId="28" applyFont="1" applyFill="1" applyBorder="1" applyAlignment="1">
      <alignment horizontal="left" vertical="center" wrapText="1" indent="2"/>
    </xf>
    <xf numFmtId="0" fontId="1" fillId="0" borderId="0" xfId="28" applyAlignment="1">
      <alignment vertical="center"/>
    </xf>
    <xf numFmtId="0" fontId="2" fillId="0" borderId="0" xfId="28" applyFont="1" applyAlignment="1">
      <alignment vertical="center"/>
    </xf>
    <xf numFmtId="0" fontId="23" fillId="0" borderId="0" xfId="21" applyFont="1" applyProtection="1">
      <protection hidden="1"/>
    </xf>
    <xf numFmtId="0" fontId="5" fillId="0" borderId="0" xfId="2" applyBorder="1" applyAlignment="1" applyProtection="1">
      <alignment horizontal="center"/>
      <protection locked="0" hidden="1"/>
    </xf>
    <xf numFmtId="0" fontId="22" fillId="0" borderId="0" xfId="21" applyFont="1" applyProtection="1">
      <protection hidden="1"/>
    </xf>
    <xf numFmtId="0" fontId="26" fillId="0" borderId="0" xfId="21" applyFont="1" applyProtection="1">
      <protection hidden="1"/>
    </xf>
    <xf numFmtId="0" fontId="27" fillId="0" borderId="0" xfId="21" applyFont="1" applyProtection="1">
      <protection hidden="1"/>
    </xf>
    <xf numFmtId="0" fontId="10" fillId="0" borderId="0" xfId="21" applyProtection="1">
      <protection hidden="1"/>
    </xf>
    <xf numFmtId="0" fontId="30" fillId="0" borderId="0" xfId="21" applyFont="1" applyAlignment="1" applyProtection="1">
      <alignment vertical="center"/>
      <protection hidden="1"/>
    </xf>
    <xf numFmtId="0" fontId="38" fillId="0" borderId="0" xfId="21" applyFont="1"/>
    <xf numFmtId="3" fontId="38" fillId="0" borderId="0" xfId="21" applyNumberFormat="1" applyFont="1"/>
    <xf numFmtId="0" fontId="37" fillId="0" borderId="0" xfId="21" applyFont="1"/>
    <xf numFmtId="0" fontId="38" fillId="0" borderId="26" xfId="21" applyFont="1" applyBorder="1"/>
    <xf numFmtId="0" fontId="25" fillId="0" borderId="26" xfId="21" applyFont="1" applyBorder="1" applyAlignment="1">
      <alignment vertical="center"/>
    </xf>
    <xf numFmtId="0" fontId="25" fillId="0" borderId="0" xfId="21" applyFont="1" applyAlignment="1">
      <alignment vertical="center"/>
    </xf>
    <xf numFmtId="0" fontId="38" fillId="0" borderId="42" xfId="21" applyFont="1" applyBorder="1"/>
    <xf numFmtId="0" fontId="37" fillId="10" borderId="39" xfId="21" applyFont="1" applyFill="1" applyBorder="1"/>
    <xf numFmtId="0" fontId="37" fillId="10" borderId="40" xfId="21" applyFont="1" applyFill="1" applyBorder="1"/>
    <xf numFmtId="0" fontId="37" fillId="10" borderId="41" xfId="21" applyFont="1" applyFill="1" applyBorder="1"/>
    <xf numFmtId="0" fontId="37" fillId="11" borderId="39" xfId="21" applyFont="1" applyFill="1" applyBorder="1"/>
    <xf numFmtId="0" fontId="37" fillId="11" borderId="40" xfId="21" applyFont="1" applyFill="1" applyBorder="1"/>
    <xf numFmtId="0" fontId="37" fillId="11" borderId="41" xfId="21" applyFont="1" applyFill="1" applyBorder="1"/>
    <xf numFmtId="3" fontId="38" fillId="0" borderId="0" xfId="21" applyNumberFormat="1" applyFont="1" applyAlignment="1">
      <alignment horizontal="center"/>
    </xf>
    <xf numFmtId="3" fontId="39" fillId="0" borderId="18" xfId="21" applyNumberFormat="1" applyFont="1" applyBorder="1" applyAlignment="1" applyProtection="1">
      <alignment vertical="center"/>
      <protection hidden="1"/>
    </xf>
    <xf numFmtId="3" fontId="10" fillId="0" borderId="0" xfId="21" applyNumberFormat="1" applyProtection="1">
      <protection hidden="1"/>
    </xf>
    <xf numFmtId="3" fontId="39" fillId="0" borderId="20" xfId="21" applyNumberFormat="1" applyFont="1" applyBorder="1" applyAlignment="1" applyProtection="1">
      <alignment vertical="center"/>
      <protection hidden="1"/>
    </xf>
    <xf numFmtId="3" fontId="39" fillId="0" borderId="0" xfId="21" applyNumberFormat="1" applyFont="1" applyAlignment="1" applyProtection="1">
      <alignment horizontal="centerContinuous" vertical="center"/>
      <protection hidden="1"/>
    </xf>
    <xf numFmtId="3" fontId="40" fillId="0" borderId="0" xfId="21" applyNumberFormat="1" applyFont="1" applyAlignment="1" applyProtection="1">
      <alignment horizontal="centerContinuous" vertical="center"/>
      <protection hidden="1"/>
    </xf>
    <xf numFmtId="3" fontId="41" fillId="0" borderId="0" xfId="21" applyNumberFormat="1" applyFont="1" applyAlignment="1" applyProtection="1">
      <alignment vertical="center"/>
      <protection hidden="1"/>
    </xf>
    <xf numFmtId="3" fontId="10" fillId="0" borderId="0" xfId="21" applyNumberFormat="1" applyAlignment="1" applyProtection="1">
      <alignment vertical="center"/>
      <protection hidden="1"/>
    </xf>
    <xf numFmtId="3" fontId="30" fillId="0" borderId="43" xfId="21" applyNumberFormat="1" applyFont="1" applyBorder="1" applyAlignment="1" applyProtection="1">
      <alignment horizontal="left" vertical="center"/>
      <protection hidden="1"/>
    </xf>
    <xf numFmtId="3" fontId="39" fillId="0" borderId="44" xfId="21" applyNumberFormat="1" applyFont="1" applyBorder="1" applyProtection="1">
      <protection hidden="1"/>
    </xf>
    <xf numFmtId="3" fontId="10" fillId="0" borderId="0" xfId="21" applyNumberFormat="1" applyAlignment="1" applyProtection="1">
      <alignment horizontal="center"/>
      <protection hidden="1"/>
    </xf>
    <xf numFmtId="3" fontId="40" fillId="0" borderId="0" xfId="21" applyNumberFormat="1" applyFont="1" applyProtection="1">
      <protection hidden="1"/>
    </xf>
    <xf numFmtId="3" fontId="40" fillId="0" borderId="0" xfId="21" applyNumberFormat="1" applyFont="1" applyAlignment="1" applyProtection="1">
      <alignment vertical="center"/>
      <protection hidden="1"/>
    </xf>
    <xf numFmtId="3" fontId="10" fillId="0" borderId="0" xfId="21" applyNumberFormat="1" applyAlignment="1" applyProtection="1">
      <alignment horizontal="center" vertical="center"/>
      <protection hidden="1"/>
    </xf>
    <xf numFmtId="3" fontId="30" fillId="0" borderId="44" xfId="21" applyNumberFormat="1" applyFont="1" applyBorder="1" applyAlignment="1" applyProtection="1">
      <alignment horizontal="center"/>
      <protection hidden="1"/>
    </xf>
    <xf numFmtId="3" fontId="30" fillId="0" borderId="48" xfId="21" applyNumberFormat="1" applyFont="1" applyBorder="1" applyAlignment="1" applyProtection="1">
      <alignment vertical="center"/>
      <protection hidden="1"/>
    </xf>
    <xf numFmtId="3" fontId="43" fillId="0" borderId="0" xfId="21" applyNumberFormat="1" applyFont="1" applyProtection="1">
      <protection hidden="1"/>
    </xf>
    <xf numFmtId="3" fontId="39" fillId="0" borderId="0" xfId="21" applyNumberFormat="1" applyFont="1" applyProtection="1">
      <protection hidden="1"/>
    </xf>
    <xf numFmtId="3" fontId="45" fillId="0" borderId="20" xfId="21" applyNumberFormat="1" applyFont="1" applyBorder="1" applyAlignment="1" applyProtection="1">
      <alignment horizontal="left"/>
      <protection hidden="1"/>
    </xf>
    <xf numFmtId="3" fontId="30" fillId="0" borderId="0" xfId="21" applyNumberFormat="1" applyFont="1" applyAlignment="1" applyProtection="1">
      <alignment horizontal="center"/>
      <protection hidden="1"/>
    </xf>
    <xf numFmtId="3" fontId="39" fillId="0" borderId="0" xfId="21" applyNumberFormat="1" applyFont="1" applyAlignment="1" applyProtection="1">
      <alignment horizontal="left" vertical="center"/>
      <protection hidden="1"/>
    </xf>
    <xf numFmtId="3" fontId="24" fillId="0" borderId="0" xfId="21" applyNumberFormat="1" applyFont="1" applyProtection="1">
      <protection hidden="1"/>
    </xf>
    <xf numFmtId="3" fontId="46" fillId="0" borderId="20" xfId="21" applyNumberFormat="1" applyFont="1" applyBorder="1" applyAlignment="1" applyProtection="1">
      <alignment horizontal="left"/>
      <protection hidden="1"/>
    </xf>
    <xf numFmtId="3" fontId="30" fillId="0" borderId="0" xfId="21" applyNumberFormat="1" applyFont="1" applyProtection="1">
      <protection hidden="1"/>
    </xf>
    <xf numFmtId="0" fontId="24" fillId="0" borderId="0" xfId="21" applyFont="1" applyProtection="1">
      <protection hidden="1"/>
    </xf>
    <xf numFmtId="0" fontId="10" fillId="0" borderId="20" xfId="21" applyBorder="1" applyProtection="1">
      <protection hidden="1"/>
    </xf>
    <xf numFmtId="0" fontId="10" fillId="0" borderId="37" xfId="21" applyBorder="1" applyProtection="1">
      <protection hidden="1"/>
    </xf>
    <xf numFmtId="3" fontId="48" fillId="0" borderId="0" xfId="21" applyNumberFormat="1" applyFont="1" applyAlignment="1" applyProtection="1">
      <alignment horizontal="right"/>
      <protection hidden="1"/>
    </xf>
    <xf numFmtId="3" fontId="30" fillId="0" borderId="19" xfId="21" applyNumberFormat="1" applyFont="1" applyBorder="1" applyAlignment="1" applyProtection="1">
      <alignment horizontal="right" vertical="center"/>
      <protection hidden="1"/>
    </xf>
    <xf numFmtId="3" fontId="31" fillId="0" borderId="0" xfId="21" applyNumberFormat="1" applyFont="1" applyProtection="1">
      <protection hidden="1"/>
    </xf>
    <xf numFmtId="3" fontId="10" fillId="0" borderId="20" xfId="21" applyNumberFormat="1" applyBorder="1" applyProtection="1">
      <protection hidden="1"/>
    </xf>
    <xf numFmtId="3" fontId="30" fillId="0" borderId="0" xfId="21" applyNumberFormat="1" applyFont="1" applyAlignment="1" applyProtection="1">
      <alignment vertical="center"/>
      <protection hidden="1"/>
    </xf>
    <xf numFmtId="3" fontId="30" fillId="0" borderId="21" xfId="21" applyNumberFormat="1" applyFont="1" applyBorder="1" applyAlignment="1" applyProtection="1">
      <alignment vertical="center"/>
      <protection hidden="1"/>
    </xf>
    <xf numFmtId="3" fontId="53" fillId="0" borderId="20" xfId="21" applyNumberFormat="1" applyFont="1" applyBorder="1" applyAlignment="1" applyProtection="1">
      <alignment horizontal="left" vertical="center"/>
      <protection hidden="1"/>
    </xf>
    <xf numFmtId="3" fontId="30" fillId="0" borderId="21" xfId="21" applyNumberFormat="1" applyFont="1" applyBorder="1" applyProtection="1">
      <protection hidden="1"/>
    </xf>
    <xf numFmtId="3" fontId="39" fillId="0" borderId="0" xfId="21" applyNumberFormat="1" applyFont="1" applyAlignment="1" applyProtection="1">
      <alignment vertical="center"/>
      <protection hidden="1"/>
    </xf>
    <xf numFmtId="3" fontId="30" fillId="0" borderId="20" xfId="21" applyNumberFormat="1" applyFont="1" applyBorder="1" applyAlignment="1" applyProtection="1">
      <alignment vertical="center"/>
      <protection hidden="1"/>
    </xf>
    <xf numFmtId="3" fontId="30" fillId="0" borderId="0" xfId="21" applyNumberFormat="1" applyFont="1" applyAlignment="1" applyProtection="1">
      <alignment horizontal="center" vertical="center"/>
      <protection hidden="1"/>
    </xf>
    <xf numFmtId="3" fontId="47" fillId="0" borderId="0" xfId="21" applyNumberFormat="1" applyFont="1" applyProtection="1">
      <protection hidden="1"/>
    </xf>
    <xf numFmtId="0" fontId="30" fillId="0" borderId="21" xfId="21" applyFont="1" applyBorder="1" applyAlignment="1" applyProtection="1">
      <alignment horizontal="center"/>
      <protection hidden="1"/>
    </xf>
    <xf numFmtId="3" fontId="39" fillId="12" borderId="58" xfId="21" applyNumberFormat="1" applyFont="1" applyFill="1" applyBorder="1" applyAlignment="1" applyProtection="1">
      <alignment horizontal="centerContinuous" vertical="center" wrapText="1"/>
      <protection hidden="1"/>
    </xf>
    <xf numFmtId="3" fontId="49" fillId="0" borderId="0" xfId="21" applyNumberFormat="1" applyFont="1" applyProtection="1">
      <protection hidden="1"/>
    </xf>
    <xf numFmtId="3" fontId="39" fillId="0" borderId="60" xfId="21" applyNumberFormat="1" applyFont="1" applyBorder="1" applyProtection="1">
      <protection hidden="1"/>
    </xf>
    <xf numFmtId="3" fontId="39" fillId="12" borderId="62" xfId="21" applyNumberFormat="1" applyFont="1" applyFill="1" applyBorder="1" applyAlignment="1" applyProtection="1">
      <alignment horizontal="centerContinuous" vertical="center" wrapText="1"/>
      <protection hidden="1"/>
    </xf>
    <xf numFmtId="3" fontId="39" fillId="12" borderId="0" xfId="21" applyNumberFormat="1" applyFont="1" applyFill="1" applyAlignment="1" applyProtection="1">
      <alignment horizontal="centerContinuous" vertical="center" wrapText="1"/>
      <protection hidden="1"/>
    </xf>
    <xf numFmtId="3" fontId="39" fillId="12" borderId="64" xfId="21" applyNumberFormat="1" applyFont="1" applyFill="1" applyBorder="1" applyAlignment="1" applyProtection="1">
      <alignment horizontal="centerContinuous" vertical="center" wrapText="1"/>
      <protection hidden="1"/>
    </xf>
    <xf numFmtId="3" fontId="39" fillId="12" borderId="65" xfId="21" applyNumberFormat="1" applyFont="1" applyFill="1" applyBorder="1" applyAlignment="1" applyProtection="1">
      <alignment horizontal="centerContinuous" vertical="center" wrapText="1"/>
      <protection hidden="1"/>
    </xf>
    <xf numFmtId="9" fontId="39" fillId="0" borderId="0" xfId="30" applyFont="1" applyFill="1" applyBorder="1" applyProtection="1">
      <protection hidden="1"/>
    </xf>
    <xf numFmtId="3" fontId="49" fillId="0" borderId="0" xfId="21" applyNumberFormat="1" applyFont="1" applyAlignment="1" applyProtection="1">
      <alignment horizontal="center"/>
      <protection hidden="1"/>
    </xf>
    <xf numFmtId="3" fontId="30" fillId="0" borderId="60" xfId="21" applyNumberFormat="1" applyFont="1" applyBorder="1" applyAlignment="1" applyProtection="1">
      <alignment horizontal="center"/>
      <protection hidden="1"/>
    </xf>
    <xf numFmtId="9" fontId="51" fillId="0" borderId="0" xfId="30" applyFont="1" applyFill="1" applyProtection="1">
      <protection hidden="1"/>
    </xf>
    <xf numFmtId="3" fontId="49" fillId="0" borderId="42" xfId="21" applyNumberFormat="1" applyFont="1" applyBorder="1" applyProtection="1">
      <protection hidden="1"/>
    </xf>
    <xf numFmtId="3" fontId="30" fillId="0" borderId="68" xfId="21" applyNumberFormat="1" applyFont="1" applyBorder="1" applyAlignment="1" applyProtection="1">
      <alignment vertical="center"/>
      <protection hidden="1"/>
    </xf>
    <xf numFmtId="3" fontId="30" fillId="0" borderId="69" xfId="21" applyNumberFormat="1" applyFont="1" applyBorder="1" applyAlignment="1" applyProtection="1">
      <alignment vertical="center"/>
      <protection hidden="1"/>
    </xf>
    <xf numFmtId="173" fontId="30" fillId="0" borderId="67" xfId="4" applyNumberFormat="1" applyFont="1" applyFill="1" applyBorder="1" applyAlignment="1" applyProtection="1">
      <alignment horizontal="right" vertical="center"/>
      <protection hidden="1"/>
    </xf>
    <xf numFmtId="175" fontId="30" fillId="0" borderId="67" xfId="21" applyNumberFormat="1" applyFont="1" applyBorder="1" applyAlignment="1" applyProtection="1">
      <alignment horizontal="center" vertical="center"/>
      <protection hidden="1"/>
    </xf>
    <xf numFmtId="3" fontId="30" fillId="0" borderId="20" xfId="21" applyNumberFormat="1" applyFont="1" applyBorder="1" applyProtection="1">
      <protection hidden="1"/>
    </xf>
    <xf numFmtId="9" fontId="30" fillId="0" borderId="0" xfId="30" applyFont="1" applyBorder="1" applyProtection="1">
      <protection hidden="1"/>
    </xf>
    <xf numFmtId="3" fontId="30" fillId="0" borderId="20" xfId="21" applyNumberFormat="1" applyFont="1" applyBorder="1" applyAlignment="1" applyProtection="1">
      <alignment horizontal="left"/>
      <protection hidden="1"/>
    </xf>
    <xf numFmtId="173" fontId="39" fillId="0" borderId="74" xfId="4" applyNumberFormat="1" applyFont="1" applyFill="1" applyBorder="1" applyAlignment="1" applyProtection="1">
      <alignment vertical="center"/>
      <protection hidden="1"/>
    </xf>
    <xf numFmtId="9" fontId="52" fillId="0" borderId="0" xfId="30" applyFont="1" applyProtection="1">
      <protection hidden="1"/>
    </xf>
    <xf numFmtId="9" fontId="30" fillId="0" borderId="0" xfId="30" applyFont="1" applyProtection="1">
      <protection hidden="1"/>
    </xf>
    <xf numFmtId="0" fontId="30" fillId="0" borderId="0" xfId="21" applyFont="1" applyProtection="1">
      <protection hidden="1"/>
    </xf>
    <xf numFmtId="177" fontId="39" fillId="0" borderId="0" xfId="21" applyNumberFormat="1" applyFont="1" applyAlignment="1" applyProtection="1">
      <alignment vertical="center"/>
      <protection hidden="1"/>
    </xf>
    <xf numFmtId="177" fontId="39" fillId="0" borderId="0" xfId="21" applyNumberFormat="1" applyFont="1" applyAlignment="1" applyProtection="1">
      <alignment horizontal="center" vertical="center"/>
      <protection hidden="1"/>
    </xf>
    <xf numFmtId="177" fontId="47" fillId="0" borderId="0" xfId="21" applyNumberFormat="1" applyFont="1" applyAlignment="1" applyProtection="1">
      <alignment horizontal="center" vertical="center"/>
      <protection hidden="1"/>
    </xf>
    <xf numFmtId="3" fontId="52" fillId="0" borderId="0" xfId="21" applyNumberFormat="1" applyFont="1" applyProtection="1">
      <protection hidden="1"/>
    </xf>
    <xf numFmtId="3" fontId="39" fillId="0" borderId="0" xfId="21" applyNumberFormat="1" applyFont="1" applyAlignment="1" applyProtection="1">
      <alignment horizontal="center"/>
      <protection hidden="1"/>
    </xf>
    <xf numFmtId="3" fontId="30" fillId="0" borderId="36" xfId="21" applyNumberFormat="1" applyFont="1" applyBorder="1" applyProtection="1">
      <protection hidden="1"/>
    </xf>
    <xf numFmtId="0" fontId="47" fillId="0" borderId="37" xfId="21" applyFont="1" applyBorder="1" applyAlignment="1" applyProtection="1">
      <alignment vertical="top"/>
      <protection hidden="1"/>
    </xf>
    <xf numFmtId="3" fontId="30" fillId="0" borderId="37" xfId="21" applyNumberFormat="1" applyFont="1" applyBorder="1" applyProtection="1">
      <protection hidden="1"/>
    </xf>
    <xf numFmtId="3" fontId="30" fillId="0" borderId="38" xfId="21" applyNumberFormat="1" applyFont="1" applyBorder="1" applyProtection="1">
      <protection hidden="1"/>
    </xf>
    <xf numFmtId="0" fontId="39" fillId="0" borderId="0" xfId="21" applyFont="1" applyProtection="1">
      <protection hidden="1"/>
    </xf>
    <xf numFmtId="0" fontId="56" fillId="0" borderId="0" xfId="21" applyFont="1" applyProtection="1">
      <protection hidden="1"/>
    </xf>
    <xf numFmtId="3" fontId="53" fillId="15" borderId="0" xfId="21" applyNumberFormat="1" applyFont="1" applyFill="1" applyProtection="1">
      <protection hidden="1"/>
    </xf>
    <xf numFmtId="3" fontId="30" fillId="0" borderId="0" xfId="21" applyNumberFormat="1" applyFont="1" applyAlignment="1" applyProtection="1">
      <alignment horizontal="left"/>
      <protection hidden="1"/>
    </xf>
    <xf numFmtId="0" fontId="56" fillId="0" borderId="0" xfId="21" applyFont="1" applyAlignment="1" applyProtection="1">
      <alignment vertical="top" wrapText="1"/>
      <protection hidden="1"/>
    </xf>
    <xf numFmtId="0" fontId="30" fillId="0" borderId="0" xfId="21" applyFont="1" applyAlignment="1">
      <alignment vertical="top" wrapText="1"/>
    </xf>
    <xf numFmtId="3" fontId="45" fillId="0" borderId="0" xfId="21" applyNumberFormat="1" applyFont="1" applyAlignment="1" applyProtection="1">
      <alignment horizontal="left" vertical="center"/>
      <protection hidden="1"/>
    </xf>
    <xf numFmtId="177" fontId="54" fillId="0" borderId="0" xfId="21" applyNumberFormat="1" applyFont="1" applyAlignment="1" applyProtection="1">
      <alignment horizontal="right" vertical="center"/>
      <protection hidden="1"/>
    </xf>
    <xf numFmtId="3" fontId="58" fillId="0" borderId="0" xfId="21" applyNumberFormat="1" applyFont="1" applyAlignment="1" applyProtection="1">
      <alignment horizontal="left"/>
      <protection hidden="1"/>
    </xf>
    <xf numFmtId="3" fontId="55" fillId="0" borderId="0" xfId="21" applyNumberFormat="1" applyFont="1" applyAlignment="1" applyProtection="1">
      <alignment horizontal="center"/>
      <protection hidden="1"/>
    </xf>
    <xf numFmtId="3" fontId="55" fillId="0" borderId="0" xfId="21" applyNumberFormat="1" applyFont="1" applyProtection="1">
      <protection hidden="1"/>
    </xf>
    <xf numFmtId="3" fontId="40" fillId="0" borderId="42" xfId="21" applyNumberFormat="1" applyFont="1" applyBorder="1" applyProtection="1">
      <protection hidden="1"/>
    </xf>
    <xf numFmtId="3" fontId="40" fillId="0" borderId="9" xfId="21" applyNumberFormat="1" applyFont="1" applyBorder="1" applyProtection="1">
      <protection hidden="1"/>
    </xf>
    <xf numFmtId="172" fontId="39" fillId="0" borderId="0" xfId="21" applyNumberFormat="1" applyFont="1" applyAlignment="1" applyProtection="1">
      <alignment horizontal="left" vertical="center"/>
      <protection hidden="1"/>
    </xf>
    <xf numFmtId="3" fontId="10" fillId="0" borderId="42" xfId="21" applyNumberFormat="1" applyBorder="1" applyProtection="1">
      <protection hidden="1"/>
    </xf>
    <xf numFmtId="3" fontId="39" fillId="0" borderId="0" xfId="21" applyNumberFormat="1" applyFont="1" applyAlignment="1" applyProtection="1">
      <alignment horizontal="left"/>
      <protection hidden="1"/>
    </xf>
    <xf numFmtId="0" fontId="30" fillId="0" borderId="79" xfId="21" applyFont="1" applyBorder="1" applyProtection="1">
      <protection hidden="1"/>
    </xf>
    <xf numFmtId="3" fontId="59" fillId="0" borderId="0" xfId="21" applyNumberFormat="1" applyFont="1" applyAlignment="1" applyProtection="1">
      <alignment vertical="top"/>
      <protection hidden="1"/>
    </xf>
    <xf numFmtId="176" fontId="10" fillId="0" borderId="0" xfId="21" applyNumberFormat="1" applyAlignment="1" applyProtection="1">
      <alignment vertical="center"/>
      <protection hidden="1"/>
    </xf>
    <xf numFmtId="0" fontId="60" fillId="0" borderId="0" xfId="21" applyFont="1" applyProtection="1">
      <protection hidden="1"/>
    </xf>
    <xf numFmtId="176" fontId="40" fillId="0" borderId="0" xfId="21" applyNumberFormat="1" applyFont="1" applyAlignment="1" applyProtection="1">
      <alignment vertical="center"/>
      <protection hidden="1"/>
    </xf>
    <xf numFmtId="176" fontId="40" fillId="0" borderId="0" xfId="21" applyNumberFormat="1" applyFont="1" applyAlignment="1" applyProtection="1">
      <alignment horizontal="center" vertical="center"/>
      <protection hidden="1"/>
    </xf>
    <xf numFmtId="0" fontId="10" fillId="0" borderId="0" xfId="21" applyAlignment="1" applyProtection="1">
      <alignment horizontal="centerContinuous"/>
      <protection hidden="1"/>
    </xf>
    <xf numFmtId="0" fontId="10" fillId="0" borderId="36" xfId="21" applyBorder="1" applyProtection="1">
      <protection hidden="1"/>
    </xf>
    <xf numFmtId="0" fontId="42" fillId="0" borderId="0" xfId="21" applyFont="1" applyProtection="1">
      <protection hidden="1"/>
    </xf>
    <xf numFmtId="0" fontId="53" fillId="15" borderId="0" xfId="21" applyFont="1" applyFill="1" applyProtection="1">
      <protection hidden="1"/>
    </xf>
    <xf numFmtId="0" fontId="56" fillId="0" borderId="0" xfId="21" applyFont="1" applyAlignment="1" applyProtection="1">
      <alignment vertical="top"/>
      <protection hidden="1"/>
    </xf>
    <xf numFmtId="0" fontId="30" fillId="0" borderId="0" xfId="21" applyFont="1" applyAlignment="1" applyProtection="1">
      <alignment vertical="top"/>
      <protection hidden="1"/>
    </xf>
    <xf numFmtId="3" fontId="29" fillId="0" borderId="0" xfId="2" applyNumberFormat="1" applyFont="1" applyAlignment="1" applyProtection="1">
      <alignment horizontal="left"/>
      <protection locked="0" hidden="1"/>
    </xf>
    <xf numFmtId="0" fontId="8" fillId="0" borderId="0" xfId="27" applyFont="1"/>
    <xf numFmtId="0" fontId="61" fillId="0" borderId="0" xfId="27" applyFont="1"/>
    <xf numFmtId="0" fontId="61" fillId="0" borderId="18" xfId="27" applyFont="1" applyBorder="1"/>
    <xf numFmtId="0" fontId="61" fillId="0" borderId="19" xfId="27" applyFont="1" applyBorder="1"/>
    <xf numFmtId="0" fontId="61" fillId="0" borderId="20" xfId="27" applyFont="1" applyBorder="1"/>
    <xf numFmtId="0" fontId="61" fillId="0" borderId="21" xfId="27" applyFont="1" applyBorder="1"/>
    <xf numFmtId="0" fontId="1" fillId="0" borderId="0" xfId="27"/>
    <xf numFmtId="0" fontId="62" fillId="0" borderId="0" xfId="27" applyFont="1" applyAlignment="1">
      <alignment vertical="center"/>
    </xf>
    <xf numFmtId="3" fontId="62" fillId="0" borderId="0" xfId="27" applyNumberFormat="1" applyFont="1" applyAlignment="1">
      <alignment vertical="center"/>
    </xf>
    <xf numFmtId="166" fontId="61" fillId="0" borderId="21" xfId="4" applyFont="1" applyBorder="1"/>
    <xf numFmtId="3" fontId="8" fillId="0" borderId="0" xfId="27" applyNumberFormat="1" applyFont="1"/>
    <xf numFmtId="173" fontId="8" fillId="0" borderId="0" xfId="4" applyNumberFormat="1" applyFont="1"/>
    <xf numFmtId="0" fontId="63" fillId="16" borderId="42" xfId="21" applyFont="1" applyFill="1" applyBorder="1" applyAlignment="1">
      <alignment horizontal="center" vertical="center" wrapText="1"/>
    </xf>
    <xf numFmtId="3" fontId="62" fillId="16" borderId="42" xfId="27" applyNumberFormat="1" applyFont="1" applyFill="1" applyBorder="1" applyAlignment="1">
      <alignment horizontal="center" vertical="center"/>
    </xf>
    <xf numFmtId="166" fontId="8" fillId="0" borderId="52" xfId="27" applyNumberFormat="1" applyFont="1" applyBorder="1"/>
    <xf numFmtId="0" fontId="8" fillId="0" borderId="52" xfId="27" applyFont="1" applyBorder="1"/>
    <xf numFmtId="166" fontId="8" fillId="0" borderId="30" xfId="4" applyFont="1" applyBorder="1"/>
    <xf numFmtId="0" fontId="8" fillId="0" borderId="7" xfId="27" applyFont="1" applyBorder="1"/>
    <xf numFmtId="0" fontId="8" fillId="0" borderId="8" xfId="27" applyFont="1" applyBorder="1"/>
    <xf numFmtId="0" fontId="63" fillId="16" borderId="42" xfId="21" applyFont="1" applyFill="1" applyBorder="1" applyAlignment="1">
      <alignment horizontal="left" vertical="center" wrapText="1"/>
    </xf>
    <xf numFmtId="0" fontId="8" fillId="0" borderId="71" xfId="27" applyFont="1" applyBorder="1" applyAlignment="1">
      <alignment vertical="center"/>
    </xf>
    <xf numFmtId="0" fontId="8" fillId="0" borderId="88" xfId="27" applyFont="1" applyBorder="1" applyAlignment="1">
      <alignment vertical="center"/>
    </xf>
    <xf numFmtId="166" fontId="8" fillId="0" borderId="0" xfId="27" applyNumberFormat="1" applyFont="1"/>
    <xf numFmtId="0" fontId="8" fillId="0" borderId="72" xfId="27" applyFont="1" applyBorder="1" applyAlignment="1">
      <alignment vertical="center"/>
    </xf>
    <xf numFmtId="0" fontId="8" fillId="0" borderId="42" xfId="27" applyFont="1" applyBorder="1"/>
    <xf numFmtId="0" fontId="8" fillId="0" borderId="4" xfId="27" applyFont="1" applyBorder="1"/>
    <xf numFmtId="0" fontId="8" fillId="0" borderId="5" xfId="27" applyFont="1" applyBorder="1"/>
    <xf numFmtId="0" fontId="8" fillId="0" borderId="6" xfId="27" applyFont="1" applyBorder="1"/>
    <xf numFmtId="0" fontId="61" fillId="0" borderId="36" xfId="27" applyFont="1" applyBorder="1"/>
    <xf numFmtId="0" fontId="61" fillId="0" borderId="37" xfId="27" applyFont="1" applyBorder="1"/>
    <xf numFmtId="0" fontId="61" fillId="0" borderId="38" xfId="27" applyFont="1" applyBorder="1"/>
    <xf numFmtId="10" fontId="8" fillId="0" borderId="0" xfId="27" applyNumberFormat="1" applyFont="1"/>
    <xf numFmtId="3" fontId="40" fillId="0" borderId="18" xfId="21" applyNumberFormat="1" applyFont="1" applyBorder="1" applyAlignment="1" applyProtection="1">
      <alignment horizontal="left" vertical="top"/>
      <protection hidden="1"/>
    </xf>
    <xf numFmtId="0" fontId="10" fillId="0" borderId="19" xfId="21" applyBorder="1" applyAlignment="1" applyProtection="1">
      <alignment horizontal="right"/>
      <protection hidden="1"/>
    </xf>
    <xf numFmtId="0" fontId="60" fillId="0" borderId="20" xfId="21" applyFont="1" applyBorder="1" applyProtection="1">
      <protection hidden="1"/>
    </xf>
    <xf numFmtId="0" fontId="38" fillId="0" borderId="0" xfId="21" applyFont="1" applyProtection="1">
      <protection hidden="1"/>
    </xf>
    <xf numFmtId="0" fontId="40" fillId="0" borderId="20" xfId="21" applyFont="1" applyBorder="1" applyAlignment="1" applyProtection="1">
      <alignment horizontal="left" vertical="top"/>
      <protection hidden="1"/>
    </xf>
    <xf numFmtId="0" fontId="10" fillId="0" borderId="21" xfId="21" applyBorder="1" applyProtection="1">
      <protection hidden="1"/>
    </xf>
    <xf numFmtId="3" fontId="10" fillId="0" borderId="90" xfId="21" applyNumberFormat="1" applyBorder="1" applyAlignment="1" applyProtection="1">
      <alignment horizontal="left" vertical="center"/>
      <protection hidden="1"/>
    </xf>
    <xf numFmtId="0" fontId="10" fillId="0" borderId="91" xfId="21" applyBorder="1" applyProtection="1">
      <protection hidden="1"/>
    </xf>
    <xf numFmtId="0" fontId="10" fillId="0" borderId="90" xfId="21" applyBorder="1" applyProtection="1">
      <protection hidden="1"/>
    </xf>
    <xf numFmtId="0" fontId="10" fillId="0" borderId="93" xfId="21" applyBorder="1" applyProtection="1">
      <protection hidden="1"/>
    </xf>
    <xf numFmtId="0" fontId="10" fillId="0" borderId="94" xfId="21" applyBorder="1" applyProtection="1">
      <protection hidden="1"/>
    </xf>
    <xf numFmtId="0" fontId="10" fillId="0" borderId="95" xfId="21" applyBorder="1" applyProtection="1">
      <protection hidden="1"/>
    </xf>
    <xf numFmtId="0" fontId="10" fillId="0" borderId="96" xfId="21" applyBorder="1" applyProtection="1">
      <protection hidden="1"/>
    </xf>
    <xf numFmtId="0" fontId="65" fillId="0" borderId="0" xfId="21" applyFont="1" applyAlignment="1" applyProtection="1">
      <alignment vertical="center"/>
      <protection hidden="1"/>
    </xf>
    <xf numFmtId="0" fontId="44" fillId="0" borderId="0" xfId="21" applyFont="1" applyAlignment="1" applyProtection="1">
      <alignment vertical="center"/>
      <protection hidden="1"/>
    </xf>
    <xf numFmtId="0" fontId="10" fillId="0" borderId="0" xfId="21" applyAlignment="1" applyProtection="1">
      <alignment vertical="center"/>
      <protection hidden="1"/>
    </xf>
    <xf numFmtId="0" fontId="40" fillId="0" borderId="0" xfId="21" applyFont="1" applyProtection="1">
      <protection hidden="1"/>
    </xf>
    <xf numFmtId="0" fontId="67" fillId="0" borderId="0" xfId="21" applyFont="1" applyProtection="1">
      <protection hidden="1"/>
    </xf>
    <xf numFmtId="171" fontId="40" fillId="0" borderId="0" xfId="21" applyNumberFormat="1" applyFont="1" applyAlignment="1" applyProtection="1">
      <alignment horizontal="center" vertical="center"/>
      <protection hidden="1"/>
    </xf>
    <xf numFmtId="0" fontId="40" fillId="0" borderId="0" xfId="21" applyFont="1" applyAlignment="1" applyProtection="1">
      <alignment horizontal="center" vertical="center"/>
      <protection hidden="1"/>
    </xf>
    <xf numFmtId="171" fontId="10" fillId="0" borderId="0" xfId="21" applyNumberFormat="1" applyAlignment="1" applyProtection="1">
      <alignment horizontal="center"/>
      <protection hidden="1"/>
    </xf>
    <xf numFmtId="0" fontId="60" fillId="0" borderId="21" xfId="21" applyFont="1" applyBorder="1" applyAlignment="1" applyProtection="1">
      <alignment horizontal="centerContinuous"/>
      <protection hidden="1"/>
    </xf>
    <xf numFmtId="0" fontId="10" fillId="0" borderId="0" xfId="21" applyAlignment="1" applyProtection="1">
      <alignment wrapText="1"/>
      <protection hidden="1"/>
    </xf>
    <xf numFmtId="0" fontId="40" fillId="0" borderId="21" xfId="21" applyFont="1" applyBorder="1" applyAlignment="1" applyProtection="1">
      <alignment vertical="top" wrapText="1"/>
      <protection hidden="1"/>
    </xf>
    <xf numFmtId="0" fontId="60" fillId="0" borderId="20" xfId="21" applyFont="1" applyBorder="1" applyAlignment="1" applyProtection="1">
      <alignment wrapText="1"/>
      <protection hidden="1"/>
    </xf>
    <xf numFmtId="0" fontId="38" fillId="0" borderId="0" xfId="21" applyFont="1" applyAlignment="1" applyProtection="1">
      <alignment wrapText="1"/>
      <protection hidden="1"/>
    </xf>
    <xf numFmtId="0" fontId="10" fillId="0" borderId="98" xfId="21" applyBorder="1" applyAlignment="1" applyProtection="1">
      <alignment horizontal="center" vertical="center"/>
      <protection hidden="1"/>
    </xf>
    <xf numFmtId="4" fontId="10" fillId="0" borderId="0" xfId="21" applyNumberFormat="1" applyProtection="1">
      <protection hidden="1"/>
    </xf>
    <xf numFmtId="4" fontId="10" fillId="0" borderId="21" xfId="21" applyNumberFormat="1" applyBorder="1" applyProtection="1">
      <protection hidden="1"/>
    </xf>
    <xf numFmtId="0" fontId="10" fillId="0" borderId="100" xfId="21" applyBorder="1" applyAlignment="1" applyProtection="1">
      <alignment horizontal="center" vertical="center"/>
      <protection hidden="1"/>
    </xf>
    <xf numFmtId="172" fontId="37" fillId="0" borderId="0" xfId="21" applyNumberFormat="1" applyFont="1" applyAlignment="1" applyProtection="1">
      <alignment horizontal="left" vertical="center"/>
      <protection hidden="1"/>
    </xf>
    <xf numFmtId="0" fontId="41" fillId="0" borderId="0" xfId="21" applyFont="1" applyAlignment="1" applyProtection="1">
      <alignment horizontal="left" vertical="top"/>
      <protection hidden="1"/>
    </xf>
    <xf numFmtId="4" fontId="40" fillId="0" borderId="21" xfId="21" applyNumberFormat="1" applyFont="1" applyBorder="1" applyProtection="1">
      <protection hidden="1"/>
    </xf>
    <xf numFmtId="0" fontId="10" fillId="0" borderId="38" xfId="21" applyBorder="1" applyProtection="1">
      <protection hidden="1"/>
    </xf>
    <xf numFmtId="0" fontId="69" fillId="0" borderId="0" xfId="21" applyFont="1" applyProtection="1">
      <protection hidden="1"/>
    </xf>
    <xf numFmtId="0" fontId="36" fillId="0" borderId="0" xfId="21" applyFont="1"/>
    <xf numFmtId="0" fontId="36" fillId="0" borderId="0" xfId="21" applyFont="1" applyAlignment="1">
      <alignment horizontal="center"/>
    </xf>
    <xf numFmtId="0" fontId="36" fillId="0" borderId="0" xfId="21" applyFont="1" applyAlignment="1">
      <alignment horizontal="center" vertical="center"/>
    </xf>
    <xf numFmtId="0" fontId="36" fillId="0" borderId="0" xfId="21" applyFont="1" applyAlignment="1">
      <alignment horizontal="left" vertical="center"/>
    </xf>
    <xf numFmtId="173" fontId="36" fillId="0" borderId="0" xfId="7" applyNumberFormat="1" applyFont="1" applyBorder="1" applyAlignment="1">
      <alignment horizontal="center" vertical="center"/>
    </xf>
    <xf numFmtId="0" fontId="36" fillId="0" borderId="1" xfId="21" applyFont="1" applyBorder="1" applyAlignment="1">
      <alignment horizontal="center" vertical="center"/>
    </xf>
    <xf numFmtId="0" fontId="70" fillId="19" borderId="16" xfId="21" applyFont="1" applyFill="1" applyBorder="1" applyAlignment="1">
      <alignment horizontal="center" vertical="center" wrapText="1"/>
    </xf>
    <xf numFmtId="0" fontId="70" fillId="19" borderId="101" xfId="21" applyFont="1" applyFill="1" applyBorder="1" applyAlignment="1">
      <alignment horizontal="center" vertical="center"/>
    </xf>
    <xf numFmtId="173" fontId="70" fillId="19" borderId="17" xfId="7" applyNumberFormat="1" applyFont="1" applyFill="1" applyBorder="1" applyAlignment="1">
      <alignment horizontal="center" vertical="center" wrapText="1"/>
    </xf>
    <xf numFmtId="0" fontId="36" fillId="0" borderId="7" xfId="21" applyFont="1" applyBorder="1"/>
    <xf numFmtId="0" fontId="36" fillId="0" borderId="72" xfId="21" applyFont="1" applyBorder="1" applyAlignment="1">
      <alignment horizontal="center" vertical="center"/>
    </xf>
    <xf numFmtId="173" fontId="36" fillId="0" borderId="72" xfId="7" applyNumberFormat="1" applyFont="1" applyFill="1" applyBorder="1" applyAlignment="1">
      <alignment horizontal="center" vertical="center"/>
    </xf>
    <xf numFmtId="173" fontId="1" fillId="0" borderId="72" xfId="7" applyNumberFormat="1" applyFont="1" applyFill="1" applyBorder="1" applyAlignment="1">
      <alignment horizontal="center" vertical="center"/>
    </xf>
    <xf numFmtId="173" fontId="36" fillId="0" borderId="0" xfId="21" applyNumberFormat="1" applyFont="1"/>
    <xf numFmtId="0" fontId="71" fillId="0" borderId="0" xfId="21" applyFont="1" applyAlignment="1">
      <alignment horizontal="center" vertical="center"/>
    </xf>
    <xf numFmtId="173" fontId="71" fillId="0" borderId="0" xfId="4" applyNumberFormat="1" applyFont="1" applyFill="1" applyBorder="1" applyAlignment="1">
      <alignment vertical="center"/>
    </xf>
    <xf numFmtId="0" fontId="36" fillId="0" borderId="4" xfId="21" applyFont="1" applyBorder="1"/>
    <xf numFmtId="0" fontId="36" fillId="0" borderId="86" xfId="21" applyFont="1" applyBorder="1" applyAlignment="1">
      <alignment horizontal="center"/>
    </xf>
    <xf numFmtId="0" fontId="36" fillId="0" borderId="86" xfId="21" applyFont="1" applyBorder="1" applyAlignment="1">
      <alignment horizontal="center" vertical="center"/>
    </xf>
    <xf numFmtId="0" fontId="36" fillId="0" borderId="86" xfId="21" applyFont="1" applyBorder="1" applyAlignment="1">
      <alignment horizontal="left" vertical="center"/>
    </xf>
    <xf numFmtId="0" fontId="30" fillId="0" borderId="0" xfId="21" applyFont="1" applyAlignment="1" applyProtection="1">
      <alignment vertical="center" wrapText="1"/>
      <protection hidden="1"/>
    </xf>
    <xf numFmtId="3" fontId="72" fillId="0" borderId="0" xfId="21" applyNumberFormat="1" applyFont="1" applyAlignment="1" applyProtection="1">
      <alignment horizontal="center"/>
      <protection hidden="1"/>
    </xf>
    <xf numFmtId="0" fontId="10" fillId="0" borderId="0" xfId="21" applyAlignment="1" applyProtection="1">
      <alignment horizontal="center"/>
      <protection hidden="1"/>
    </xf>
    <xf numFmtId="10" fontId="10" fillId="0" borderId="0" xfId="21" applyNumberFormat="1" applyAlignment="1" applyProtection="1">
      <alignment horizontal="centerContinuous"/>
      <protection hidden="1"/>
    </xf>
    <xf numFmtId="176" fontId="55" fillId="0" borderId="0" xfId="21" applyNumberFormat="1" applyFont="1" applyAlignment="1" applyProtection="1">
      <alignment horizontal="center" vertical="center" wrapText="1"/>
      <protection hidden="1"/>
    </xf>
    <xf numFmtId="3" fontId="40" fillId="0" borderId="0" xfId="21" applyNumberFormat="1" applyFont="1" applyAlignment="1" applyProtection="1">
      <alignment horizontal="right" vertical="center"/>
      <protection hidden="1"/>
    </xf>
    <xf numFmtId="10" fontId="10" fillId="0" borderId="0" xfId="21" applyNumberFormat="1" applyProtection="1">
      <protection hidden="1"/>
    </xf>
    <xf numFmtId="0" fontId="30" fillId="0" borderId="0" xfId="21" applyFont="1" applyAlignment="1" applyProtection="1">
      <alignment horizontal="left"/>
      <protection hidden="1"/>
    </xf>
    <xf numFmtId="0" fontId="39" fillId="0" borderId="0" xfId="21" applyFont="1" applyAlignment="1" applyProtection="1">
      <alignment horizontal="center"/>
      <protection hidden="1"/>
    </xf>
    <xf numFmtId="175" fontId="30" fillId="0" borderId="0" xfId="30" applyNumberFormat="1" applyFont="1" applyBorder="1" applyAlignment="1" applyProtection="1">
      <alignment horizontal="center"/>
      <protection hidden="1"/>
    </xf>
    <xf numFmtId="174" fontId="39" fillId="0" borderId="0" xfId="21" applyNumberFormat="1" applyFont="1" applyAlignment="1" applyProtection="1">
      <alignment horizontal="center"/>
      <protection hidden="1"/>
    </xf>
    <xf numFmtId="0" fontId="39" fillId="0" borderId="121" xfId="21" applyFont="1" applyBorder="1" applyAlignment="1" applyProtection="1">
      <alignment horizontal="centerContinuous" vertical="center"/>
      <protection hidden="1"/>
    </xf>
    <xf numFmtId="0" fontId="39" fillId="0" borderId="80" xfId="21" applyFont="1" applyBorder="1" applyAlignment="1" applyProtection="1">
      <alignment horizontal="center" vertical="center"/>
      <protection hidden="1"/>
    </xf>
    <xf numFmtId="174" fontId="39" fillId="0" borderId="35" xfId="21" applyNumberFormat="1" applyFont="1" applyBorder="1" applyAlignment="1" applyProtection="1">
      <alignment horizontal="center"/>
      <protection hidden="1"/>
    </xf>
    <xf numFmtId="3" fontId="48" fillId="0" borderId="0" xfId="21" applyNumberFormat="1" applyFont="1" applyAlignment="1" applyProtection="1">
      <alignment horizontal="center"/>
      <protection hidden="1"/>
    </xf>
    <xf numFmtId="3" fontId="49" fillId="0" borderId="0" xfId="21" applyNumberFormat="1" applyFont="1" applyAlignment="1" applyProtection="1">
      <alignment horizontal="center" vertical="center"/>
      <protection hidden="1"/>
    </xf>
    <xf numFmtId="171" fontId="31" fillId="0" borderId="0" xfId="21" applyNumberFormat="1" applyFont="1" applyAlignment="1" applyProtection="1">
      <alignment horizontal="center" vertical="center"/>
      <protection locked="0" hidden="1"/>
    </xf>
    <xf numFmtId="3" fontId="31" fillId="0" borderId="0" xfId="21" applyNumberFormat="1" applyFont="1" applyAlignment="1" applyProtection="1">
      <alignment horizontal="center" vertical="center"/>
      <protection locked="0" hidden="1"/>
    </xf>
    <xf numFmtId="0" fontId="39" fillId="13" borderId="26" xfId="0" applyFont="1" applyFill="1" applyBorder="1" applyAlignment="1" applyProtection="1">
      <alignment horizontal="center" vertical="center" wrapText="1"/>
      <protection hidden="1"/>
    </xf>
    <xf numFmtId="0" fontId="39" fillId="0" borderId="22" xfId="0" applyFont="1" applyBorder="1" applyAlignment="1" applyProtection="1">
      <alignment horizontal="center" vertical="center"/>
      <protection hidden="1"/>
    </xf>
    <xf numFmtId="3" fontId="39" fillId="14" borderId="26" xfId="0" applyNumberFormat="1" applyFont="1" applyFill="1" applyBorder="1" applyAlignment="1" applyProtection="1">
      <alignment vertical="center" wrapText="1"/>
      <protection hidden="1"/>
    </xf>
    <xf numFmtId="176" fontId="39" fillId="14" borderId="26" xfId="0" applyNumberFormat="1" applyFont="1" applyFill="1" applyBorder="1" applyAlignment="1" applyProtection="1">
      <alignment vertical="center" wrapText="1"/>
      <protection hidden="1"/>
    </xf>
    <xf numFmtId="3" fontId="39" fillId="0" borderId="22" xfId="0" applyNumberFormat="1" applyFont="1" applyBorder="1" applyAlignment="1" applyProtection="1">
      <alignment horizontal="center" vertical="center"/>
      <protection hidden="1"/>
    </xf>
    <xf numFmtId="0" fontId="0" fillId="0" borderId="0" xfId="0" applyProtection="1">
      <protection hidden="1"/>
    </xf>
    <xf numFmtId="0" fontId="48" fillId="0" borderId="0" xfId="0" applyFont="1" applyAlignment="1" applyProtection="1">
      <alignment horizontal="center"/>
      <protection hidden="1"/>
    </xf>
    <xf numFmtId="3" fontId="39" fillId="0" borderId="133" xfId="21" applyNumberFormat="1" applyFont="1" applyBorder="1" applyAlignment="1" applyProtection="1">
      <alignment vertical="center"/>
      <protection hidden="1"/>
    </xf>
    <xf numFmtId="3" fontId="39" fillId="0" borderId="134" xfId="21" applyNumberFormat="1" applyFont="1" applyBorder="1" applyAlignment="1" applyProtection="1">
      <alignment horizontal="centerContinuous" vertical="center"/>
      <protection hidden="1"/>
    </xf>
    <xf numFmtId="3" fontId="40" fillId="0" borderId="134" xfId="21" applyNumberFormat="1" applyFont="1" applyBorder="1" applyAlignment="1" applyProtection="1">
      <alignment horizontal="centerContinuous" vertical="center"/>
      <protection hidden="1"/>
    </xf>
    <xf numFmtId="3" fontId="10" fillId="0" borderId="134" xfId="21" applyNumberFormat="1" applyBorder="1" applyProtection="1">
      <protection hidden="1"/>
    </xf>
    <xf numFmtId="3" fontId="40" fillId="0" borderId="134" xfId="21" applyNumberFormat="1" applyFont="1" applyBorder="1" applyAlignment="1" applyProtection="1">
      <alignment vertical="center"/>
      <protection hidden="1"/>
    </xf>
    <xf numFmtId="3" fontId="10" fillId="0" borderId="135" xfId="21" applyNumberFormat="1" applyBorder="1" applyAlignment="1" applyProtection="1">
      <alignment horizontal="right" vertical="center"/>
      <protection hidden="1"/>
    </xf>
    <xf numFmtId="3" fontId="39" fillId="0" borderId="136" xfId="21" applyNumberFormat="1" applyFont="1" applyBorder="1" applyAlignment="1" applyProtection="1">
      <alignment vertical="center"/>
      <protection hidden="1"/>
    </xf>
    <xf numFmtId="3" fontId="10" fillId="0" borderId="137" xfId="21" applyNumberFormat="1" applyBorder="1" applyProtection="1">
      <protection hidden="1"/>
    </xf>
    <xf numFmtId="3" fontId="40" fillId="0" borderId="136" xfId="21" applyNumberFormat="1" applyFont="1" applyBorder="1" applyAlignment="1" applyProtection="1">
      <alignment vertical="center"/>
      <protection hidden="1"/>
    </xf>
    <xf numFmtId="3" fontId="30" fillId="0" borderId="138" xfId="21" applyNumberFormat="1" applyFont="1" applyBorder="1" applyAlignment="1" applyProtection="1">
      <alignment horizontal="left" vertical="center"/>
      <protection hidden="1"/>
    </xf>
    <xf numFmtId="3" fontId="72" fillId="0" borderId="137" xfId="21" applyNumberFormat="1" applyFont="1" applyBorder="1" applyAlignment="1" applyProtection="1">
      <alignment horizontal="left"/>
      <protection hidden="1"/>
    </xf>
    <xf numFmtId="3" fontId="30" fillId="0" borderId="138" xfId="21" applyNumberFormat="1" applyFont="1" applyBorder="1" applyAlignment="1" applyProtection="1">
      <alignment vertical="center"/>
      <protection hidden="1"/>
    </xf>
    <xf numFmtId="3" fontId="30" fillId="0" borderId="136" xfId="21" applyNumberFormat="1" applyFont="1" applyBorder="1" applyProtection="1">
      <protection hidden="1"/>
    </xf>
    <xf numFmtId="3" fontId="39" fillId="0" borderId="136" xfId="21" applyNumberFormat="1" applyFont="1" applyBorder="1" applyAlignment="1" applyProtection="1">
      <alignment horizontal="left"/>
      <protection hidden="1"/>
    </xf>
    <xf numFmtId="0" fontId="30" fillId="0" borderId="136" xfId="21" applyFont="1" applyBorder="1" applyAlignment="1" applyProtection="1">
      <alignment vertical="center" wrapText="1"/>
      <protection hidden="1"/>
    </xf>
    <xf numFmtId="0" fontId="47" fillId="0" borderId="136" xfId="21" applyFont="1" applyBorder="1" applyAlignment="1" applyProtection="1">
      <alignment horizontal="left"/>
      <protection hidden="1"/>
    </xf>
    <xf numFmtId="0" fontId="30" fillId="0" borderId="136" xfId="21" applyFont="1" applyBorder="1" applyAlignment="1" applyProtection="1">
      <alignment horizontal="left"/>
      <protection hidden="1"/>
    </xf>
    <xf numFmtId="174" fontId="39" fillId="0" borderId="137" xfId="21" applyNumberFormat="1" applyFont="1" applyBorder="1" applyAlignment="1" applyProtection="1">
      <alignment horizontal="center"/>
      <protection hidden="1"/>
    </xf>
    <xf numFmtId="3" fontId="10" fillId="0" borderId="137" xfId="21" applyNumberFormat="1" applyBorder="1" applyAlignment="1" applyProtection="1">
      <alignment horizontal="center"/>
      <protection hidden="1"/>
    </xf>
    <xf numFmtId="0" fontId="10" fillId="0" borderId="137" xfId="21" applyBorder="1" applyProtection="1">
      <protection hidden="1"/>
    </xf>
    <xf numFmtId="0" fontId="40" fillId="0" borderId="136" xfId="21" applyFont="1" applyBorder="1" applyAlignment="1" applyProtection="1">
      <alignment horizontal="left"/>
      <protection hidden="1"/>
    </xf>
    <xf numFmtId="3" fontId="10" fillId="0" borderId="136" xfId="21" applyNumberFormat="1" applyBorder="1" applyProtection="1">
      <protection hidden="1"/>
    </xf>
    <xf numFmtId="0" fontId="10" fillId="0" borderId="136" xfId="21" applyBorder="1" applyProtection="1">
      <protection hidden="1"/>
    </xf>
    <xf numFmtId="3" fontId="10" fillId="0" borderId="148" xfId="21" applyNumberFormat="1" applyBorder="1" applyProtection="1">
      <protection hidden="1"/>
    </xf>
    <xf numFmtId="0" fontId="10" fillId="0" borderId="149" xfId="21" applyBorder="1" applyProtection="1">
      <protection hidden="1"/>
    </xf>
    <xf numFmtId="3" fontId="30" fillId="0" borderId="149" xfId="21" applyNumberFormat="1" applyFont="1" applyBorder="1" applyAlignment="1" applyProtection="1">
      <alignment horizontal="center"/>
      <protection hidden="1"/>
    </xf>
    <xf numFmtId="0" fontId="30" fillId="0" borderId="149" xfId="21" applyFont="1" applyBorder="1" applyAlignment="1" applyProtection="1">
      <alignment vertical="top"/>
      <protection hidden="1"/>
    </xf>
    <xf numFmtId="3" fontId="40" fillId="0" borderId="42" xfId="21" applyNumberFormat="1" applyFont="1" applyBorder="1" applyAlignment="1" applyProtection="1">
      <alignment wrapText="1"/>
      <protection hidden="1"/>
    </xf>
    <xf numFmtId="3" fontId="39" fillId="13" borderId="31" xfId="21" applyNumberFormat="1" applyFont="1" applyFill="1" applyBorder="1" applyAlignment="1" applyProtection="1">
      <alignment vertical="center"/>
      <protection hidden="1"/>
    </xf>
    <xf numFmtId="3" fontId="39" fillId="13" borderId="32" xfId="21" applyNumberFormat="1" applyFont="1" applyFill="1" applyBorder="1" applyAlignment="1" applyProtection="1">
      <alignment vertical="center"/>
      <protection hidden="1"/>
    </xf>
    <xf numFmtId="3" fontId="38" fillId="0" borderId="0" xfId="21" applyNumberFormat="1" applyFont="1" applyAlignment="1">
      <alignment horizontal="left"/>
    </xf>
    <xf numFmtId="173" fontId="38" fillId="0" borderId="0" xfId="4" applyNumberFormat="1" applyFont="1" applyBorder="1"/>
    <xf numFmtId="3" fontId="10" fillId="0" borderId="34" xfId="21" applyNumberFormat="1" applyBorder="1" applyAlignment="1" applyProtection="1">
      <alignment horizontal="center"/>
      <protection hidden="1"/>
    </xf>
    <xf numFmtId="0" fontId="10" fillId="0" borderId="34" xfId="21" applyBorder="1" applyAlignment="1" applyProtection="1">
      <alignment horizontal="center"/>
      <protection hidden="1"/>
    </xf>
    <xf numFmtId="3" fontId="39" fillId="0" borderId="152" xfId="21" applyNumberFormat="1" applyFont="1" applyBorder="1" applyAlignment="1" applyProtection="1">
      <alignment horizontal="center"/>
      <protection hidden="1"/>
    </xf>
    <xf numFmtId="0" fontId="8" fillId="0" borderId="0" xfId="27" applyFont="1" applyAlignment="1">
      <alignment vertical="center"/>
    </xf>
    <xf numFmtId="0" fontId="61" fillId="0" borderId="20" xfId="27" applyFont="1" applyBorder="1" applyAlignment="1">
      <alignment vertical="center"/>
    </xf>
    <xf numFmtId="0" fontId="6" fillId="8" borderId="0" xfId="27" applyFont="1" applyFill="1" applyAlignment="1">
      <alignment horizontal="center" vertical="center"/>
    </xf>
    <xf numFmtId="0" fontId="61" fillId="0" borderId="0" xfId="27" applyFont="1" applyAlignment="1">
      <alignment vertical="center"/>
    </xf>
    <xf numFmtId="0" fontId="5" fillId="0" borderId="0" xfId="2" applyBorder="1" applyAlignment="1" applyProtection="1">
      <alignment vertical="center"/>
      <protection locked="0"/>
    </xf>
    <xf numFmtId="0" fontId="5" fillId="0" borderId="0" xfId="2" applyBorder="1" applyAlignment="1" applyProtection="1">
      <alignment horizontal="right" vertical="center"/>
      <protection locked="0"/>
    </xf>
    <xf numFmtId="0" fontId="61" fillId="0" borderId="21" xfId="27" applyFont="1" applyBorder="1" applyAlignment="1">
      <alignment vertical="center"/>
    </xf>
    <xf numFmtId="3" fontId="40" fillId="0" borderId="11" xfId="21" applyNumberFormat="1" applyFont="1" applyBorder="1" applyAlignment="1" applyProtection="1">
      <alignment horizontal="left" vertical="top"/>
      <protection hidden="1"/>
    </xf>
    <xf numFmtId="3" fontId="10" fillId="0" borderId="90" xfId="21" applyNumberFormat="1" applyBorder="1" applyProtection="1">
      <protection hidden="1"/>
    </xf>
    <xf numFmtId="173" fontId="30" fillId="0" borderId="0" xfId="4" applyNumberFormat="1" applyFont="1" applyBorder="1" applyAlignment="1" applyProtection="1">
      <alignment vertical="center"/>
      <protection hidden="1"/>
    </xf>
    <xf numFmtId="3" fontId="38" fillId="0" borderId="0" xfId="21" applyNumberFormat="1" applyFont="1" applyProtection="1">
      <protection hidden="1"/>
    </xf>
    <xf numFmtId="0" fontId="74" fillId="0" borderId="0" xfId="27" applyFont="1"/>
    <xf numFmtId="0" fontId="74" fillId="0" borderId="20" xfId="27" applyFont="1" applyBorder="1"/>
    <xf numFmtId="0" fontId="74" fillId="0" borderId="21" xfId="27" applyFont="1" applyBorder="1"/>
    <xf numFmtId="173" fontId="3" fillId="0" borderId="89" xfId="27" applyNumberFormat="1" applyFont="1" applyBorder="1" applyAlignment="1">
      <alignment horizontal="center" vertical="center"/>
    </xf>
    <xf numFmtId="178" fontId="3" fillId="0" borderId="89" xfId="4" applyNumberFormat="1" applyFont="1" applyBorder="1" applyAlignment="1">
      <alignment vertical="center"/>
    </xf>
    <xf numFmtId="3" fontId="39" fillId="12" borderId="156" xfId="21" applyNumberFormat="1" applyFont="1" applyFill="1" applyBorder="1" applyAlignment="1" applyProtection="1">
      <alignment horizontal="center" vertical="center" wrapText="1"/>
      <protection hidden="1"/>
    </xf>
    <xf numFmtId="3" fontId="39" fillId="12" borderId="157" xfId="21" applyNumberFormat="1" applyFont="1" applyFill="1" applyBorder="1" applyAlignment="1" applyProtection="1">
      <alignment horizontal="center" vertical="center" wrapText="1"/>
      <protection hidden="1"/>
    </xf>
    <xf numFmtId="3" fontId="39" fillId="12" borderId="78" xfId="21" applyNumberFormat="1" applyFont="1" applyFill="1" applyBorder="1" applyAlignment="1" applyProtection="1">
      <alignment horizontal="center" vertical="center" wrapText="1"/>
      <protection hidden="1"/>
    </xf>
    <xf numFmtId="0" fontId="39" fillId="12" borderId="156" xfId="21" applyFont="1" applyFill="1" applyBorder="1" applyAlignment="1" applyProtection="1">
      <alignment horizontal="center" vertical="center"/>
      <protection hidden="1"/>
    </xf>
    <xf numFmtId="0" fontId="39" fillId="12" borderId="157" xfId="21" applyFont="1" applyFill="1" applyBorder="1" applyAlignment="1" applyProtection="1">
      <alignment horizontal="center" vertical="center"/>
      <protection hidden="1"/>
    </xf>
    <xf numFmtId="0" fontId="39" fillId="12" borderId="66" xfId="21" applyFont="1" applyFill="1" applyBorder="1" applyAlignment="1" applyProtection="1">
      <alignment horizontal="center" vertical="center"/>
      <protection hidden="1"/>
    </xf>
    <xf numFmtId="0" fontId="5" fillId="0" borderId="0" xfId="2" applyAlignment="1" applyProtection="1">
      <alignment horizontal="center"/>
      <protection locked="0"/>
    </xf>
    <xf numFmtId="3" fontId="5" fillId="0" borderId="0" xfId="2" applyNumberFormat="1" applyAlignment="1" applyProtection="1">
      <alignment horizontal="left"/>
      <protection locked="0" hidden="1"/>
    </xf>
    <xf numFmtId="3" fontId="5" fillId="0" borderId="0" xfId="2" applyNumberFormat="1" applyAlignment="1" applyProtection="1">
      <protection locked="0" hidden="1"/>
    </xf>
    <xf numFmtId="0" fontId="5" fillId="0" borderId="0" xfId="2" applyAlignment="1" applyProtection="1">
      <alignment horizontal="center"/>
      <protection locked="0" hidden="1"/>
    </xf>
    <xf numFmtId="0" fontId="0" fillId="0" borderId="0" xfId="28" applyFont="1"/>
    <xf numFmtId="175" fontId="30" fillId="0" borderId="0" xfId="21" applyNumberFormat="1" applyFont="1" applyAlignment="1" applyProtection="1">
      <alignment horizontal="center" vertical="center"/>
      <protection hidden="1"/>
    </xf>
    <xf numFmtId="175" fontId="39" fillId="0" borderId="0" xfId="30" applyNumberFormat="1" applyFont="1" applyFill="1" applyBorder="1" applyAlignment="1" applyProtection="1">
      <alignment horizontal="center" vertical="center"/>
    </xf>
    <xf numFmtId="10" fontId="30" fillId="0" borderId="0" xfId="21" applyNumberFormat="1" applyFont="1" applyAlignment="1" applyProtection="1">
      <alignment vertical="center"/>
      <protection hidden="1"/>
    </xf>
    <xf numFmtId="177" fontId="47" fillId="0" borderId="0" xfId="21" applyNumberFormat="1" applyFont="1" applyAlignment="1" applyProtection="1">
      <alignment vertical="center"/>
      <protection hidden="1"/>
    </xf>
    <xf numFmtId="3" fontId="39" fillId="0" borderId="0" xfId="21" applyNumberFormat="1" applyFont="1" applyAlignment="1" applyProtection="1">
      <alignment horizontal="center" vertical="center" wrapText="1"/>
      <protection hidden="1"/>
    </xf>
    <xf numFmtId="0" fontId="39" fillId="0" borderId="0" xfId="21" applyFont="1" applyAlignment="1" applyProtection="1">
      <alignment horizontal="left"/>
      <protection hidden="1"/>
    </xf>
    <xf numFmtId="0" fontId="56" fillId="0" borderId="0" xfId="21" applyFont="1" applyAlignment="1" applyProtection="1">
      <alignment horizontal="left"/>
      <protection hidden="1"/>
    </xf>
    <xf numFmtId="0" fontId="56" fillId="0" borderId="0" xfId="21" applyFont="1" applyAlignment="1" applyProtection="1">
      <alignment horizontal="left" vertical="top" wrapText="1"/>
      <protection hidden="1"/>
    </xf>
    <xf numFmtId="3" fontId="53" fillId="0" borderId="0" xfId="21" applyNumberFormat="1" applyFont="1" applyProtection="1">
      <protection hidden="1"/>
    </xf>
    <xf numFmtId="0" fontId="31" fillId="0" borderId="0" xfId="21" applyFont="1" applyAlignment="1" applyProtection="1">
      <alignment vertical="center"/>
      <protection hidden="1"/>
    </xf>
    <xf numFmtId="0" fontId="28" fillId="0" borderId="0" xfId="21" applyFont="1" applyAlignment="1" applyProtection="1">
      <alignment vertical="top" wrapText="1"/>
      <protection hidden="1"/>
    </xf>
    <xf numFmtId="0" fontId="27" fillId="0" borderId="0" xfId="21" applyFont="1" applyAlignment="1" applyProtection="1">
      <alignment horizontal="right"/>
      <protection hidden="1"/>
    </xf>
    <xf numFmtId="0" fontId="23" fillId="21" borderId="42" xfId="21" applyFont="1" applyFill="1" applyBorder="1" applyProtection="1">
      <protection hidden="1"/>
    </xf>
    <xf numFmtId="3" fontId="31" fillId="0" borderId="77" xfId="21" applyNumberFormat="1" applyFont="1" applyBorder="1" applyProtection="1">
      <protection hidden="1"/>
    </xf>
    <xf numFmtId="175" fontId="30" fillId="0" borderId="63" xfId="21" applyNumberFormat="1" applyFont="1" applyBorder="1" applyAlignment="1" applyProtection="1">
      <alignment horizontal="center" vertical="center"/>
      <protection hidden="1"/>
    </xf>
    <xf numFmtId="10" fontId="30" fillId="0" borderId="152" xfId="21" applyNumberFormat="1" applyFont="1" applyBorder="1" applyAlignment="1" applyProtection="1">
      <alignment vertical="center"/>
      <protection hidden="1"/>
    </xf>
    <xf numFmtId="173" fontId="39" fillId="0" borderId="63" xfId="4" applyNumberFormat="1" applyFont="1" applyFill="1" applyBorder="1" applyAlignment="1" applyProtection="1">
      <alignment horizontal="right" vertical="center"/>
    </xf>
    <xf numFmtId="37" fontId="39" fillId="0" borderId="52" xfId="4" applyNumberFormat="1" applyFont="1" applyFill="1" applyBorder="1" applyAlignment="1" applyProtection="1">
      <alignment horizontal="right"/>
    </xf>
    <xf numFmtId="173" fontId="39" fillId="0" borderId="52" xfId="4" applyNumberFormat="1" applyFont="1" applyFill="1" applyBorder="1" applyAlignment="1" applyProtection="1">
      <alignment horizontal="right" vertical="center"/>
      <protection hidden="1"/>
    </xf>
    <xf numFmtId="0" fontId="0" fillId="0" borderId="0" xfId="0" applyAlignment="1">
      <alignment wrapText="1"/>
    </xf>
    <xf numFmtId="0" fontId="76" fillId="0" borderId="0" xfId="0" applyFont="1" applyAlignment="1">
      <alignment wrapText="1"/>
    </xf>
    <xf numFmtId="0" fontId="76" fillId="0" borderId="0" xfId="0" applyFont="1"/>
    <xf numFmtId="0" fontId="36" fillId="0" borderId="0" xfId="0" applyFont="1" applyAlignment="1">
      <alignment wrapText="1"/>
    </xf>
    <xf numFmtId="9" fontId="36" fillId="0" borderId="0" xfId="0" applyNumberFormat="1" applyFont="1" applyAlignment="1">
      <alignment wrapText="1"/>
    </xf>
    <xf numFmtId="173" fontId="36" fillId="0" borderId="0" xfId="0" applyNumberFormat="1" applyFont="1" applyAlignment="1">
      <alignment wrapText="1"/>
    </xf>
    <xf numFmtId="173" fontId="38" fillId="0" borderId="22" xfId="32" applyNumberFormat="1" applyFont="1" applyBorder="1"/>
    <xf numFmtId="173" fontId="38" fillId="0" borderId="0" xfId="21" applyNumberFormat="1" applyFont="1"/>
    <xf numFmtId="173" fontId="38" fillId="0" borderId="22" xfId="32" applyNumberFormat="1" applyFont="1" applyBorder="1" applyAlignment="1">
      <alignment wrapText="1"/>
    </xf>
    <xf numFmtId="0" fontId="36" fillId="0" borderId="0" xfId="0" applyFont="1"/>
    <xf numFmtId="0" fontId="36" fillId="0" borderId="0" xfId="0" applyFont="1" applyAlignment="1">
      <alignment horizontal="center"/>
    </xf>
    <xf numFmtId="0" fontId="8" fillId="0" borderId="9" xfId="1" applyFont="1" applyBorder="1" applyAlignment="1">
      <alignment horizontal="left"/>
    </xf>
    <xf numFmtId="0" fontId="8" fillId="0" borderId="11" xfId="1" applyFont="1" applyBorder="1" applyAlignment="1">
      <alignment horizontal="left"/>
    </xf>
    <xf numFmtId="0" fontId="8" fillId="0" borderId="10" xfId="1" applyFont="1" applyBorder="1" applyAlignment="1">
      <alignment horizontal="left"/>
    </xf>
    <xf numFmtId="0" fontId="7" fillId="0" borderId="0" xfId="1" applyFont="1" applyAlignment="1">
      <alignment horizontal="left" vertical="center" wrapText="1"/>
    </xf>
    <xf numFmtId="164" fontId="36" fillId="0" borderId="0" xfId="0" applyNumberFormat="1" applyFont="1" applyAlignment="1">
      <alignment wrapText="1"/>
    </xf>
    <xf numFmtId="0" fontId="78" fillId="20" borderId="159" xfId="0" applyFont="1" applyFill="1" applyBorder="1" applyAlignment="1">
      <alignment horizontal="left" vertical="center" wrapText="1" indent="1"/>
    </xf>
    <xf numFmtId="178" fontId="36" fillId="0" borderId="0" xfId="32" applyNumberFormat="1" applyFont="1"/>
    <xf numFmtId="173" fontId="36" fillId="0" borderId="0" xfId="32" applyNumberFormat="1" applyFont="1"/>
    <xf numFmtId="166" fontId="36" fillId="0" borderId="0" xfId="32" applyFont="1"/>
    <xf numFmtId="3" fontId="36" fillId="0" borderId="0" xfId="0" applyNumberFormat="1" applyFont="1"/>
    <xf numFmtId="0" fontId="3" fillId="0" borderId="7" xfId="1" applyFont="1" applyBorder="1" applyAlignment="1">
      <alignment horizontal="center"/>
    </xf>
    <xf numFmtId="0" fontId="1" fillId="0" borderId="8" xfId="1" applyBorder="1"/>
    <xf numFmtId="9" fontId="36" fillId="0" borderId="0" xfId="33" applyFont="1"/>
    <xf numFmtId="0" fontId="36" fillId="0" borderId="0" xfId="0" applyFont="1" applyProtection="1">
      <protection hidden="1"/>
    </xf>
    <xf numFmtId="166" fontId="61" fillId="0" borderId="21" xfId="4" applyFont="1" applyBorder="1" applyAlignment="1">
      <alignment horizontal="center"/>
    </xf>
    <xf numFmtId="0" fontId="62" fillId="16" borderId="42" xfId="27" applyFont="1" applyFill="1" applyBorder="1" applyAlignment="1">
      <alignment horizontal="center" vertical="center"/>
    </xf>
    <xf numFmtId="0" fontId="39" fillId="13" borderId="132" xfId="0" applyFont="1" applyFill="1" applyBorder="1" applyAlignment="1" applyProtection="1">
      <alignment horizontal="center" vertical="center" wrapText="1"/>
      <protection hidden="1"/>
    </xf>
    <xf numFmtId="0" fontId="24" fillId="0" borderId="137" xfId="21" applyFont="1" applyBorder="1" applyProtection="1">
      <protection hidden="1"/>
    </xf>
    <xf numFmtId="3" fontId="52" fillId="0" borderId="20" xfId="21" applyNumberFormat="1" applyFont="1" applyBorder="1" applyProtection="1">
      <protection hidden="1"/>
    </xf>
    <xf numFmtId="3" fontId="52" fillId="0" borderId="0" xfId="21" applyNumberFormat="1" applyFont="1" applyAlignment="1" applyProtection="1">
      <alignment horizontal="center"/>
      <protection hidden="1"/>
    </xf>
    <xf numFmtId="0" fontId="78" fillId="19" borderId="26" xfId="0" applyFont="1" applyFill="1" applyBorder="1" applyAlignment="1" applyProtection="1">
      <alignment horizontal="left" vertical="center" wrapText="1" indent="1"/>
      <protection hidden="1"/>
    </xf>
    <xf numFmtId="0" fontId="78" fillId="19" borderId="26" xfId="0" applyFont="1" applyFill="1" applyBorder="1" applyAlignment="1" applyProtection="1">
      <alignment horizontal="center" vertical="center" wrapText="1"/>
      <protection hidden="1"/>
    </xf>
    <xf numFmtId="9" fontId="79" fillId="0" borderId="26" xfId="33" applyFont="1" applyFill="1" applyBorder="1" applyAlignment="1" applyProtection="1">
      <alignment horizontal="center" vertical="center" wrapText="1"/>
      <protection hidden="1"/>
    </xf>
    <xf numFmtId="9" fontId="79" fillId="14" borderId="26" xfId="33" applyFont="1" applyFill="1" applyBorder="1" applyAlignment="1" applyProtection="1">
      <alignment horizontal="center" vertical="center" wrapText="1"/>
      <protection hidden="1"/>
    </xf>
    <xf numFmtId="0" fontId="78" fillId="20" borderId="26" xfId="0" applyFont="1" applyFill="1" applyBorder="1" applyAlignment="1" applyProtection="1">
      <alignment horizontal="left" vertical="center" wrapText="1" indent="1"/>
      <protection hidden="1"/>
    </xf>
    <xf numFmtId="178" fontId="36" fillId="14" borderId="26" xfId="32" applyNumberFormat="1" applyFont="1" applyFill="1" applyBorder="1" applyAlignment="1" applyProtection="1">
      <alignment horizontal="center" vertical="center"/>
      <protection hidden="1"/>
    </xf>
    <xf numFmtId="9" fontId="36" fillId="14" borderId="26" xfId="33" applyFont="1" applyFill="1" applyBorder="1" applyAlignment="1" applyProtection="1">
      <alignment horizontal="center" vertical="center"/>
      <protection hidden="1"/>
    </xf>
    <xf numFmtId="0" fontId="78" fillId="20" borderId="166" xfId="0" applyFont="1" applyFill="1" applyBorder="1" applyAlignment="1" applyProtection="1">
      <alignment horizontal="left" vertical="center" wrapText="1" indent="1"/>
      <protection hidden="1"/>
    </xf>
    <xf numFmtId="178" fontId="36" fillId="14" borderId="166" xfId="32" applyNumberFormat="1" applyFont="1" applyFill="1" applyBorder="1" applyAlignment="1" applyProtection="1">
      <alignment horizontal="center" vertical="center"/>
      <protection hidden="1"/>
    </xf>
    <xf numFmtId="0" fontId="78" fillId="20" borderId="167" xfId="0" applyFont="1" applyFill="1" applyBorder="1" applyAlignment="1" applyProtection="1">
      <alignment horizontal="left" vertical="center" wrapText="1" indent="1"/>
      <protection hidden="1"/>
    </xf>
    <xf numFmtId="178" fontId="36" fillId="14" borderId="167" xfId="32" applyNumberFormat="1" applyFont="1" applyFill="1" applyBorder="1" applyAlignment="1" applyProtection="1">
      <alignment horizontal="center" vertical="center"/>
      <protection hidden="1"/>
    </xf>
    <xf numFmtId="0" fontId="72" fillId="19" borderId="40" xfId="0" applyFont="1" applyFill="1" applyBorder="1" applyAlignment="1">
      <alignment horizontal="right" vertical="center"/>
    </xf>
    <xf numFmtId="0" fontId="72" fillId="19" borderId="41" xfId="0" applyFont="1" applyFill="1" applyBorder="1" applyAlignment="1">
      <alignment vertical="center"/>
    </xf>
    <xf numFmtId="0" fontId="36" fillId="0" borderId="172" xfId="0" applyFont="1" applyBorder="1" applyAlignment="1">
      <alignment wrapText="1"/>
    </xf>
    <xf numFmtId="0" fontId="36" fillId="0" borderId="173" xfId="0" applyFont="1" applyBorder="1" applyAlignment="1">
      <alignment wrapText="1"/>
    </xf>
    <xf numFmtId="0" fontId="36" fillId="0" borderId="168" xfId="0" applyFont="1" applyBorder="1" applyAlignment="1">
      <alignment wrapText="1"/>
    </xf>
    <xf numFmtId="0" fontId="36" fillId="0" borderId="170" xfId="0" applyFont="1" applyBorder="1" applyAlignment="1">
      <alignment wrapText="1"/>
    </xf>
    <xf numFmtId="173" fontId="36" fillId="0" borderId="171" xfId="0" applyNumberFormat="1" applyFont="1" applyBorder="1" applyAlignment="1">
      <alignment wrapText="1"/>
    </xf>
    <xf numFmtId="0" fontId="36" fillId="0" borderId="171" xfId="0" applyFont="1" applyBorder="1" applyAlignment="1">
      <alignment wrapText="1"/>
    </xf>
    <xf numFmtId="173" fontId="36" fillId="0" borderId="26" xfId="32" applyNumberFormat="1" applyFont="1" applyBorder="1" applyAlignment="1" applyProtection="1">
      <alignment vertical="center"/>
      <protection hidden="1"/>
    </xf>
    <xf numFmtId="166" fontId="36" fillId="0" borderId="26" xfId="32" applyFont="1" applyBorder="1" applyAlignment="1" applyProtection="1">
      <alignment vertical="center"/>
      <protection hidden="1"/>
    </xf>
    <xf numFmtId="166" fontId="36" fillId="0" borderId="26" xfId="32" applyFont="1" applyFill="1" applyBorder="1" applyAlignment="1" applyProtection="1">
      <alignment vertical="center"/>
      <protection hidden="1"/>
    </xf>
    <xf numFmtId="3" fontId="36" fillId="14" borderId="26" xfId="0" applyNumberFormat="1" applyFont="1" applyFill="1" applyBorder="1" applyAlignment="1" applyProtection="1">
      <alignment horizontal="center" vertical="center"/>
      <protection hidden="1"/>
    </xf>
    <xf numFmtId="166" fontId="36" fillId="14" borderId="26" xfId="32" applyFont="1" applyFill="1" applyBorder="1" applyAlignment="1" applyProtection="1">
      <alignment horizontal="center" vertical="center"/>
      <protection hidden="1"/>
    </xf>
    <xf numFmtId="173" fontId="36" fillId="14" borderId="26" xfId="32" applyNumberFormat="1" applyFont="1" applyFill="1" applyBorder="1" applyAlignment="1" applyProtection="1">
      <alignment horizontal="center" vertical="center"/>
      <protection hidden="1"/>
    </xf>
    <xf numFmtId="0" fontId="0" fillId="0" borderId="0" xfId="1" applyFont="1"/>
    <xf numFmtId="0" fontId="76" fillId="0" borderId="0" xfId="1" applyFont="1"/>
    <xf numFmtId="173" fontId="36" fillId="0" borderId="0" xfId="32" applyNumberFormat="1" applyFont="1" applyFill="1"/>
    <xf numFmtId="0" fontId="36" fillId="0" borderId="177" xfId="0" applyFont="1" applyBorder="1" applyAlignment="1">
      <alignment wrapText="1"/>
    </xf>
    <xf numFmtId="166" fontId="36" fillId="0" borderId="0" xfId="21" applyNumberFormat="1" applyFont="1"/>
    <xf numFmtId="175" fontId="8" fillId="0" borderId="154" xfId="30" applyNumberFormat="1" applyFont="1" applyBorder="1" applyAlignment="1" applyProtection="1">
      <alignment horizontal="center" vertical="center"/>
      <protection hidden="1"/>
    </xf>
    <xf numFmtId="175" fontId="8" fillId="0" borderId="155" xfId="30" applyNumberFormat="1" applyFont="1" applyBorder="1" applyAlignment="1" applyProtection="1">
      <alignment horizontal="center" vertical="center"/>
      <protection hidden="1"/>
    </xf>
    <xf numFmtId="175" fontId="8" fillId="0" borderId="178" xfId="30" applyNumberFormat="1" applyFont="1" applyBorder="1" applyAlignment="1" applyProtection="1">
      <alignment horizontal="center" vertical="center"/>
      <protection hidden="1"/>
    </xf>
    <xf numFmtId="0" fontId="73" fillId="0" borderId="0" xfId="21" applyFont="1" applyAlignment="1" applyProtection="1">
      <alignment vertical="center"/>
      <protection hidden="1"/>
    </xf>
    <xf numFmtId="0" fontId="73" fillId="0" borderId="157" xfId="21" applyFont="1" applyBorder="1" applyAlignment="1" applyProtection="1">
      <alignment vertical="center"/>
      <protection hidden="1"/>
    </xf>
    <xf numFmtId="3" fontId="8" fillId="0" borderId="136" xfId="21" applyNumberFormat="1" applyFont="1" applyBorder="1" applyProtection="1">
      <protection hidden="1"/>
    </xf>
    <xf numFmtId="3" fontId="8" fillId="0" borderId="0" xfId="21" applyNumberFormat="1" applyFont="1" applyAlignment="1" applyProtection="1">
      <alignment horizontal="center"/>
      <protection hidden="1"/>
    </xf>
    <xf numFmtId="3" fontId="7" fillId="0" borderId="136" xfId="21" applyNumberFormat="1" applyFont="1" applyBorder="1" applyAlignment="1" applyProtection="1">
      <alignment horizontal="left"/>
      <protection hidden="1"/>
    </xf>
    <xf numFmtId="3" fontId="7" fillId="0" borderId="0" xfId="21" applyNumberFormat="1" applyFont="1" applyAlignment="1" applyProtection="1">
      <alignment horizontal="left" vertical="center"/>
      <protection hidden="1"/>
    </xf>
    <xf numFmtId="3" fontId="7" fillId="0" borderId="136" xfId="21" applyNumberFormat="1" applyFont="1" applyBorder="1" applyAlignment="1" applyProtection="1">
      <alignment vertical="center"/>
      <protection hidden="1"/>
    </xf>
    <xf numFmtId="0" fontId="8" fillId="0" borderId="0" xfId="21" applyFont="1" applyAlignment="1" applyProtection="1">
      <alignment vertical="center" wrapText="1"/>
      <protection hidden="1"/>
    </xf>
    <xf numFmtId="0" fontId="8" fillId="0" borderId="136" xfId="21" applyFont="1" applyBorder="1" applyAlignment="1" applyProtection="1">
      <alignment vertical="center" wrapText="1"/>
      <protection hidden="1"/>
    </xf>
    <xf numFmtId="0" fontId="82" fillId="0" borderId="136" xfId="21" applyFont="1" applyBorder="1" applyAlignment="1" applyProtection="1">
      <alignment horizontal="left"/>
      <protection hidden="1"/>
    </xf>
    <xf numFmtId="0" fontId="8" fillId="0" borderId="0" xfId="21" applyFont="1" applyProtection="1">
      <protection hidden="1"/>
    </xf>
    <xf numFmtId="0" fontId="8" fillId="0" borderId="0" xfId="21" applyFont="1" applyAlignment="1" applyProtection="1">
      <alignment horizontal="left"/>
      <protection hidden="1"/>
    </xf>
    <xf numFmtId="0" fontId="7" fillId="0" borderId="0" xfId="21" applyFont="1" applyAlignment="1" applyProtection="1">
      <alignment horizontal="center"/>
      <protection hidden="1"/>
    </xf>
    <xf numFmtId="0" fontId="8" fillId="0" borderId="136" xfId="21" applyFont="1" applyBorder="1" applyAlignment="1" applyProtection="1">
      <alignment horizontal="left"/>
      <protection hidden="1"/>
    </xf>
    <xf numFmtId="175" fontId="8" fillId="0" borderId="0" xfId="30" applyNumberFormat="1" applyFont="1" applyBorder="1" applyAlignment="1" applyProtection="1">
      <alignment horizontal="center"/>
      <protection hidden="1"/>
    </xf>
    <xf numFmtId="3" fontId="45" fillId="0" borderId="136" xfId="21" applyNumberFormat="1" applyFont="1" applyBorder="1" applyAlignment="1" applyProtection="1">
      <alignment vertical="center"/>
      <protection hidden="1"/>
    </xf>
    <xf numFmtId="3" fontId="52" fillId="0" borderId="21" xfId="21" applyNumberFormat="1" applyFont="1" applyBorder="1" applyProtection="1">
      <protection hidden="1"/>
    </xf>
    <xf numFmtId="0" fontId="81" fillId="0" borderId="160" xfId="0" applyFont="1" applyBorder="1" applyAlignment="1" applyProtection="1">
      <alignment horizontal="center" vertical="center" wrapText="1"/>
      <protection hidden="1"/>
    </xf>
    <xf numFmtId="0" fontId="78" fillId="0" borderId="161" xfId="0" applyFont="1" applyBorder="1" applyAlignment="1" applyProtection="1">
      <alignment horizontal="center" vertical="center" wrapText="1"/>
      <protection hidden="1"/>
    </xf>
    <xf numFmtId="0" fontId="78" fillId="0" borderId="161" xfId="0" applyFont="1" applyBorder="1" applyAlignment="1" applyProtection="1">
      <alignment vertical="center" wrapText="1"/>
      <protection hidden="1"/>
    </xf>
    <xf numFmtId="0" fontId="78" fillId="0" borderId="161" xfId="0" applyFont="1" applyBorder="1" applyAlignment="1" applyProtection="1">
      <alignment horizontal="left" vertical="center" wrapText="1" indent="4"/>
      <protection hidden="1"/>
    </xf>
    <xf numFmtId="0" fontId="78" fillId="0" borderId="162" xfId="0" applyFont="1" applyBorder="1" applyAlignment="1" applyProtection="1">
      <alignment horizontal="left" vertical="center" wrapText="1" indent="4"/>
      <protection hidden="1"/>
    </xf>
    <xf numFmtId="10" fontId="24" fillId="0" borderId="0" xfId="21" applyNumberFormat="1" applyFont="1" applyAlignment="1" applyProtection="1">
      <alignment horizontal="centerContinuous"/>
      <protection hidden="1"/>
    </xf>
    <xf numFmtId="0" fontId="39" fillId="13" borderId="131" xfId="21" applyFont="1" applyFill="1" applyBorder="1" applyAlignment="1" applyProtection="1">
      <alignment horizontal="center" vertical="center"/>
      <protection hidden="1"/>
    </xf>
    <xf numFmtId="0" fontId="39" fillId="13" borderId="108" xfId="21" applyFont="1" applyFill="1" applyBorder="1" applyAlignment="1" applyProtection="1">
      <alignment horizontal="center" vertical="center"/>
      <protection hidden="1"/>
    </xf>
    <xf numFmtId="0" fontId="83" fillId="0" borderId="0" xfId="0" applyFont="1"/>
    <xf numFmtId="0" fontId="7" fillId="0" borderId="0" xfId="1" applyFont="1" applyAlignment="1">
      <alignment horizontal="left" vertical="center" indent="2"/>
    </xf>
    <xf numFmtId="0" fontId="20" fillId="5" borderId="193" xfId="28" applyFont="1" applyFill="1" applyBorder="1" applyAlignment="1">
      <alignment horizontal="left" vertical="center" wrapText="1" indent="2"/>
    </xf>
    <xf numFmtId="0" fontId="61" fillId="0" borderId="0" xfId="27" applyFont="1" applyAlignment="1">
      <alignment horizontal="right" vertical="center"/>
    </xf>
    <xf numFmtId="0" fontId="10" fillId="0" borderId="195" xfId="21" applyBorder="1" applyProtection="1">
      <protection hidden="1"/>
    </xf>
    <xf numFmtId="3" fontId="10" fillId="0" borderId="58" xfId="21" applyNumberFormat="1" applyBorder="1" applyAlignment="1" applyProtection="1">
      <alignment horizontal="center"/>
      <protection hidden="1"/>
    </xf>
    <xf numFmtId="3" fontId="59" fillId="0" borderId="196" xfId="21" applyNumberFormat="1" applyFont="1" applyBorder="1" applyAlignment="1" applyProtection="1">
      <alignment vertical="top"/>
      <protection hidden="1"/>
    </xf>
    <xf numFmtId="0" fontId="36" fillId="20" borderId="168" xfId="0" applyFont="1" applyFill="1" applyBorder="1"/>
    <xf numFmtId="0" fontId="36" fillId="20" borderId="0" xfId="0" applyFont="1" applyFill="1" applyAlignment="1">
      <alignment vertical="center"/>
    </xf>
    <xf numFmtId="0" fontId="36" fillId="20" borderId="0" xfId="0" applyFont="1" applyFill="1"/>
    <xf numFmtId="0" fontId="36" fillId="20" borderId="169" xfId="0" applyFont="1" applyFill="1" applyBorder="1"/>
    <xf numFmtId="0" fontId="36" fillId="20" borderId="174" xfId="0" applyFont="1" applyFill="1" applyBorder="1"/>
    <xf numFmtId="0" fontId="36" fillId="20" borderId="175" xfId="0" applyFont="1" applyFill="1" applyBorder="1"/>
    <xf numFmtId="9" fontId="36" fillId="20" borderId="175" xfId="0" applyNumberFormat="1" applyFont="1" applyFill="1" applyBorder="1"/>
    <xf numFmtId="0" fontId="36" fillId="20" borderId="176" xfId="0" applyFont="1" applyFill="1" applyBorder="1"/>
    <xf numFmtId="0" fontId="36" fillId="20" borderId="0" xfId="0" applyFont="1" applyFill="1" applyProtection="1">
      <protection hidden="1"/>
    </xf>
    <xf numFmtId="179" fontId="16" fillId="20" borderId="0" xfId="0" applyNumberFormat="1" applyFont="1" applyFill="1" applyAlignment="1" applyProtection="1">
      <alignment horizontal="left" vertical="center" indent="2"/>
      <protection hidden="1"/>
    </xf>
    <xf numFmtId="179" fontId="84" fillId="20" borderId="0" xfId="0" applyNumberFormat="1" applyFont="1" applyFill="1" applyAlignment="1" applyProtection="1">
      <alignment horizontal="left" vertical="center" indent="2"/>
      <protection hidden="1"/>
    </xf>
    <xf numFmtId="0" fontId="85" fillId="20" borderId="0" xfId="0" applyFont="1" applyFill="1" applyProtection="1">
      <protection hidden="1"/>
    </xf>
    <xf numFmtId="9" fontId="84" fillId="20" borderId="0" xfId="33" applyFont="1" applyFill="1" applyBorder="1" applyAlignment="1" applyProtection="1">
      <alignment horizontal="left" vertical="center" indent="2"/>
      <protection hidden="1"/>
    </xf>
    <xf numFmtId="3" fontId="16" fillId="20" borderId="0" xfId="0" applyNumberFormat="1" applyFont="1" applyFill="1" applyAlignment="1" applyProtection="1">
      <alignment horizontal="left" vertical="center" indent="2"/>
      <protection hidden="1"/>
    </xf>
    <xf numFmtId="9" fontId="36" fillId="20" borderId="0" xfId="0" applyNumberFormat="1" applyFont="1" applyFill="1" applyProtection="1">
      <protection hidden="1"/>
    </xf>
    <xf numFmtId="3" fontId="36" fillId="20" borderId="0" xfId="0" applyNumberFormat="1" applyFont="1" applyFill="1" applyProtection="1">
      <protection hidden="1"/>
    </xf>
    <xf numFmtId="173" fontId="86" fillId="20" borderId="0" xfId="0" applyNumberFormat="1" applyFont="1" applyFill="1" applyAlignment="1" applyProtection="1">
      <alignment horizontal="center" vertical="center" wrapText="1"/>
      <protection hidden="1"/>
    </xf>
    <xf numFmtId="0" fontId="36" fillId="20" borderId="58" xfId="0" applyFont="1" applyFill="1" applyBorder="1" applyProtection="1">
      <protection hidden="1"/>
    </xf>
    <xf numFmtId="0" fontId="36" fillId="20" borderId="156" xfId="0" applyFont="1" applyFill="1" applyBorder="1"/>
    <xf numFmtId="0" fontId="36" fillId="20" borderId="157" xfId="0" applyFont="1" applyFill="1" applyBorder="1"/>
    <xf numFmtId="173" fontId="36" fillId="20" borderId="0" xfId="32" applyNumberFormat="1" applyFont="1" applyFill="1" applyBorder="1" applyProtection="1">
      <protection hidden="1"/>
    </xf>
    <xf numFmtId="0" fontId="79" fillId="20" borderId="0" xfId="0" applyFont="1" applyFill="1" applyProtection="1">
      <protection hidden="1"/>
    </xf>
    <xf numFmtId="0" fontId="78" fillId="20" borderId="0" xfId="0" applyFont="1" applyFill="1" applyAlignment="1" applyProtection="1">
      <alignment horizontal="left" vertical="center" wrapText="1" indent="1"/>
      <protection hidden="1"/>
    </xf>
    <xf numFmtId="178" fontId="36" fillId="20" borderId="0" xfId="32" applyNumberFormat="1" applyFont="1" applyFill="1" applyBorder="1" applyAlignment="1" applyProtection="1">
      <alignment horizontal="center" vertical="center"/>
      <protection hidden="1"/>
    </xf>
    <xf numFmtId="9" fontId="36" fillId="20" borderId="0" xfId="33" applyFont="1" applyFill="1" applyBorder="1" applyAlignment="1" applyProtection="1">
      <alignment horizontal="center" vertical="center"/>
      <protection hidden="1"/>
    </xf>
    <xf numFmtId="0" fontId="81" fillId="20" borderId="0" xfId="0" applyFont="1" applyFill="1" applyAlignment="1" applyProtection="1">
      <alignment horizontal="left" vertical="center" wrapText="1" indent="1"/>
      <protection hidden="1"/>
    </xf>
    <xf numFmtId="0" fontId="36" fillId="20" borderId="78" xfId="0" applyFont="1" applyFill="1" applyBorder="1"/>
    <xf numFmtId="0" fontId="36" fillId="20" borderId="65" xfId="0" applyFont="1" applyFill="1" applyBorder="1" applyProtection="1">
      <protection hidden="1"/>
    </xf>
    <xf numFmtId="15" fontId="36" fillId="0" borderId="26" xfId="0" applyNumberFormat="1" applyFont="1" applyBorder="1" applyAlignment="1" applyProtection="1">
      <alignment horizontal="left" vertical="center"/>
      <protection hidden="1"/>
    </xf>
    <xf numFmtId="173" fontId="36" fillId="0" borderId="26" xfId="32" applyNumberFormat="1" applyFont="1" applyBorder="1" applyAlignment="1" applyProtection="1">
      <alignment horizontal="left" vertical="center"/>
      <protection hidden="1"/>
    </xf>
    <xf numFmtId="166" fontId="36" fillId="0" borderId="26" xfId="32" applyFont="1" applyBorder="1" applyAlignment="1" applyProtection="1">
      <alignment horizontal="left" vertical="center"/>
      <protection hidden="1"/>
    </xf>
    <xf numFmtId="3" fontId="78" fillId="20" borderId="26" xfId="0" applyNumberFormat="1" applyFont="1" applyFill="1" applyBorder="1" applyAlignment="1" applyProtection="1">
      <alignment horizontal="left" vertical="center" wrapText="1" indent="1"/>
      <protection hidden="1"/>
    </xf>
    <xf numFmtId="0" fontId="87" fillId="0" borderId="0" xfId="1" applyFont="1" applyAlignment="1">
      <alignment horizontal="center"/>
    </xf>
    <xf numFmtId="3" fontId="49" fillId="0" borderId="0" xfId="21" applyNumberFormat="1" applyFont="1" applyAlignment="1" applyProtection="1">
      <alignment vertical="center"/>
      <protection hidden="1"/>
    </xf>
    <xf numFmtId="3" fontId="88" fillId="0" borderId="0" xfId="21" applyNumberFormat="1" applyFont="1" applyAlignment="1" applyProtection="1">
      <alignment vertical="center"/>
      <protection hidden="1"/>
    </xf>
    <xf numFmtId="3" fontId="88" fillId="0" borderId="0" xfId="21" applyNumberFormat="1" applyFont="1" applyAlignment="1" applyProtection="1">
      <alignment horizontal="center" vertical="center"/>
      <protection hidden="1"/>
    </xf>
    <xf numFmtId="3" fontId="39" fillId="0" borderId="144" xfId="21" applyNumberFormat="1" applyFont="1" applyBorder="1" applyAlignment="1" applyProtection="1">
      <alignment horizontal="center"/>
      <protection hidden="1"/>
    </xf>
    <xf numFmtId="0" fontId="36" fillId="0" borderId="0" xfId="1" applyFont="1"/>
    <xf numFmtId="0" fontId="40" fillId="0" borderId="20" xfId="21" applyFont="1" applyBorder="1" applyProtection="1">
      <protection hidden="1"/>
    </xf>
    <xf numFmtId="3" fontId="49" fillId="0" borderId="18" xfId="21" applyNumberFormat="1" applyFont="1" applyBorder="1" applyAlignment="1" applyProtection="1">
      <alignment vertical="center"/>
      <protection hidden="1"/>
    </xf>
    <xf numFmtId="0" fontId="31" fillId="0" borderId="19" xfId="21" applyFont="1" applyBorder="1" applyAlignment="1" applyProtection="1">
      <alignment horizontal="right"/>
      <protection hidden="1"/>
    </xf>
    <xf numFmtId="0" fontId="31" fillId="0" borderId="0" xfId="21" applyFont="1" applyProtection="1">
      <protection hidden="1"/>
    </xf>
    <xf numFmtId="3" fontId="49" fillId="0" borderId="20" xfId="21" applyNumberFormat="1" applyFont="1" applyBorder="1" applyAlignment="1" applyProtection="1">
      <alignment vertical="center"/>
      <protection hidden="1"/>
    </xf>
    <xf numFmtId="0" fontId="31" fillId="0" borderId="21" xfId="21" applyFont="1" applyBorder="1" applyAlignment="1" applyProtection="1">
      <alignment horizontal="right"/>
      <protection hidden="1"/>
    </xf>
    <xf numFmtId="0" fontId="31" fillId="0" borderId="21" xfId="21" applyFont="1" applyBorder="1" applyProtection="1">
      <protection hidden="1"/>
    </xf>
    <xf numFmtId="0" fontId="31" fillId="0" borderId="20" xfId="21" applyFont="1" applyBorder="1" applyProtection="1">
      <protection hidden="1"/>
    </xf>
    <xf numFmtId="0" fontId="92" fillId="0" borderId="33" xfId="21" applyFont="1" applyBorder="1" applyAlignment="1" applyProtection="1">
      <alignment horizontal="center" vertical="center" wrapText="1"/>
      <protection hidden="1"/>
    </xf>
    <xf numFmtId="0" fontId="94" fillId="0" borderId="20" xfId="21" applyFont="1" applyBorder="1" applyAlignment="1" applyProtection="1">
      <alignment vertical="center"/>
      <protection hidden="1"/>
    </xf>
    <xf numFmtId="3" fontId="91" fillId="0" borderId="0" xfId="21" applyNumberFormat="1" applyFont="1" applyAlignment="1" applyProtection="1">
      <alignment horizontal="center"/>
      <protection hidden="1"/>
    </xf>
    <xf numFmtId="3" fontId="91" fillId="0" borderId="0" xfId="21" applyNumberFormat="1" applyFont="1" applyProtection="1">
      <protection hidden="1"/>
    </xf>
    <xf numFmtId="0" fontId="94" fillId="0" borderId="0" xfId="21" applyFont="1" applyAlignment="1" applyProtection="1">
      <alignment vertical="center"/>
      <protection hidden="1"/>
    </xf>
    <xf numFmtId="0" fontId="95" fillId="0" borderId="0" xfId="21" applyFont="1" applyAlignment="1" applyProtection="1">
      <alignment vertical="top"/>
      <protection hidden="1"/>
    </xf>
    <xf numFmtId="0" fontId="95" fillId="0" borderId="106" xfId="21" applyFont="1" applyBorder="1" applyAlignment="1" applyProtection="1">
      <alignment vertical="top"/>
      <protection hidden="1"/>
    </xf>
    <xf numFmtId="0" fontId="31" fillId="0" borderId="0" xfId="21" applyFont="1" applyAlignment="1" applyProtection="1">
      <alignment vertical="top"/>
      <protection hidden="1"/>
    </xf>
    <xf numFmtId="3" fontId="31" fillId="0" borderId="26" xfId="21" applyNumberFormat="1" applyFont="1" applyBorder="1" applyAlignment="1" applyProtection="1">
      <alignment vertical="center"/>
      <protection hidden="1"/>
    </xf>
    <xf numFmtId="0" fontId="31" fillId="0" borderId="26" xfId="21" applyFont="1" applyBorder="1" applyAlignment="1" applyProtection="1">
      <alignment horizontal="left" vertical="center"/>
      <protection hidden="1"/>
    </xf>
    <xf numFmtId="0" fontId="92" fillId="0" borderId="0" xfId="21" applyFont="1" applyAlignment="1" applyProtection="1">
      <alignment horizontal="center" vertical="center" wrapText="1"/>
      <protection hidden="1"/>
    </xf>
    <xf numFmtId="171" fontId="97" fillId="0" borderId="0" xfId="21" applyNumberFormat="1" applyFont="1" applyAlignment="1" applyProtection="1">
      <alignment horizontal="left" vertical="center"/>
      <protection locked="0"/>
    </xf>
    <xf numFmtId="0" fontId="93" fillId="0" borderId="20" xfId="21" applyFont="1" applyBorder="1" applyAlignment="1" applyProtection="1">
      <alignment vertical="top" wrapText="1"/>
      <protection hidden="1"/>
    </xf>
    <xf numFmtId="3" fontId="91" fillId="0" borderId="0" xfId="21" applyNumberFormat="1" applyFont="1" applyAlignment="1" applyProtection="1">
      <alignment horizontal="left" vertical="center"/>
      <protection hidden="1"/>
    </xf>
    <xf numFmtId="3" fontId="91" fillId="0" borderId="0" xfId="21" applyNumberFormat="1" applyFont="1" applyAlignment="1" applyProtection="1">
      <alignment vertical="center"/>
      <protection hidden="1"/>
    </xf>
    <xf numFmtId="0" fontId="31" fillId="0" borderId="0" xfId="21" applyFont="1" applyProtection="1">
      <protection locked="0"/>
    </xf>
    <xf numFmtId="3" fontId="31" fillId="0" borderId="0" xfId="21" applyNumberFormat="1" applyFont="1" applyAlignment="1" applyProtection="1">
      <alignment horizontal="left"/>
      <protection hidden="1"/>
    </xf>
    <xf numFmtId="0" fontId="99" fillId="0" borderId="106" xfId="21" applyFont="1" applyBorder="1" applyAlignment="1" applyProtection="1">
      <alignment horizontal="left" vertical="center"/>
      <protection hidden="1"/>
    </xf>
    <xf numFmtId="0" fontId="89" fillId="0" borderId="36" xfId="21" applyFont="1" applyBorder="1" applyProtection="1">
      <protection hidden="1"/>
    </xf>
    <xf numFmtId="0" fontId="31" fillId="0" borderId="37" xfId="21" applyFont="1" applyBorder="1" applyProtection="1">
      <protection hidden="1"/>
    </xf>
    <xf numFmtId="0" fontId="31" fillId="0" borderId="38" xfId="21" applyFont="1" applyBorder="1" applyProtection="1">
      <protection hidden="1"/>
    </xf>
    <xf numFmtId="0" fontId="49" fillId="0" borderId="0" xfId="21" applyFont="1" applyProtection="1">
      <protection hidden="1"/>
    </xf>
    <xf numFmtId="0" fontId="100" fillId="0" borderId="0" xfId="21" applyFont="1" applyProtection="1">
      <protection hidden="1"/>
    </xf>
    <xf numFmtId="0" fontId="101" fillId="0" borderId="0" xfId="21" applyFont="1" applyProtection="1">
      <protection hidden="1"/>
    </xf>
    <xf numFmtId="3" fontId="103" fillId="0" borderId="0" xfId="21" applyNumberFormat="1" applyFont="1" applyAlignment="1" applyProtection="1">
      <alignment horizontal="right"/>
      <protection hidden="1"/>
    </xf>
    <xf numFmtId="3" fontId="90" fillId="0" borderId="0" xfId="2" applyNumberFormat="1" applyFont="1" applyAlignment="1" applyProtection="1">
      <alignment horizontal="left"/>
      <protection hidden="1"/>
    </xf>
    <xf numFmtId="0" fontId="90" fillId="0" borderId="0" xfId="2" applyFont="1" applyBorder="1" applyAlignment="1" applyProtection="1">
      <alignment horizontal="center"/>
      <protection hidden="1"/>
    </xf>
    <xf numFmtId="0" fontId="98" fillId="0" borderId="0" xfId="21" applyFont="1" applyAlignment="1" applyProtection="1">
      <alignment vertical="top"/>
      <protection hidden="1"/>
    </xf>
    <xf numFmtId="0" fontId="36" fillId="0" borderId="72" xfId="21" applyFont="1" applyBorder="1" applyAlignment="1">
      <alignment horizontal="center"/>
    </xf>
    <xf numFmtId="0" fontId="36" fillId="0" borderId="72" xfId="21" applyFont="1" applyBorder="1" applyAlignment="1">
      <alignment horizontal="left" vertical="center"/>
    </xf>
    <xf numFmtId="0" fontId="7" fillId="0" borderId="18" xfId="1" applyFont="1" applyBorder="1" applyAlignment="1">
      <alignment vertical="center"/>
    </xf>
    <xf numFmtId="0" fontId="7" fillId="0" borderId="19" xfId="1" applyFont="1" applyBorder="1" applyAlignment="1">
      <alignment vertical="center"/>
    </xf>
    <xf numFmtId="37" fontId="39" fillId="26" borderId="52" xfId="4" applyNumberFormat="1" applyFont="1" applyFill="1" applyBorder="1" applyAlignment="1" applyProtection="1">
      <alignment horizontal="right"/>
      <protection locked="0"/>
    </xf>
    <xf numFmtId="0" fontId="0" fillId="0" borderId="0" xfId="0" applyProtection="1">
      <protection locked="0"/>
    </xf>
    <xf numFmtId="176" fontId="30" fillId="0" borderId="158" xfId="21" applyNumberFormat="1" applyFont="1" applyBorder="1" applyAlignment="1" applyProtection="1">
      <alignment horizontal="center" vertical="center"/>
      <protection hidden="1"/>
    </xf>
    <xf numFmtId="0" fontId="61" fillId="0" borderId="213" xfId="27" applyFont="1" applyBorder="1"/>
    <xf numFmtId="176" fontId="30" fillId="0" borderId="56" xfId="21" applyNumberFormat="1" applyFont="1" applyBorder="1" applyAlignment="1" applyProtection="1">
      <alignment vertical="center"/>
      <protection hidden="1"/>
    </xf>
    <xf numFmtId="176" fontId="39" fillId="0" borderId="129" xfId="21" applyNumberFormat="1" applyFont="1" applyBorder="1" applyAlignment="1" applyProtection="1">
      <alignment vertical="center"/>
      <protection hidden="1"/>
    </xf>
    <xf numFmtId="0" fontId="5" fillId="12" borderId="79" xfId="2" applyFill="1" applyBorder="1" applyAlignment="1" applyProtection="1">
      <alignment vertical="center" wrapText="1"/>
      <protection locked="0"/>
    </xf>
    <xf numFmtId="176" fontId="39" fillId="0" borderId="217" xfId="21" applyNumberFormat="1" applyFont="1" applyBorder="1" applyAlignment="1" applyProtection="1">
      <alignment vertical="center"/>
      <protection hidden="1"/>
    </xf>
    <xf numFmtId="3" fontId="39" fillId="12" borderId="218" xfId="21" applyNumberFormat="1" applyFont="1" applyFill="1" applyBorder="1" applyAlignment="1" applyProtection="1">
      <alignment vertical="center" wrapText="1"/>
      <protection hidden="1"/>
    </xf>
    <xf numFmtId="176" fontId="30" fillId="0" borderId="219" xfId="21" applyNumberFormat="1" applyFont="1" applyBorder="1" applyAlignment="1" applyProtection="1">
      <alignment vertical="center"/>
      <protection hidden="1"/>
    </xf>
    <xf numFmtId="173" fontId="38" fillId="0" borderId="0" xfId="32" applyNumberFormat="1" applyFont="1"/>
    <xf numFmtId="9" fontId="40" fillId="0" borderId="75" xfId="21" applyNumberFormat="1" applyFont="1" applyBorder="1" applyAlignment="1" applyProtection="1">
      <alignment horizontal="center" vertical="center"/>
      <protection hidden="1"/>
    </xf>
    <xf numFmtId="171" fontId="1" fillId="27" borderId="13" xfId="28" applyNumberFormat="1" applyFill="1" applyBorder="1" applyAlignment="1" applyProtection="1">
      <alignment horizontal="left" vertical="center"/>
      <protection locked="0"/>
    </xf>
    <xf numFmtId="0" fontId="0" fillId="27" borderId="13" xfId="28" applyFont="1" applyFill="1" applyBorder="1" applyAlignment="1" applyProtection="1">
      <alignment horizontal="left" vertical="center"/>
      <protection locked="0"/>
    </xf>
    <xf numFmtId="0" fontId="1" fillId="27" borderId="13" xfId="28" applyFill="1" applyBorder="1" applyAlignment="1" applyProtection="1">
      <alignment horizontal="left" vertical="center"/>
      <protection locked="0"/>
    </xf>
    <xf numFmtId="3" fontId="1" fillId="27" borderId="15" xfId="32" applyNumberFormat="1" applyFont="1" applyFill="1" applyBorder="1" applyAlignment="1" applyProtection="1">
      <alignment horizontal="left" vertical="center"/>
      <protection locked="0"/>
    </xf>
    <xf numFmtId="0" fontId="1" fillId="28" borderId="13" xfId="28" applyFill="1" applyBorder="1" applyAlignment="1" applyProtection="1">
      <alignment horizontal="left" vertical="center"/>
      <protection locked="0"/>
    </xf>
    <xf numFmtId="0" fontId="1" fillId="28" borderId="42" xfId="28" applyFill="1" applyBorder="1" applyAlignment="1" applyProtection="1">
      <alignment horizontal="left"/>
      <protection locked="0"/>
    </xf>
    <xf numFmtId="0" fontId="1" fillId="28" borderId="194" xfId="28" applyFill="1" applyBorder="1" applyAlignment="1" applyProtection="1">
      <alignment horizontal="left" vertical="center" indent="2"/>
      <protection locked="0"/>
    </xf>
    <xf numFmtId="171" fontId="31" fillId="29" borderId="28" xfId="21" applyNumberFormat="1" applyFont="1" applyFill="1" applyBorder="1" applyAlignment="1" applyProtection="1">
      <alignment horizontal="center" vertical="center"/>
      <protection locked="0"/>
    </xf>
    <xf numFmtId="0" fontId="0" fillId="29" borderId="42" xfId="0" applyFill="1" applyBorder="1" applyProtection="1">
      <protection locked="0"/>
    </xf>
    <xf numFmtId="171" fontId="31" fillId="29" borderId="27" xfId="21" applyNumberFormat="1" applyFont="1" applyFill="1" applyBorder="1" applyAlignment="1" applyProtection="1">
      <alignment horizontal="center" vertical="center"/>
      <protection locked="0"/>
    </xf>
    <xf numFmtId="0" fontId="31" fillId="29" borderId="26" xfId="21" applyFont="1" applyFill="1" applyBorder="1" applyProtection="1">
      <protection hidden="1"/>
    </xf>
    <xf numFmtId="3" fontId="31" fillId="28" borderId="26" xfId="21" applyNumberFormat="1" applyFont="1" applyFill="1" applyBorder="1" applyAlignment="1" applyProtection="1">
      <alignment horizontal="center" vertical="center"/>
      <protection locked="0"/>
    </xf>
    <xf numFmtId="3" fontId="96" fillId="28" borderId="103" xfId="21" applyNumberFormat="1" applyFont="1" applyFill="1" applyBorder="1" applyAlignment="1" applyProtection="1">
      <alignment horizontal="left" vertical="center" wrapText="1"/>
      <protection locked="0"/>
    </xf>
    <xf numFmtId="0" fontId="92" fillId="28" borderId="22" xfId="21" applyFont="1" applyFill="1" applyBorder="1" applyAlignment="1" applyProtection="1">
      <alignment horizontal="center" vertical="center" wrapText="1"/>
      <protection hidden="1"/>
    </xf>
    <xf numFmtId="0" fontId="31" fillId="28" borderId="26" xfId="21" applyFont="1" applyFill="1" applyBorder="1" applyAlignment="1" applyProtection="1">
      <alignment vertical="top"/>
      <protection locked="0"/>
    </xf>
    <xf numFmtId="0" fontId="31" fillId="28" borderId="26" xfId="21" applyFont="1" applyFill="1" applyBorder="1" applyProtection="1">
      <protection hidden="1"/>
    </xf>
    <xf numFmtId="3" fontId="30" fillId="28" borderId="52" xfId="21" applyNumberFormat="1" applyFont="1" applyFill="1" applyBorder="1" applyAlignment="1" applyProtection="1">
      <alignment horizontal="left" indent="1"/>
      <protection locked="0"/>
    </xf>
    <xf numFmtId="0" fontId="30" fillId="28" borderId="52" xfId="21" applyFont="1" applyFill="1" applyBorder="1" applyAlignment="1" applyProtection="1">
      <alignment horizontal="center"/>
      <protection locked="0"/>
    </xf>
    <xf numFmtId="3" fontId="30" fillId="28" borderId="210" xfId="21" applyNumberFormat="1" applyFont="1" applyFill="1" applyBorder="1" applyAlignment="1" applyProtection="1">
      <alignment horizontal="left" indent="1"/>
      <protection locked="0"/>
    </xf>
    <xf numFmtId="3" fontId="31" fillId="30" borderId="102" xfId="21" applyNumberFormat="1" applyFont="1" applyFill="1" applyBorder="1" applyAlignment="1" applyProtection="1">
      <alignment vertical="center"/>
      <protection hidden="1"/>
    </xf>
    <xf numFmtId="3" fontId="31" fillId="30" borderId="102" xfId="21" applyNumberFormat="1" applyFont="1" applyFill="1" applyBorder="1" applyAlignment="1" applyProtection="1">
      <alignment horizontal="left" vertical="center"/>
      <protection hidden="1"/>
    </xf>
    <xf numFmtId="0" fontId="31" fillId="30" borderId="102" xfId="21" applyFont="1" applyFill="1" applyBorder="1" applyAlignment="1" applyProtection="1">
      <alignment vertical="center"/>
      <protection hidden="1"/>
    </xf>
    <xf numFmtId="0" fontId="93" fillId="30" borderId="20" xfId="21" applyFont="1" applyFill="1" applyBorder="1" applyAlignment="1" applyProtection="1">
      <alignment horizontal="left" vertical="center" wrapText="1"/>
      <protection hidden="1"/>
    </xf>
    <xf numFmtId="0" fontId="31" fillId="30" borderId="102" xfId="21" applyFont="1" applyFill="1" applyBorder="1" applyAlignment="1" applyProtection="1">
      <alignment vertical="top"/>
      <protection hidden="1"/>
    </xf>
    <xf numFmtId="0" fontId="31" fillId="30" borderId="102" xfId="21" applyFont="1" applyFill="1" applyBorder="1" applyAlignment="1" applyProtection="1">
      <alignment vertical="top" wrapText="1"/>
      <protection hidden="1"/>
    </xf>
    <xf numFmtId="0" fontId="31" fillId="30" borderId="25" xfId="21" applyFont="1" applyFill="1" applyBorder="1" applyAlignment="1" applyProtection="1">
      <alignment horizontal="left" vertical="center"/>
      <protection hidden="1"/>
    </xf>
    <xf numFmtId="3" fontId="31" fillId="30" borderId="211" xfId="21" applyNumberFormat="1" applyFont="1" applyFill="1" applyBorder="1" applyAlignment="1" applyProtection="1">
      <alignment horizontal="left" vertical="center"/>
      <protection hidden="1"/>
    </xf>
    <xf numFmtId="176" fontId="30" fillId="29" borderId="56" xfId="21" applyNumberFormat="1" applyFont="1" applyFill="1" applyBorder="1" applyAlignment="1" applyProtection="1">
      <alignment vertical="center"/>
      <protection locked="0" hidden="1"/>
    </xf>
    <xf numFmtId="0" fontId="30" fillId="31" borderId="0" xfId="21" applyFont="1" applyFill="1" applyProtection="1">
      <protection hidden="1"/>
    </xf>
    <xf numFmtId="0" fontId="30" fillId="31" borderId="77" xfId="21" applyFont="1" applyFill="1" applyBorder="1" applyProtection="1">
      <protection hidden="1"/>
    </xf>
    <xf numFmtId="0" fontId="30" fillId="28" borderId="0" xfId="21" applyFont="1" applyFill="1" applyProtection="1">
      <protection hidden="1"/>
    </xf>
    <xf numFmtId="0" fontId="30" fillId="28" borderId="212" xfId="21" applyFont="1" applyFill="1" applyBorder="1" applyAlignment="1" applyProtection="1">
      <alignment horizontal="left" indent="1"/>
      <protection locked="0"/>
    </xf>
    <xf numFmtId="0" fontId="30" fillId="28" borderId="109" xfId="21" applyFont="1" applyFill="1" applyBorder="1" applyAlignment="1" applyProtection="1">
      <alignment horizontal="left" indent="1"/>
      <protection locked="0"/>
    </xf>
    <xf numFmtId="0" fontId="30" fillId="28" borderId="210" xfId="21" applyFont="1" applyFill="1" applyBorder="1" applyAlignment="1" applyProtection="1">
      <alignment horizontal="left" indent="1"/>
      <protection locked="0"/>
    </xf>
    <xf numFmtId="3" fontId="30" fillId="28" borderId="81" xfId="21" applyNumberFormat="1" applyFont="1" applyFill="1" applyBorder="1" applyAlignment="1" applyProtection="1">
      <alignment horizontal="left"/>
      <protection locked="0"/>
    </xf>
    <xf numFmtId="3" fontId="30" fillId="28" borderId="77" xfId="21" applyNumberFormat="1" applyFont="1" applyFill="1" applyBorder="1" applyAlignment="1" applyProtection="1">
      <alignment horizontal="center"/>
      <protection hidden="1"/>
    </xf>
    <xf numFmtId="0" fontId="62" fillId="28" borderId="42" xfId="27" applyFont="1" applyFill="1" applyBorder="1" applyAlignment="1" applyProtection="1">
      <alignment vertical="center"/>
      <protection locked="0"/>
    </xf>
    <xf numFmtId="0" fontId="23" fillId="28" borderId="26" xfId="21" applyFont="1" applyFill="1" applyBorder="1" applyProtection="1">
      <protection hidden="1"/>
    </xf>
    <xf numFmtId="171" fontId="10" fillId="29" borderId="99" xfId="21" applyNumberFormat="1" applyFill="1" applyBorder="1" applyAlignment="1" applyProtection="1">
      <alignment vertical="center"/>
      <protection locked="0"/>
    </xf>
    <xf numFmtId="3" fontId="10" fillId="29" borderId="99" xfId="21" applyNumberFormat="1" applyFill="1" applyBorder="1" applyAlignment="1" applyProtection="1">
      <alignment vertical="center"/>
      <protection locked="0"/>
    </xf>
    <xf numFmtId="0" fontId="10" fillId="29" borderId="0" xfId="21" applyFill="1" applyProtection="1">
      <protection hidden="1"/>
    </xf>
    <xf numFmtId="0" fontId="10" fillId="28" borderId="0" xfId="21" applyFill="1" applyProtection="1">
      <protection hidden="1"/>
    </xf>
    <xf numFmtId="3" fontId="62" fillId="29" borderId="42" xfId="27" applyNumberFormat="1" applyFont="1" applyFill="1" applyBorder="1" applyAlignment="1" applyProtection="1">
      <alignment vertical="center"/>
      <protection locked="0"/>
    </xf>
    <xf numFmtId="49" fontId="62" fillId="29" borderId="42" xfId="27" applyNumberFormat="1" applyFont="1" applyFill="1" applyBorder="1" applyAlignment="1" applyProtection="1">
      <alignment vertical="center"/>
      <protection locked="0"/>
    </xf>
    <xf numFmtId="173" fontId="61" fillId="29" borderId="42" xfId="4" applyNumberFormat="1" applyFont="1" applyFill="1" applyBorder="1" applyProtection="1">
      <protection locked="0"/>
    </xf>
    <xf numFmtId="173" fontId="62" fillId="29" borderId="42" xfId="4" applyNumberFormat="1" applyFont="1" applyFill="1" applyBorder="1" applyAlignment="1" applyProtection="1">
      <alignment horizontal="center" vertical="center"/>
    </xf>
    <xf numFmtId="0" fontId="62" fillId="29" borderId="42" xfId="27" applyFont="1" applyFill="1" applyBorder="1" applyAlignment="1" applyProtection="1">
      <alignment vertical="center"/>
      <protection locked="0"/>
    </xf>
    <xf numFmtId="49" fontId="62" fillId="29" borderId="42" xfId="27" applyNumberFormat="1" applyFont="1" applyFill="1" applyBorder="1" applyAlignment="1" applyProtection="1">
      <alignment horizontal="center" vertical="center"/>
      <protection locked="0"/>
    </xf>
    <xf numFmtId="0" fontId="61" fillId="29" borderId="42" xfId="27" applyFont="1" applyFill="1" applyBorder="1" applyProtection="1">
      <protection locked="0"/>
    </xf>
    <xf numFmtId="49" fontId="62" fillId="29" borderId="11" xfId="27" applyNumberFormat="1" applyFont="1" applyFill="1" applyBorder="1" applyAlignment="1" applyProtection="1">
      <alignment horizontal="center" vertical="center"/>
      <protection locked="0"/>
    </xf>
    <xf numFmtId="49" fontId="62" fillId="29" borderId="10" xfId="27" applyNumberFormat="1" applyFont="1" applyFill="1" applyBorder="1" applyAlignment="1" applyProtection="1">
      <alignment horizontal="center" vertical="center"/>
      <protection locked="0"/>
    </xf>
    <xf numFmtId="0" fontId="23" fillId="29" borderId="131" xfId="21" applyFont="1" applyFill="1" applyBorder="1" applyProtection="1">
      <protection hidden="1"/>
    </xf>
    <xf numFmtId="0" fontId="39" fillId="13" borderId="22" xfId="0" applyFont="1" applyFill="1" applyBorder="1" applyAlignment="1" applyProtection="1">
      <alignment horizontal="center" vertical="center" wrapText="1"/>
      <protection hidden="1"/>
    </xf>
    <xf numFmtId="0" fontId="39" fillId="13" borderId="105" xfId="0" applyFont="1" applyFill="1" applyBorder="1" applyAlignment="1" applyProtection="1">
      <alignment horizontal="center" vertical="center" wrapText="1"/>
      <protection hidden="1"/>
    </xf>
    <xf numFmtId="176" fontId="55" fillId="14" borderId="26" xfId="0" applyNumberFormat="1" applyFont="1" applyFill="1" applyBorder="1" applyAlignment="1" applyProtection="1">
      <alignment vertical="center" wrapText="1"/>
      <protection hidden="1"/>
    </xf>
    <xf numFmtId="3" fontId="55" fillId="14" borderId="24" xfId="0" applyNumberFormat="1" applyFont="1" applyFill="1" applyBorder="1" applyAlignment="1" applyProtection="1">
      <alignment vertical="center" wrapText="1"/>
      <protection hidden="1"/>
    </xf>
    <xf numFmtId="3" fontId="55" fillId="14" borderId="22" xfId="0" applyNumberFormat="1" applyFont="1" applyFill="1" applyBorder="1" applyAlignment="1" applyProtection="1">
      <alignment vertical="center" wrapText="1"/>
      <protection hidden="1"/>
    </xf>
    <xf numFmtId="173" fontId="30" fillId="29" borderId="51" xfId="32" applyNumberFormat="1" applyFont="1" applyFill="1" applyBorder="1" applyAlignment="1" applyProtection="1">
      <alignment horizontal="center"/>
      <protection locked="0"/>
    </xf>
    <xf numFmtId="173" fontId="30" fillId="29" borderId="125" xfId="32" applyNumberFormat="1" applyFont="1" applyFill="1" applyBorder="1" applyAlignment="1" applyProtection="1">
      <alignment horizontal="center"/>
      <protection locked="0"/>
    </xf>
    <xf numFmtId="173" fontId="40" fillId="0" borderId="141" xfId="32" applyNumberFormat="1" applyFont="1" applyFill="1" applyBorder="1" applyAlignment="1" applyProtection="1">
      <alignment horizontal="center"/>
      <protection hidden="1"/>
    </xf>
    <xf numFmtId="173" fontId="30" fillId="29" borderId="49" xfId="32" applyNumberFormat="1" applyFont="1" applyFill="1" applyBorder="1" applyAlignment="1" applyProtection="1">
      <alignment horizontal="center"/>
      <protection locked="0"/>
    </xf>
    <xf numFmtId="173" fontId="30" fillId="29" borderId="51" xfId="32" applyNumberFormat="1" applyFont="1" applyFill="1" applyBorder="1" applyAlignment="1" applyProtection="1">
      <alignment horizontal="center" vertical="center"/>
      <protection locked="0"/>
    </xf>
    <xf numFmtId="173" fontId="30" fillId="29" borderId="55" xfId="32" applyNumberFormat="1" applyFont="1" applyFill="1" applyBorder="1" applyAlignment="1" applyProtection="1">
      <alignment horizontal="center"/>
      <protection locked="0"/>
    </xf>
    <xf numFmtId="173" fontId="30" fillId="29" borderId="53" xfId="32" applyNumberFormat="1" applyFont="1" applyFill="1" applyBorder="1" applyAlignment="1" applyProtection="1">
      <alignment horizontal="center"/>
      <protection locked="0"/>
    </xf>
    <xf numFmtId="173" fontId="30" fillId="29" borderId="126" xfId="32" applyNumberFormat="1" applyFont="1" applyFill="1" applyBorder="1" applyAlignment="1" applyProtection="1">
      <alignment horizontal="center"/>
      <protection locked="0"/>
    </xf>
    <xf numFmtId="173" fontId="40" fillId="0" borderId="142" xfId="32" applyNumberFormat="1" applyFont="1" applyBorder="1" applyAlignment="1" applyProtection="1">
      <alignment horizontal="center"/>
      <protection hidden="1"/>
    </xf>
    <xf numFmtId="173" fontId="39" fillId="0" borderId="119" xfId="32" applyNumberFormat="1" applyFont="1" applyBorder="1" applyAlignment="1" applyProtection="1">
      <alignment horizontal="center" vertical="center"/>
      <protection hidden="1"/>
    </xf>
    <xf numFmtId="173" fontId="39" fillId="0" borderId="120" xfId="32" applyNumberFormat="1" applyFont="1" applyBorder="1" applyAlignment="1" applyProtection="1">
      <alignment horizontal="center" vertical="center"/>
      <protection hidden="1"/>
    </xf>
    <xf numFmtId="173" fontId="39" fillId="0" borderId="127" xfId="32" applyNumberFormat="1" applyFont="1" applyBorder="1" applyAlignment="1" applyProtection="1">
      <alignment horizontal="center" vertical="center"/>
      <protection hidden="1"/>
    </xf>
    <xf numFmtId="173" fontId="39" fillId="0" borderId="143" xfId="32" applyNumberFormat="1" applyFont="1" applyBorder="1" applyAlignment="1" applyProtection="1">
      <alignment horizontal="center" vertical="center"/>
      <protection hidden="1"/>
    </xf>
    <xf numFmtId="173" fontId="30" fillId="29" borderId="50" xfId="32" applyNumberFormat="1" applyFont="1" applyFill="1" applyBorder="1" applyAlignment="1" applyProtection="1">
      <alignment horizontal="center"/>
      <protection locked="0"/>
    </xf>
    <xf numFmtId="173" fontId="40" fillId="0" borderId="141" xfId="32" applyNumberFormat="1" applyFont="1" applyBorder="1" applyAlignment="1" applyProtection="1">
      <alignment horizontal="center"/>
      <protection hidden="1"/>
    </xf>
    <xf numFmtId="173" fontId="30" fillId="31" borderId="153" xfId="32" applyNumberFormat="1" applyFont="1" applyFill="1" applyBorder="1" applyAlignment="1" applyProtection="1">
      <alignment vertical="center"/>
      <protection locked="0"/>
    </xf>
    <xf numFmtId="173" fontId="30" fillId="31" borderId="67" xfId="32" applyNumberFormat="1" applyFont="1" applyFill="1" applyBorder="1" applyAlignment="1" applyProtection="1">
      <alignment vertical="center"/>
      <protection locked="0"/>
    </xf>
    <xf numFmtId="1" fontId="24" fillId="0" borderId="137" xfId="21" applyNumberFormat="1" applyFont="1" applyBorder="1" applyProtection="1">
      <protection hidden="1"/>
    </xf>
    <xf numFmtId="0" fontId="90" fillId="0" borderId="0" xfId="2" applyFont="1" applyFill="1" applyBorder="1" applyAlignment="1" applyProtection="1">
      <protection locked="0" hidden="1"/>
    </xf>
    <xf numFmtId="3" fontId="36" fillId="0" borderId="0" xfId="21" applyNumberFormat="1" applyFont="1"/>
    <xf numFmtId="175" fontId="8" fillId="0" borderId="0" xfId="30" applyNumberFormat="1" applyFont="1" applyBorder="1" applyAlignment="1" applyProtection="1">
      <alignment horizontal="center" vertical="center"/>
      <protection hidden="1"/>
    </xf>
    <xf numFmtId="9" fontId="8" fillId="20" borderId="0" xfId="33" applyFont="1" applyFill="1" applyBorder="1" applyAlignment="1" applyProtection="1">
      <alignment horizontal="center" vertical="center"/>
      <protection hidden="1"/>
    </xf>
    <xf numFmtId="0" fontId="30" fillId="0" borderId="0" xfId="21" applyFont="1" applyAlignment="1" applyProtection="1">
      <alignment horizontal="center" vertical="center"/>
      <protection hidden="1"/>
    </xf>
    <xf numFmtId="3" fontId="39" fillId="0" borderId="0" xfId="21" applyNumberFormat="1" applyFont="1" applyAlignment="1" applyProtection="1">
      <alignment horizontal="center" vertical="center"/>
      <protection hidden="1"/>
    </xf>
    <xf numFmtId="37" fontId="30" fillId="0" borderId="0" xfId="32" applyNumberFormat="1" applyFont="1" applyBorder="1" applyAlignment="1" applyProtection="1">
      <alignment horizontal="center" vertical="center"/>
      <protection hidden="1"/>
    </xf>
    <xf numFmtId="9" fontId="30" fillId="0" borderId="0" xfId="30" applyFont="1" applyBorder="1" applyAlignment="1" applyProtection="1">
      <alignment horizontal="center" vertical="center"/>
      <protection hidden="1"/>
    </xf>
    <xf numFmtId="4" fontId="36" fillId="0" borderId="0" xfId="21" applyNumberFormat="1" applyFont="1"/>
    <xf numFmtId="173" fontId="30" fillId="29" borderId="49" xfId="32" applyNumberFormat="1" applyFont="1" applyFill="1" applyBorder="1" applyAlignment="1" applyProtection="1">
      <alignment horizontal="center" vertical="center"/>
      <protection locked="0"/>
    </xf>
    <xf numFmtId="175" fontId="8" fillId="0" borderId="227" xfId="30" applyNumberFormat="1" applyFont="1" applyBorder="1" applyAlignment="1" applyProtection="1">
      <alignment horizontal="center" vertical="center"/>
      <protection hidden="1"/>
    </xf>
    <xf numFmtId="0" fontId="39" fillId="13" borderId="0" xfId="0" applyFont="1" applyFill="1" applyAlignment="1" applyProtection="1">
      <alignment horizontal="center" vertical="center" wrapText="1"/>
      <protection hidden="1"/>
    </xf>
    <xf numFmtId="9" fontId="39" fillId="14" borderId="0" xfId="33" applyFont="1" applyFill="1" applyBorder="1" applyAlignment="1" applyProtection="1">
      <alignment horizontal="center" vertical="center" wrapText="1"/>
      <protection hidden="1"/>
    </xf>
    <xf numFmtId="3" fontId="30" fillId="0" borderId="229" xfId="21" applyNumberFormat="1" applyFont="1" applyBorder="1" applyAlignment="1" applyProtection="1">
      <alignment vertical="center"/>
      <protection hidden="1"/>
    </xf>
    <xf numFmtId="3" fontId="39" fillId="0" borderId="230" xfId="21" applyNumberFormat="1" applyFont="1" applyBorder="1" applyProtection="1">
      <protection hidden="1"/>
    </xf>
    <xf numFmtId="173" fontId="30" fillId="29" borderId="233" xfId="32" applyNumberFormat="1" applyFont="1" applyFill="1" applyBorder="1" applyAlignment="1" applyProtection="1">
      <alignment horizontal="center"/>
      <protection locked="0"/>
    </xf>
    <xf numFmtId="173" fontId="40" fillId="0" borderId="234" xfId="32" applyNumberFormat="1" applyFont="1" applyFill="1" applyBorder="1" applyAlignment="1" applyProtection="1">
      <alignment horizontal="center"/>
      <protection hidden="1"/>
    </xf>
    <xf numFmtId="3" fontId="39" fillId="12" borderId="235" xfId="21" applyNumberFormat="1" applyFont="1" applyFill="1" applyBorder="1" applyAlignment="1" applyProtection="1">
      <alignment vertical="center" wrapText="1"/>
      <protection hidden="1"/>
    </xf>
    <xf numFmtId="3" fontId="39" fillId="0" borderId="213" xfId="21" applyNumberFormat="1" applyFont="1" applyBorder="1" applyAlignment="1" applyProtection="1">
      <alignment horizontal="centerContinuous" vertical="center"/>
      <protection hidden="1"/>
    </xf>
    <xf numFmtId="3" fontId="30" fillId="0" borderId="213" xfId="21" applyNumberFormat="1" applyFont="1" applyBorder="1" applyAlignment="1" applyProtection="1">
      <alignment horizontal="right" vertical="center"/>
      <protection hidden="1"/>
    </xf>
    <xf numFmtId="3" fontId="30" fillId="0" borderId="237" xfId="21" applyNumberFormat="1" applyFont="1" applyBorder="1" applyAlignment="1" applyProtection="1">
      <alignment vertical="center"/>
      <protection hidden="1"/>
    </xf>
    <xf numFmtId="3" fontId="39" fillId="0" borderId="238" xfId="21" applyNumberFormat="1" applyFont="1" applyBorder="1" applyProtection="1">
      <protection hidden="1"/>
    </xf>
    <xf numFmtId="0" fontId="10" fillId="0" borderId="213" xfId="21" applyBorder="1" applyProtection="1">
      <protection hidden="1"/>
    </xf>
    <xf numFmtId="0" fontId="10" fillId="0" borderId="213" xfId="21" applyBorder="1" applyAlignment="1" applyProtection="1">
      <alignment horizontal="right"/>
      <protection hidden="1"/>
    </xf>
    <xf numFmtId="3" fontId="10" fillId="0" borderId="243" xfId="21" applyNumberFormat="1" applyBorder="1" applyAlignment="1" applyProtection="1">
      <alignment vertical="center"/>
      <protection hidden="1"/>
    </xf>
    <xf numFmtId="0" fontId="10" fillId="0" borderId="244" xfId="21" applyBorder="1" applyProtection="1">
      <protection hidden="1"/>
    </xf>
    <xf numFmtId="0" fontId="67" fillId="17" borderId="240" xfId="21" applyFont="1" applyFill="1" applyBorder="1" applyAlignment="1" applyProtection="1">
      <alignment horizontal="centerContinuous"/>
      <protection hidden="1"/>
    </xf>
    <xf numFmtId="0" fontId="40" fillId="12" borderId="246" xfId="21" applyFont="1" applyFill="1" applyBorder="1" applyAlignment="1" applyProtection="1">
      <alignment horizontal="center" vertical="center" wrapText="1"/>
      <protection hidden="1"/>
    </xf>
    <xf numFmtId="0" fontId="40" fillId="12" borderId="247" xfId="21" applyFont="1" applyFill="1" applyBorder="1" applyAlignment="1" applyProtection="1">
      <alignment horizontal="center" vertical="center" wrapText="1"/>
      <protection hidden="1"/>
    </xf>
    <xf numFmtId="0" fontId="10" fillId="0" borderId="248" xfId="21" applyBorder="1" applyProtection="1">
      <protection hidden="1"/>
    </xf>
    <xf numFmtId="0" fontId="40" fillId="0" borderId="249" xfId="21" applyFont="1" applyBorder="1" applyAlignment="1" applyProtection="1">
      <alignment horizontal="center" vertical="center"/>
      <protection hidden="1"/>
    </xf>
    <xf numFmtId="3" fontId="40" fillId="0" borderId="249" xfId="21" applyNumberFormat="1" applyFont="1" applyBorder="1" applyAlignment="1" applyProtection="1">
      <alignment horizontal="center" vertical="center"/>
      <protection hidden="1"/>
    </xf>
    <xf numFmtId="0" fontId="31" fillId="0" borderId="213" xfId="21" applyFont="1" applyBorder="1" applyProtection="1">
      <protection hidden="1"/>
    </xf>
    <xf numFmtId="0" fontId="49" fillId="0" borderId="250" xfId="21" applyFont="1" applyBorder="1" applyAlignment="1" applyProtection="1">
      <alignment horizontal="center" vertical="center"/>
      <protection hidden="1"/>
    </xf>
    <xf numFmtId="3" fontId="31" fillId="30" borderId="255" xfId="21" applyNumberFormat="1" applyFont="1" applyFill="1" applyBorder="1" applyAlignment="1" applyProtection="1">
      <alignment horizontal="left" vertical="center"/>
      <protection hidden="1"/>
    </xf>
    <xf numFmtId="3" fontId="96" fillId="28" borderId="255" xfId="21" applyNumberFormat="1" applyFont="1" applyFill="1" applyBorder="1" applyAlignment="1" applyProtection="1">
      <alignment horizontal="left" vertical="center"/>
      <protection locked="0"/>
    </xf>
    <xf numFmtId="0" fontId="36" fillId="2" borderId="255" xfId="0" applyFont="1" applyFill="1" applyBorder="1" applyAlignment="1" applyProtection="1">
      <alignment horizontal="left" vertical="center"/>
      <protection hidden="1"/>
    </xf>
    <xf numFmtId="9" fontId="36" fillId="0" borderId="255" xfId="33" applyFont="1" applyBorder="1" applyAlignment="1" applyProtection="1">
      <alignment horizontal="center" vertical="center"/>
      <protection hidden="1"/>
    </xf>
    <xf numFmtId="0" fontId="36" fillId="22" borderId="255" xfId="0" applyFont="1" applyFill="1" applyBorder="1" applyAlignment="1" applyProtection="1">
      <alignment horizontal="left" vertical="center" wrapText="1"/>
      <protection hidden="1"/>
    </xf>
    <xf numFmtId="0" fontId="36" fillId="10" borderId="255" xfId="0" applyFont="1" applyFill="1" applyBorder="1" applyAlignment="1" applyProtection="1">
      <alignment horizontal="left" vertical="center"/>
      <protection hidden="1"/>
    </xf>
    <xf numFmtId="0" fontId="36" fillId="23" borderId="255" xfId="0" applyFont="1" applyFill="1" applyBorder="1" applyAlignment="1" applyProtection="1">
      <alignment horizontal="left" vertical="center"/>
      <protection hidden="1"/>
    </xf>
    <xf numFmtId="0" fontId="36" fillId="24" borderId="255" xfId="0" applyFont="1" applyFill="1" applyBorder="1" applyAlignment="1" applyProtection="1">
      <alignment horizontal="left" vertical="center"/>
      <protection hidden="1"/>
    </xf>
    <xf numFmtId="0" fontId="36" fillId="8" borderId="255" xfId="0" applyFont="1" applyFill="1" applyBorder="1" applyAlignment="1" applyProtection="1">
      <alignment horizontal="left" vertical="center"/>
      <protection hidden="1"/>
    </xf>
    <xf numFmtId="3" fontId="78" fillId="20" borderId="255" xfId="0" applyNumberFormat="1" applyFont="1" applyFill="1" applyBorder="1" applyAlignment="1">
      <alignment horizontal="left" vertical="center" wrapText="1" indent="1"/>
    </xf>
    <xf numFmtId="0" fontId="78" fillId="20" borderId="255" xfId="0" applyFont="1" applyFill="1" applyBorder="1" applyAlignment="1">
      <alignment horizontal="left" vertical="center" wrapText="1" indent="1"/>
    </xf>
    <xf numFmtId="0" fontId="78" fillId="0" borderId="255" xfId="0" applyFont="1" applyBorder="1" applyAlignment="1">
      <alignment horizontal="left" vertical="center" wrapText="1" indent="1"/>
    </xf>
    <xf numFmtId="173" fontId="36" fillId="0" borderId="255" xfId="7" applyNumberFormat="1" applyFont="1" applyFill="1" applyBorder="1" applyAlignment="1">
      <alignment horizontal="center" vertical="center"/>
    </xf>
    <xf numFmtId="0" fontId="36" fillId="0" borderId="255" xfId="21" applyFont="1" applyBorder="1" applyAlignment="1">
      <alignment horizontal="left" vertical="center"/>
    </xf>
    <xf numFmtId="0" fontId="36" fillId="0" borderId="255" xfId="21" applyFont="1" applyBorder="1" applyAlignment="1">
      <alignment horizontal="center" vertical="center"/>
    </xf>
    <xf numFmtId="0" fontId="36" fillId="0" borderId="255" xfId="21" applyFont="1" applyBorder="1" applyAlignment="1">
      <alignment horizontal="center"/>
    </xf>
    <xf numFmtId="176" fontId="30" fillId="0" borderId="31" xfId="21" applyNumberFormat="1" applyFont="1" applyBorder="1" applyAlignment="1" applyProtection="1">
      <alignment horizontal="center" vertical="center"/>
      <protection hidden="1"/>
    </xf>
    <xf numFmtId="176" fontId="30" fillId="0" borderId="151" xfId="21" applyNumberFormat="1" applyFont="1" applyBorder="1" applyAlignment="1" applyProtection="1">
      <alignment horizontal="center" vertical="center"/>
      <protection hidden="1"/>
    </xf>
    <xf numFmtId="3" fontId="30" fillId="0" borderId="52" xfId="21" applyNumberFormat="1" applyFont="1" applyBorder="1" applyAlignment="1" applyProtection="1">
      <alignment horizontal="center" vertical="center"/>
      <protection hidden="1"/>
    </xf>
    <xf numFmtId="0" fontId="30" fillId="0" borderId="52" xfId="21" applyFont="1" applyBorder="1" applyAlignment="1" applyProtection="1">
      <alignment horizontal="center" vertical="center"/>
      <protection hidden="1"/>
    </xf>
    <xf numFmtId="3" fontId="39" fillId="29" borderId="52" xfId="21" applyNumberFormat="1" applyFont="1" applyFill="1" applyBorder="1" applyAlignment="1" applyProtection="1">
      <alignment horizontal="center" vertical="center"/>
      <protection locked="0"/>
    </xf>
    <xf numFmtId="3" fontId="39" fillId="0" borderId="52" xfId="21" applyNumberFormat="1" applyFont="1" applyBorder="1" applyAlignment="1" applyProtection="1">
      <alignment horizontal="center" vertical="center"/>
      <protection hidden="1"/>
    </xf>
    <xf numFmtId="9" fontId="39" fillId="29" borderId="52" xfId="30" applyFont="1" applyFill="1" applyBorder="1" applyAlignment="1" applyProtection="1">
      <alignment horizontal="center" vertical="center"/>
      <protection locked="0"/>
    </xf>
    <xf numFmtId="3" fontId="30" fillId="28" borderId="146" xfId="21" applyNumberFormat="1" applyFont="1" applyFill="1" applyBorder="1" applyProtection="1">
      <protection locked="0" hidden="1"/>
    </xf>
    <xf numFmtId="0" fontId="30" fillId="28" borderId="52" xfId="21" applyFont="1" applyFill="1" applyBorder="1" applyProtection="1">
      <protection locked="0" hidden="1"/>
    </xf>
    <xf numFmtId="0" fontId="30" fillId="29" borderId="52" xfId="21" applyFont="1" applyFill="1" applyBorder="1" applyProtection="1">
      <protection locked="0"/>
    </xf>
    <xf numFmtId="0" fontId="30" fillId="29" borderId="30" xfId="21" applyFont="1" applyFill="1" applyBorder="1" applyProtection="1">
      <protection locked="0"/>
    </xf>
    <xf numFmtId="3" fontId="30" fillId="28" borderId="30" xfId="21" applyNumberFormat="1" applyFont="1" applyFill="1" applyBorder="1" applyAlignment="1" applyProtection="1">
      <alignment horizontal="center"/>
      <protection locked="0" hidden="1"/>
    </xf>
    <xf numFmtId="3" fontId="30" fillId="28" borderId="32" xfId="21" applyNumberFormat="1" applyFont="1" applyFill="1" applyBorder="1" applyAlignment="1" applyProtection="1">
      <alignment horizontal="center"/>
      <protection locked="0" hidden="1"/>
    </xf>
    <xf numFmtId="3" fontId="30" fillId="29" borderId="52" xfId="21" applyNumberFormat="1" applyFont="1" applyFill="1" applyBorder="1" applyAlignment="1" applyProtection="1">
      <alignment horizontal="left"/>
      <protection locked="0"/>
    </xf>
    <xf numFmtId="0" fontId="30" fillId="29" borderId="52" xfId="21" applyFont="1" applyFill="1" applyBorder="1" applyAlignment="1" applyProtection="1">
      <alignment horizontal="left"/>
      <protection locked="0"/>
    </xf>
    <xf numFmtId="3" fontId="30" fillId="29" borderId="188" xfId="21" applyNumberFormat="1" applyFont="1" applyFill="1" applyBorder="1" applyAlignment="1" applyProtection="1">
      <alignment horizontal="left"/>
      <protection locked="0"/>
    </xf>
    <xf numFmtId="0" fontId="30" fillId="29" borderId="189" xfId="21" applyFont="1" applyFill="1" applyBorder="1" applyAlignment="1" applyProtection="1">
      <alignment horizontal="left"/>
      <protection locked="0"/>
    </xf>
    <xf numFmtId="3" fontId="39" fillId="0" borderId="118" xfId="21" applyNumberFormat="1" applyFont="1" applyBorder="1" applyAlignment="1" applyProtection="1">
      <alignment horizontal="center" vertical="center"/>
      <protection hidden="1"/>
    </xf>
    <xf numFmtId="0" fontId="39" fillId="0" borderId="80" xfId="21" applyFont="1" applyBorder="1" applyAlignment="1" applyProtection="1">
      <alignment horizontal="center" vertical="center"/>
      <protection hidden="1"/>
    </xf>
    <xf numFmtId="3" fontId="39" fillId="12" borderId="235" xfId="21" applyNumberFormat="1" applyFont="1" applyFill="1" applyBorder="1" applyAlignment="1" applyProtection="1">
      <alignment horizontal="center" vertical="center" wrapText="1"/>
      <protection hidden="1"/>
    </xf>
    <xf numFmtId="3" fontId="39" fillId="12" borderId="236" xfId="21" applyNumberFormat="1" applyFont="1" applyFill="1" applyBorder="1" applyAlignment="1" applyProtection="1">
      <alignment horizontal="center" vertical="center" wrapText="1"/>
      <protection hidden="1"/>
    </xf>
    <xf numFmtId="0" fontId="7" fillId="13" borderId="154" xfId="21" applyFont="1" applyFill="1" applyBorder="1" applyAlignment="1" applyProtection="1">
      <alignment horizontal="center" vertical="center"/>
      <protection hidden="1"/>
    </xf>
    <xf numFmtId="0" fontId="7" fillId="13" borderId="178" xfId="21" applyFont="1" applyFill="1" applyBorder="1" applyAlignment="1" applyProtection="1">
      <alignment horizontal="center" vertical="center"/>
      <protection hidden="1"/>
    </xf>
    <xf numFmtId="0" fontId="5" fillId="12" borderId="215" xfId="2" applyFill="1" applyBorder="1" applyAlignment="1" applyProtection="1">
      <alignment horizontal="center" vertical="center" wrapText="1"/>
      <protection locked="0"/>
    </xf>
    <xf numFmtId="0" fontId="5" fillId="12" borderId="216" xfId="2" applyFill="1" applyBorder="1" applyAlignment="1" applyProtection="1">
      <alignment horizontal="center" vertical="center" wrapText="1"/>
      <protection locked="0"/>
    </xf>
    <xf numFmtId="3" fontId="39" fillId="0" borderId="231" xfId="21" applyNumberFormat="1" applyFont="1" applyBorder="1" applyAlignment="1" applyProtection="1">
      <alignment horizontal="left" vertical="center"/>
      <protection hidden="1"/>
    </xf>
    <xf numFmtId="3" fontId="39" fillId="0" borderId="232" xfId="21" applyNumberFormat="1" applyFont="1" applyBorder="1" applyAlignment="1" applyProtection="1">
      <alignment horizontal="left" vertical="center"/>
      <protection hidden="1"/>
    </xf>
    <xf numFmtId="3" fontId="39" fillId="0" borderId="43" xfId="21" applyNumberFormat="1" applyFont="1" applyBorder="1" applyAlignment="1" applyProtection="1">
      <alignment horizontal="left" vertical="center"/>
      <protection hidden="1"/>
    </xf>
    <xf numFmtId="3" fontId="39" fillId="0" borderId="45" xfId="21" applyNumberFormat="1" applyFont="1" applyBorder="1" applyAlignment="1" applyProtection="1">
      <alignment horizontal="left" vertical="center"/>
      <protection hidden="1"/>
    </xf>
    <xf numFmtId="0" fontId="39" fillId="12" borderId="110" xfId="21" applyFont="1" applyFill="1" applyBorder="1" applyAlignment="1" applyProtection="1">
      <alignment horizontal="center" vertical="center" wrapText="1"/>
      <protection hidden="1"/>
    </xf>
    <xf numFmtId="0" fontId="30" fillId="0" borderId="111" xfId="21" applyFont="1" applyBorder="1" applyAlignment="1" applyProtection="1">
      <alignment horizontal="center" vertical="center"/>
      <protection hidden="1"/>
    </xf>
    <xf numFmtId="0" fontId="30" fillId="0" borderId="186" xfId="21" applyFont="1" applyBorder="1" applyAlignment="1" applyProtection="1">
      <alignment horizontal="center" vertical="center" wrapText="1"/>
      <protection hidden="1"/>
    </xf>
    <xf numFmtId="0" fontId="30" fillId="0" borderId="187" xfId="21" applyFont="1" applyBorder="1" applyAlignment="1" applyProtection="1">
      <alignment horizontal="center" vertical="center"/>
      <protection hidden="1"/>
    </xf>
    <xf numFmtId="3" fontId="30" fillId="29" borderId="30" xfId="21" applyNumberFormat="1" applyFont="1" applyFill="1" applyBorder="1" applyAlignment="1" applyProtection="1">
      <alignment horizontal="left"/>
      <protection locked="0"/>
    </xf>
    <xf numFmtId="3" fontId="30" fillId="29" borderId="32" xfId="21" applyNumberFormat="1" applyFont="1" applyFill="1" applyBorder="1" applyAlignment="1" applyProtection="1">
      <alignment horizontal="left"/>
      <protection locked="0"/>
    </xf>
    <xf numFmtId="3" fontId="39" fillId="12" borderId="115" xfId="21" applyNumberFormat="1" applyFont="1" applyFill="1" applyBorder="1" applyAlignment="1" applyProtection="1">
      <alignment horizontal="center" vertical="center" wrapText="1"/>
      <protection hidden="1"/>
    </xf>
    <xf numFmtId="3" fontId="39" fillId="12" borderId="46" xfId="21" applyNumberFormat="1" applyFont="1" applyFill="1" applyBorder="1" applyAlignment="1" applyProtection="1">
      <alignment horizontal="center" vertical="center" wrapText="1"/>
      <protection hidden="1"/>
    </xf>
    <xf numFmtId="3" fontId="39" fillId="12" borderId="139" xfId="21" applyNumberFormat="1" applyFont="1" applyFill="1" applyBorder="1" applyAlignment="1" applyProtection="1">
      <alignment horizontal="center" vertical="center" wrapText="1"/>
      <protection hidden="1"/>
    </xf>
    <xf numFmtId="0" fontId="39" fillId="12" borderId="140" xfId="21" applyFont="1" applyFill="1" applyBorder="1" applyAlignment="1" applyProtection="1">
      <alignment horizontal="center" vertical="center" wrapText="1"/>
      <protection hidden="1"/>
    </xf>
    <xf numFmtId="0" fontId="39" fillId="12" borderId="46" xfId="21" applyFont="1" applyFill="1" applyBorder="1" applyAlignment="1" applyProtection="1">
      <alignment horizontal="center" vertical="center" wrapText="1"/>
      <protection hidden="1"/>
    </xf>
    <xf numFmtId="0" fontId="39" fillId="13" borderId="112" xfId="21" applyFont="1" applyFill="1" applyBorder="1" applyAlignment="1" applyProtection="1">
      <alignment horizontal="center" vertical="center"/>
      <protection hidden="1"/>
    </xf>
    <xf numFmtId="0" fontId="39" fillId="13" borderId="113" xfId="21" applyFont="1" applyFill="1" applyBorder="1" applyAlignment="1" applyProtection="1">
      <alignment horizontal="center" vertical="center"/>
      <protection hidden="1"/>
    </xf>
    <xf numFmtId="3" fontId="40" fillId="0" borderId="16" xfId="21" applyNumberFormat="1" applyFont="1" applyBorder="1" applyAlignment="1" applyProtection="1">
      <alignment horizontal="center"/>
      <protection hidden="1"/>
    </xf>
    <xf numFmtId="3" fontId="40" fillId="0" borderId="59" xfId="21" applyNumberFormat="1" applyFont="1" applyBorder="1" applyAlignment="1" applyProtection="1">
      <alignment horizontal="center"/>
      <protection hidden="1"/>
    </xf>
    <xf numFmtId="3" fontId="40" fillId="0" borderId="17" xfId="21" applyNumberFormat="1" applyFont="1" applyBorder="1" applyAlignment="1" applyProtection="1">
      <alignment horizontal="center"/>
      <protection hidden="1"/>
    </xf>
    <xf numFmtId="3" fontId="39" fillId="12" borderId="114" xfId="21" applyNumberFormat="1" applyFont="1" applyFill="1" applyBorder="1" applyAlignment="1" applyProtection="1">
      <alignment horizontal="center" vertical="center" wrapText="1"/>
      <protection hidden="1"/>
    </xf>
    <xf numFmtId="3" fontId="39" fillId="12" borderId="123" xfId="21" applyNumberFormat="1" applyFont="1" applyFill="1" applyBorder="1" applyAlignment="1" applyProtection="1">
      <alignment horizontal="center" vertical="center" wrapText="1"/>
      <protection hidden="1"/>
    </xf>
    <xf numFmtId="3" fontId="39" fillId="12" borderId="124" xfId="21" applyNumberFormat="1" applyFont="1" applyFill="1" applyBorder="1" applyAlignment="1" applyProtection="1">
      <alignment horizontal="center" vertical="center" wrapText="1"/>
      <protection hidden="1"/>
    </xf>
    <xf numFmtId="3" fontId="47" fillId="0" borderId="200" xfId="21" applyNumberFormat="1" applyFont="1" applyBorder="1" applyAlignment="1" applyProtection="1">
      <alignment vertical="center"/>
      <protection hidden="1"/>
    </xf>
    <xf numFmtId="3" fontId="47" fillId="0" borderId="201" xfId="21" applyNumberFormat="1" applyFont="1" applyBorder="1" applyAlignment="1" applyProtection="1">
      <alignment vertical="center"/>
      <protection hidden="1"/>
    </xf>
    <xf numFmtId="0" fontId="39" fillId="0" borderId="121" xfId="21" applyFont="1" applyBorder="1" applyAlignment="1" applyProtection="1">
      <alignment horizontal="center" vertical="center"/>
      <protection hidden="1"/>
    </xf>
    <xf numFmtId="0" fontId="30" fillId="0" borderId="121" xfId="21" applyFont="1" applyBorder="1" applyAlignment="1" applyProtection="1">
      <alignment horizontal="center" vertical="center"/>
      <protection hidden="1"/>
    </xf>
    <xf numFmtId="0" fontId="7" fillId="13" borderId="182" xfId="21" applyFont="1" applyFill="1" applyBorder="1" applyAlignment="1" applyProtection="1">
      <alignment horizontal="center" vertical="center"/>
      <protection hidden="1"/>
    </xf>
    <xf numFmtId="0" fontId="7" fillId="13" borderId="183" xfId="21" applyFont="1" applyFill="1" applyBorder="1" applyAlignment="1" applyProtection="1">
      <alignment horizontal="center" vertical="center"/>
      <protection hidden="1"/>
    </xf>
    <xf numFmtId="3" fontId="39" fillId="0" borderId="145" xfId="21" applyNumberFormat="1" applyFont="1" applyBorder="1" applyAlignment="1" applyProtection="1">
      <alignment horizontal="center" vertical="center"/>
      <protection hidden="1"/>
    </xf>
    <xf numFmtId="0" fontId="39" fillId="0" borderId="34" xfId="21" applyFont="1" applyBorder="1" applyAlignment="1" applyProtection="1">
      <alignment horizontal="center" vertical="center"/>
      <protection hidden="1"/>
    </xf>
    <xf numFmtId="0" fontId="39" fillId="0" borderId="122" xfId="21" applyFont="1" applyBorder="1" applyAlignment="1" applyProtection="1">
      <alignment horizontal="center" vertical="center"/>
      <protection hidden="1"/>
    </xf>
    <xf numFmtId="173" fontId="36" fillId="29" borderId="30" xfId="32" applyNumberFormat="1" applyFont="1" applyFill="1" applyBorder="1" applyAlignment="1" applyProtection="1">
      <alignment horizontal="center" vertical="center"/>
      <protection locked="0"/>
    </xf>
    <xf numFmtId="173" fontId="36" fillId="29" borderId="151" xfId="32" applyNumberFormat="1" applyFont="1" applyFill="1" applyBorder="1" applyAlignment="1" applyProtection="1">
      <alignment horizontal="center" vertical="center"/>
      <protection locked="0"/>
    </xf>
    <xf numFmtId="3" fontId="39" fillId="13" borderId="144" xfId="21" applyNumberFormat="1" applyFont="1" applyFill="1" applyBorder="1" applyAlignment="1" applyProtection="1">
      <alignment horizontal="center" vertical="center"/>
      <protection hidden="1"/>
    </xf>
    <xf numFmtId="3" fontId="39" fillId="13" borderId="31" xfId="21" applyNumberFormat="1" applyFont="1" applyFill="1" applyBorder="1" applyAlignment="1" applyProtection="1">
      <alignment horizontal="center" vertical="center"/>
      <protection hidden="1"/>
    </xf>
    <xf numFmtId="3" fontId="30" fillId="0" borderId="52" xfId="21" applyNumberFormat="1" applyFont="1" applyBorder="1" applyAlignment="1" applyProtection="1">
      <alignment horizontal="left" vertical="center"/>
      <protection hidden="1"/>
    </xf>
    <xf numFmtId="3" fontId="39" fillId="0" borderId="52" xfId="21" applyNumberFormat="1" applyFont="1" applyBorder="1" applyAlignment="1" applyProtection="1">
      <alignment horizontal="left" vertical="center"/>
      <protection hidden="1"/>
    </xf>
    <xf numFmtId="3" fontId="39" fillId="12" borderId="144" xfId="21" applyNumberFormat="1" applyFont="1" applyFill="1" applyBorder="1" applyAlignment="1" applyProtection="1">
      <alignment horizontal="center" vertical="center"/>
      <protection hidden="1"/>
    </xf>
    <xf numFmtId="3" fontId="39" fillId="12" borderId="31" xfId="21" applyNumberFormat="1" applyFont="1" applyFill="1" applyBorder="1" applyAlignment="1" applyProtection="1">
      <alignment horizontal="center" vertical="center"/>
      <protection hidden="1"/>
    </xf>
    <xf numFmtId="9" fontId="8" fillId="20" borderId="179" xfId="33" applyFont="1" applyFill="1" applyBorder="1" applyAlignment="1" applyProtection="1">
      <alignment horizontal="center" vertical="center"/>
      <protection hidden="1"/>
    </xf>
    <xf numFmtId="9" fontId="8" fillId="20" borderId="180" xfId="33" applyFont="1" applyFill="1" applyBorder="1" applyAlignment="1" applyProtection="1">
      <alignment horizontal="center" vertical="center"/>
      <protection hidden="1"/>
    </xf>
    <xf numFmtId="9" fontId="8" fillId="20" borderId="181" xfId="33" applyFont="1" applyFill="1" applyBorder="1" applyAlignment="1" applyProtection="1">
      <alignment horizontal="center" vertical="center"/>
      <protection hidden="1"/>
    </xf>
    <xf numFmtId="0" fontId="39" fillId="25" borderId="197" xfId="21" applyFont="1" applyFill="1" applyBorder="1" applyAlignment="1" applyProtection="1">
      <alignment horizontal="center" vertical="center"/>
      <protection hidden="1"/>
    </xf>
    <xf numFmtId="0" fontId="39" fillId="25" borderId="198" xfId="21" applyFont="1" applyFill="1" applyBorder="1" applyAlignment="1" applyProtection="1">
      <alignment horizontal="center" vertical="center"/>
      <protection hidden="1"/>
    </xf>
    <xf numFmtId="0" fontId="39" fillId="25" borderId="199" xfId="21" applyFont="1" applyFill="1" applyBorder="1" applyAlignment="1" applyProtection="1">
      <alignment horizontal="center" vertical="center"/>
      <protection hidden="1"/>
    </xf>
    <xf numFmtId="3" fontId="39" fillId="12" borderId="151" xfId="21" applyNumberFormat="1" applyFont="1" applyFill="1" applyBorder="1" applyAlignment="1" applyProtection="1">
      <alignment horizontal="center" vertical="center"/>
      <protection hidden="1"/>
    </xf>
    <xf numFmtId="3" fontId="30" fillId="0" borderId="144" xfId="21" applyNumberFormat="1" applyFont="1" applyBorder="1" applyAlignment="1" applyProtection="1">
      <alignment horizontal="left" vertical="center"/>
      <protection hidden="1"/>
    </xf>
    <xf numFmtId="0" fontId="30" fillId="0" borderId="31" xfId="21" applyFont="1" applyBorder="1" applyAlignment="1" applyProtection="1">
      <alignment horizontal="left"/>
      <protection hidden="1"/>
    </xf>
    <xf numFmtId="3" fontId="30" fillId="0" borderId="52" xfId="21" applyNumberFormat="1" applyFont="1" applyBorder="1"/>
    <xf numFmtId="0" fontId="30" fillId="0" borderId="30" xfId="21" applyFont="1" applyBorder="1"/>
    <xf numFmtId="37" fontId="30" fillId="0" borderId="52" xfId="32" applyNumberFormat="1" applyFont="1" applyBorder="1" applyAlignment="1" applyProtection="1">
      <alignment horizontal="center" vertical="center"/>
      <protection hidden="1"/>
    </xf>
    <xf numFmtId="0" fontId="30" fillId="29" borderId="31" xfId="21" applyFont="1" applyFill="1" applyBorder="1" applyProtection="1">
      <protection locked="0"/>
    </xf>
    <xf numFmtId="9" fontId="30" fillId="0" borderId="30" xfId="30" applyFont="1" applyBorder="1" applyAlignment="1" applyProtection="1">
      <alignment horizontal="center" vertical="center"/>
      <protection hidden="1"/>
    </xf>
    <xf numFmtId="9" fontId="30" fillId="0" borderId="32" xfId="30" applyFont="1" applyBorder="1" applyAlignment="1" applyProtection="1">
      <alignment horizontal="center" vertical="center"/>
      <protection hidden="1"/>
    </xf>
    <xf numFmtId="9" fontId="39" fillId="0" borderId="52" xfId="30" applyFont="1" applyBorder="1" applyAlignment="1" applyProtection="1">
      <alignment horizontal="center" vertical="center"/>
      <protection hidden="1"/>
    </xf>
    <xf numFmtId="3" fontId="30" fillId="0" borderId="30" xfId="21" applyNumberFormat="1" applyFont="1" applyBorder="1" applyAlignment="1" applyProtection="1">
      <alignment horizontal="left" vertical="center"/>
      <protection hidden="1"/>
    </xf>
    <xf numFmtId="3" fontId="30" fillId="0" borderId="31" xfId="21" applyNumberFormat="1" applyFont="1" applyBorder="1" applyAlignment="1" applyProtection="1">
      <alignment horizontal="left" vertical="center"/>
      <protection hidden="1"/>
    </xf>
    <xf numFmtId="3" fontId="30" fillId="0" borderId="32" xfId="21" applyNumberFormat="1" applyFont="1" applyBorder="1" applyAlignment="1" applyProtection="1">
      <alignment horizontal="left" vertical="center"/>
      <protection hidden="1"/>
    </xf>
    <xf numFmtId="37" fontId="30" fillId="0" borderId="30" xfId="32" applyNumberFormat="1" applyFont="1" applyBorder="1" applyAlignment="1" applyProtection="1">
      <alignment horizontal="center" vertical="center"/>
      <protection hidden="1"/>
    </xf>
    <xf numFmtId="37" fontId="30" fillId="0" borderId="32" xfId="32" applyNumberFormat="1" applyFont="1" applyBorder="1" applyAlignment="1" applyProtection="1">
      <alignment horizontal="center" vertical="center"/>
      <protection hidden="1"/>
    </xf>
    <xf numFmtId="0" fontId="39" fillId="13" borderId="165"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175" fontId="40" fillId="0" borderId="75" xfId="21" applyNumberFormat="1" applyFont="1" applyBorder="1" applyAlignment="1" applyProtection="1">
      <alignment horizontal="center" vertical="center"/>
      <protection hidden="1"/>
    </xf>
    <xf numFmtId="175" fontId="10" fillId="0" borderId="76" xfId="21" applyNumberFormat="1" applyBorder="1" applyProtection="1">
      <protection hidden="1"/>
    </xf>
    <xf numFmtId="0" fontId="30" fillId="0" borderId="149" xfId="21" applyFont="1" applyBorder="1" applyAlignment="1" applyProtection="1">
      <alignment horizontal="center"/>
      <protection locked="0"/>
    </xf>
    <xf numFmtId="3" fontId="49" fillId="0" borderId="0" xfId="21" applyNumberFormat="1" applyFont="1" applyAlignment="1" applyProtection="1">
      <alignment horizontal="center" vertical="center"/>
      <protection hidden="1"/>
    </xf>
    <xf numFmtId="176" fontId="55" fillId="0" borderId="0" xfId="21" applyNumberFormat="1" applyFont="1" applyAlignment="1" applyProtection="1">
      <alignment horizontal="center" vertical="center" wrapText="1"/>
      <protection hidden="1"/>
    </xf>
    <xf numFmtId="176" fontId="55" fillId="0" borderId="225" xfId="21" applyNumberFormat="1" applyFont="1" applyBorder="1" applyAlignment="1" applyProtection="1">
      <alignment horizontal="center" vertical="center" wrapText="1"/>
      <protection hidden="1"/>
    </xf>
    <xf numFmtId="0" fontId="39" fillId="0" borderId="147" xfId="21" applyFont="1" applyBorder="1" applyAlignment="1" applyProtection="1">
      <alignment horizontal="center" vertical="center"/>
      <protection hidden="1"/>
    </xf>
    <xf numFmtId="0" fontId="39" fillId="0" borderId="29" xfId="21" applyFont="1" applyBorder="1" applyAlignment="1" applyProtection="1">
      <alignment horizontal="center" vertical="center"/>
      <protection hidden="1"/>
    </xf>
    <xf numFmtId="176" fontId="30" fillId="21" borderId="158" xfId="21" applyNumberFormat="1" applyFont="1" applyFill="1" applyBorder="1" applyAlignment="1" applyProtection="1">
      <alignment horizontal="center" vertical="center"/>
      <protection hidden="1"/>
    </xf>
    <xf numFmtId="176" fontId="30" fillId="21" borderId="151" xfId="21" applyNumberFormat="1" applyFont="1" applyFill="1" applyBorder="1" applyAlignment="1" applyProtection="1">
      <alignment horizontal="center" vertical="center"/>
      <protection hidden="1"/>
    </xf>
    <xf numFmtId="176" fontId="39" fillId="0" borderId="129" xfId="21" applyNumberFormat="1" applyFont="1" applyBorder="1" applyAlignment="1" applyProtection="1">
      <alignment horizontal="center" vertical="center"/>
      <protection hidden="1"/>
    </xf>
    <xf numFmtId="176" fontId="39" fillId="0" borderId="130" xfId="21" applyNumberFormat="1" applyFont="1" applyBorder="1" applyAlignment="1" applyProtection="1">
      <alignment horizontal="center" vertical="center"/>
      <protection hidden="1"/>
    </xf>
    <xf numFmtId="0" fontId="39" fillId="13" borderId="22" xfId="0" applyFont="1" applyFill="1" applyBorder="1" applyAlignment="1" applyProtection="1">
      <alignment horizontal="center" vertical="center" wrapText="1"/>
      <protection hidden="1"/>
    </xf>
    <xf numFmtId="9" fontId="39" fillId="14" borderId="103" xfId="33" applyFont="1" applyFill="1" applyBorder="1" applyAlignment="1" applyProtection="1">
      <alignment horizontal="center" vertical="center" wrapText="1"/>
      <protection hidden="1"/>
    </xf>
    <xf numFmtId="9" fontId="39" fillId="14" borderId="33" xfId="33" applyFont="1" applyFill="1" applyBorder="1" applyAlignment="1" applyProtection="1">
      <alignment horizontal="center" vertical="center" wrapText="1"/>
      <protection hidden="1"/>
    </xf>
    <xf numFmtId="9" fontId="39" fillId="14" borderId="105" xfId="33" applyFont="1" applyFill="1" applyBorder="1" applyAlignment="1" applyProtection="1">
      <alignment horizontal="center" vertical="center" wrapText="1"/>
      <protection hidden="1"/>
    </xf>
    <xf numFmtId="9" fontId="39" fillId="14" borderId="106" xfId="33" applyFont="1" applyFill="1" applyBorder="1" applyAlignment="1" applyProtection="1">
      <alignment horizontal="center" vertical="center" wrapText="1"/>
      <protection hidden="1"/>
    </xf>
    <xf numFmtId="0" fontId="95" fillId="15" borderId="0" xfId="21" applyFont="1" applyFill="1" applyAlignment="1" applyProtection="1">
      <alignment horizontal="left" vertical="center" wrapText="1"/>
      <protection hidden="1"/>
    </xf>
    <xf numFmtId="0" fontId="95" fillId="15" borderId="137" xfId="21" applyFont="1" applyFill="1" applyBorder="1" applyAlignment="1" applyProtection="1">
      <alignment horizontal="left" vertical="center" wrapText="1"/>
      <protection hidden="1"/>
    </xf>
    <xf numFmtId="0" fontId="95" fillId="15" borderId="149" xfId="21" applyFont="1" applyFill="1" applyBorder="1" applyAlignment="1" applyProtection="1">
      <alignment horizontal="left" vertical="center" wrapText="1"/>
      <protection hidden="1"/>
    </xf>
    <xf numFmtId="0" fontId="95" fillId="15" borderId="150" xfId="21" applyFont="1" applyFill="1" applyBorder="1" applyAlignment="1" applyProtection="1">
      <alignment horizontal="left" vertical="center" wrapText="1"/>
      <protection hidden="1"/>
    </xf>
    <xf numFmtId="0" fontId="39" fillId="13" borderId="214" xfId="0" applyFont="1" applyFill="1" applyBorder="1" applyAlignment="1" applyProtection="1">
      <alignment horizontal="center" vertical="center" wrapText="1"/>
      <protection hidden="1"/>
    </xf>
    <xf numFmtId="0" fontId="8" fillId="0" borderId="9" xfId="1" applyFont="1" applyBorder="1" applyAlignment="1">
      <alignment horizontal="left" vertical="top" wrapText="1"/>
    </xf>
    <xf numFmtId="0" fontId="8" fillId="0" borderId="11" xfId="1" applyFont="1" applyBorder="1" applyAlignment="1">
      <alignment horizontal="left" vertical="top" wrapText="1"/>
    </xf>
    <xf numFmtId="0" fontId="8" fillId="0" borderId="10" xfId="1" applyFont="1" applyBorder="1" applyAlignment="1">
      <alignment horizontal="left" vertical="top" wrapText="1"/>
    </xf>
    <xf numFmtId="0" fontId="8" fillId="0" borderId="9" xfId="1" applyFont="1" applyBorder="1" applyAlignment="1">
      <alignment horizontal="left"/>
    </xf>
    <xf numFmtId="0" fontId="8" fillId="0" borderId="11" xfId="1" applyFont="1" applyBorder="1" applyAlignment="1">
      <alignment horizontal="left"/>
    </xf>
    <xf numFmtId="0" fontId="8" fillId="0" borderId="10" xfId="1" applyFont="1" applyBorder="1" applyAlignment="1">
      <alignment horizontal="left"/>
    </xf>
    <xf numFmtId="0" fontId="8" fillId="3" borderId="9" xfId="1" applyFont="1" applyFill="1" applyBorder="1" applyAlignment="1">
      <alignment vertical="top" wrapText="1"/>
    </xf>
    <xf numFmtId="0" fontId="8" fillId="3" borderId="11" xfId="1" applyFont="1" applyFill="1" applyBorder="1" applyAlignment="1">
      <alignment vertical="top"/>
    </xf>
    <xf numFmtId="0" fontId="8" fillId="3" borderId="10" xfId="1" applyFont="1" applyFill="1" applyBorder="1" applyAlignment="1">
      <alignment vertical="top"/>
    </xf>
    <xf numFmtId="0" fontId="7" fillId="0" borderId="0" xfId="1" applyFont="1" applyAlignment="1">
      <alignment horizontal="left" vertical="center" wrapText="1"/>
    </xf>
    <xf numFmtId="0" fontId="8" fillId="0" borderId="9" xfId="1" applyFont="1" applyBorder="1" applyAlignment="1">
      <alignment horizontal="left" vertical="center" wrapText="1"/>
    </xf>
    <xf numFmtId="0" fontId="8" fillId="0" borderId="11" xfId="1" applyFont="1" applyBorder="1" applyAlignment="1">
      <alignment horizontal="left" vertical="center" wrapText="1"/>
    </xf>
    <xf numFmtId="0" fontId="8" fillId="0" borderId="10" xfId="1" applyFont="1" applyBorder="1" applyAlignment="1">
      <alignment horizontal="left" vertical="center" wrapText="1"/>
    </xf>
    <xf numFmtId="0" fontId="8" fillId="0" borderId="0" xfId="1" applyFont="1" applyAlignment="1">
      <alignment horizontal="left" wrapText="1"/>
    </xf>
    <xf numFmtId="0" fontId="8" fillId="0" borderId="8" xfId="1" applyFont="1" applyBorder="1" applyAlignment="1">
      <alignment horizontal="left" wrapText="1"/>
    </xf>
    <xf numFmtId="0" fontId="8" fillId="0" borderId="9" xfId="1" applyFont="1" applyBorder="1" applyAlignment="1">
      <alignment horizontal="left" wrapText="1"/>
    </xf>
    <xf numFmtId="0" fontId="8" fillId="0" borderId="11" xfId="1" applyFont="1" applyBorder="1" applyAlignment="1">
      <alignment horizontal="left" vertical="center"/>
    </xf>
    <xf numFmtId="0" fontId="8" fillId="0" borderId="10" xfId="1" applyFont="1" applyBorder="1" applyAlignment="1">
      <alignment horizontal="left" vertical="center"/>
    </xf>
    <xf numFmtId="0" fontId="8" fillId="0" borderId="0" xfId="1" applyFont="1" applyAlignment="1">
      <alignment horizontal="left" vertical="center" wrapText="1"/>
    </xf>
    <xf numFmtId="0" fontId="8" fillId="0" borderId="8" xfId="1" applyFont="1" applyBorder="1" applyAlignment="1">
      <alignment horizontal="left" vertical="center" wrapText="1"/>
    </xf>
    <xf numFmtId="0" fontId="7" fillId="0" borderId="9" xfId="1" applyFont="1" applyBorder="1" applyAlignment="1">
      <alignment horizontal="left" vertical="center"/>
    </xf>
    <xf numFmtId="0" fontId="7" fillId="0" borderId="10" xfId="1" applyFont="1" applyBorder="1" applyAlignment="1">
      <alignment horizontal="left" vertical="center"/>
    </xf>
    <xf numFmtId="0" fontId="7" fillId="0" borderId="9" xfId="1" applyFont="1" applyBorder="1" applyAlignment="1">
      <alignment horizontal="left" vertical="center" wrapText="1"/>
    </xf>
    <xf numFmtId="0" fontId="7" fillId="0" borderId="10" xfId="1" applyFont="1" applyBorder="1" applyAlignment="1">
      <alignment horizontal="left" vertical="center" wrapText="1"/>
    </xf>
    <xf numFmtId="0" fontId="8" fillId="0" borderId="11" xfId="1" applyFont="1" applyBorder="1" applyAlignment="1">
      <alignment horizontal="left" wrapText="1"/>
    </xf>
    <xf numFmtId="0" fontId="8" fillId="0" borderId="10" xfId="1" applyFont="1" applyBorder="1" applyAlignment="1">
      <alignment horizontal="left" wrapText="1"/>
    </xf>
    <xf numFmtId="0" fontId="8" fillId="0" borderId="18" xfId="1" applyFont="1" applyBorder="1" applyAlignment="1">
      <alignment horizontal="left" wrapText="1"/>
    </xf>
    <xf numFmtId="0" fontId="8" fillId="0" borderId="213" xfId="1" applyFont="1" applyBorder="1" applyAlignment="1">
      <alignment horizontal="left" wrapText="1"/>
    </xf>
    <xf numFmtId="0" fontId="8" fillId="0" borderId="19" xfId="1" applyFont="1" applyBorder="1" applyAlignment="1">
      <alignment horizontal="left" wrapText="1"/>
    </xf>
    <xf numFmtId="0" fontId="4" fillId="2" borderId="1" xfId="1" applyFont="1" applyFill="1" applyBorder="1" applyAlignment="1">
      <alignment horizontal="center" vertical="center"/>
    </xf>
    <xf numFmtId="0" fontId="4" fillId="2" borderId="2" xfId="1" applyFont="1" applyFill="1" applyBorder="1" applyAlignment="1">
      <alignment horizontal="center" vertical="center"/>
    </xf>
    <xf numFmtId="0" fontId="4" fillId="2" borderId="3" xfId="1" applyFont="1" applyFill="1" applyBorder="1" applyAlignment="1">
      <alignment horizontal="center" vertical="center"/>
    </xf>
    <xf numFmtId="0" fontId="4" fillId="2" borderId="4"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6" xfId="1" applyFont="1" applyFill="1" applyBorder="1" applyAlignment="1">
      <alignment horizontal="center" vertical="center"/>
    </xf>
    <xf numFmtId="0" fontId="6" fillId="0" borderId="0" xfId="1" applyFont="1" applyAlignment="1">
      <alignment horizontal="left"/>
    </xf>
    <xf numFmtId="0" fontId="19" fillId="4" borderId="1" xfId="28" applyFont="1" applyFill="1" applyBorder="1" applyAlignment="1">
      <alignment horizontal="center" vertical="center" wrapText="1"/>
    </xf>
    <xf numFmtId="0" fontId="19" fillId="4" borderId="3" xfId="28" applyFont="1" applyFill="1" applyBorder="1" applyAlignment="1">
      <alignment horizontal="center" vertical="center" wrapText="1"/>
    </xf>
    <xf numFmtId="0" fontId="20" fillId="6" borderId="16" xfId="28" applyFont="1" applyFill="1" applyBorder="1" applyAlignment="1">
      <alignment horizontal="center" vertical="center" wrapText="1"/>
    </xf>
    <xf numFmtId="0" fontId="20" fillId="6" borderId="17" xfId="28" applyFont="1" applyFill="1" applyBorder="1" applyAlignment="1">
      <alignment horizontal="center" vertical="center" wrapText="1"/>
    </xf>
    <xf numFmtId="0" fontId="0" fillId="29" borderId="1" xfId="28" applyFont="1" applyFill="1" applyBorder="1" applyAlignment="1" applyProtection="1">
      <alignment horizontal="left" vertical="top" wrapText="1"/>
      <protection locked="0"/>
    </xf>
    <xf numFmtId="0" fontId="1" fillId="29" borderId="3" xfId="28" applyFill="1" applyBorder="1" applyAlignment="1" applyProtection="1">
      <alignment horizontal="left" vertical="top" wrapText="1"/>
      <protection locked="0"/>
    </xf>
    <xf numFmtId="0" fontId="1" fillId="29" borderId="7" xfId="28" applyFill="1" applyBorder="1" applyAlignment="1" applyProtection="1">
      <alignment horizontal="left" vertical="top" wrapText="1"/>
      <protection locked="0"/>
    </xf>
    <xf numFmtId="0" fontId="1" fillId="29" borderId="8" xfId="28" applyFill="1" applyBorder="1" applyAlignment="1" applyProtection="1">
      <alignment horizontal="left" vertical="top" wrapText="1"/>
      <protection locked="0"/>
    </xf>
    <xf numFmtId="0" fontId="1" fillId="29" borderId="4" xfId="28" applyFill="1" applyBorder="1" applyAlignment="1" applyProtection="1">
      <alignment horizontal="left" vertical="top" wrapText="1"/>
      <protection locked="0"/>
    </xf>
    <xf numFmtId="0" fontId="1" fillId="29" borderId="6" xfId="28" applyFill="1" applyBorder="1" applyAlignment="1" applyProtection="1">
      <alignment horizontal="left" vertical="top" wrapText="1"/>
      <protection locked="0"/>
    </xf>
    <xf numFmtId="0" fontId="1" fillId="0" borderId="0" xfId="28" applyAlignment="1">
      <alignment horizontal="right"/>
    </xf>
    <xf numFmtId="0" fontId="0" fillId="0" borderId="1" xfId="28" applyFont="1" applyBorder="1" applyAlignment="1">
      <alignment horizontal="left" vertical="top" wrapText="1"/>
    </xf>
    <xf numFmtId="0" fontId="1" fillId="0" borderId="3" xfId="28" applyBorder="1" applyAlignment="1">
      <alignment horizontal="left" vertical="top"/>
    </xf>
    <xf numFmtId="0" fontId="1" fillId="0" borderId="7" xfId="28" applyBorder="1" applyAlignment="1">
      <alignment horizontal="left" vertical="top"/>
    </xf>
    <xf numFmtId="0" fontId="1" fillId="0" borderId="8" xfId="28" applyBorder="1" applyAlignment="1">
      <alignment horizontal="left" vertical="top"/>
    </xf>
    <xf numFmtId="0" fontId="1" fillId="0" borderId="4" xfId="28" applyBorder="1" applyAlignment="1">
      <alignment horizontal="left" vertical="top"/>
    </xf>
    <xf numFmtId="0" fontId="1" fillId="0" borderId="6" xfId="28" applyBorder="1" applyAlignment="1">
      <alignment horizontal="left" vertical="top"/>
    </xf>
    <xf numFmtId="0" fontId="39" fillId="0" borderId="47" xfId="21" applyFont="1" applyBorder="1" applyAlignment="1" applyProtection="1">
      <alignment horizontal="center" vertical="center"/>
      <protection hidden="1"/>
    </xf>
    <xf numFmtId="3" fontId="30" fillId="11" borderId="52" xfId="21" applyNumberFormat="1" applyFont="1" applyFill="1" applyBorder="1" applyAlignment="1" applyProtection="1">
      <alignment horizontal="center"/>
      <protection locked="0" hidden="1"/>
    </xf>
    <xf numFmtId="176" fontId="30" fillId="0" borderId="128" xfId="21" applyNumberFormat="1" applyFont="1" applyBorder="1" applyAlignment="1" applyProtection="1">
      <alignment horizontal="center" vertical="center"/>
      <protection hidden="1"/>
    </xf>
    <xf numFmtId="176" fontId="30" fillId="0" borderId="57" xfId="21" applyNumberFormat="1" applyFont="1" applyBorder="1" applyAlignment="1" applyProtection="1">
      <alignment horizontal="center" vertical="center"/>
      <protection hidden="1"/>
    </xf>
    <xf numFmtId="3" fontId="30" fillId="28" borderId="146" xfId="21" applyNumberFormat="1" applyFont="1" applyFill="1" applyBorder="1" applyAlignment="1" applyProtection="1">
      <alignment horizontal="left"/>
      <protection locked="0" hidden="1"/>
    </xf>
    <xf numFmtId="9" fontId="40" fillId="0" borderId="75" xfId="21" applyNumberFormat="1" applyFont="1" applyBorder="1" applyAlignment="1" applyProtection="1">
      <alignment horizontal="center" vertical="center"/>
      <protection hidden="1"/>
    </xf>
    <xf numFmtId="9" fontId="10" fillId="0" borderId="76" xfId="21" applyNumberFormat="1" applyBorder="1" applyProtection="1">
      <protection hidden="1"/>
    </xf>
    <xf numFmtId="3" fontId="30" fillId="28" borderId="146" xfId="21" applyNumberFormat="1" applyFont="1" applyFill="1" applyBorder="1" applyAlignment="1" applyProtection="1">
      <alignment horizontal="left"/>
      <protection hidden="1"/>
    </xf>
    <xf numFmtId="0" fontId="30" fillId="28" borderId="52" xfId="21" applyFont="1" applyFill="1" applyBorder="1" applyProtection="1">
      <protection hidden="1"/>
    </xf>
    <xf numFmtId="9" fontId="30" fillId="0" borderId="31" xfId="30" applyFont="1" applyBorder="1" applyAlignment="1" applyProtection="1">
      <alignment horizontal="center" vertical="center"/>
      <protection hidden="1"/>
    </xf>
    <xf numFmtId="9" fontId="30" fillId="0" borderId="206" xfId="30" applyFont="1" applyBorder="1" applyAlignment="1" applyProtection="1">
      <alignment horizontal="center" vertical="center"/>
      <protection hidden="1"/>
    </xf>
    <xf numFmtId="3" fontId="39" fillId="0" borderId="207" xfId="21" applyNumberFormat="1" applyFont="1" applyBorder="1" applyAlignment="1" applyProtection="1">
      <alignment horizontal="left" vertical="center"/>
      <protection hidden="1"/>
    </xf>
    <xf numFmtId="3" fontId="39" fillId="0" borderId="208" xfId="21" applyNumberFormat="1" applyFont="1" applyBorder="1" applyAlignment="1" applyProtection="1">
      <alignment horizontal="left" vertical="center"/>
      <protection hidden="1"/>
    </xf>
    <xf numFmtId="9" fontId="39" fillId="0" borderId="208" xfId="30" applyFont="1" applyBorder="1" applyAlignment="1" applyProtection="1">
      <alignment horizontal="center" vertical="center"/>
      <protection hidden="1"/>
    </xf>
    <xf numFmtId="9" fontId="39" fillId="29" borderId="208" xfId="30" applyFont="1" applyFill="1" applyBorder="1" applyAlignment="1" applyProtection="1">
      <alignment horizontal="center" vertical="center"/>
      <protection locked="0"/>
    </xf>
    <xf numFmtId="9" fontId="39" fillId="29" borderId="228" xfId="30" applyFont="1" applyFill="1" applyBorder="1" applyAlignment="1" applyProtection="1">
      <alignment horizontal="center" vertical="center"/>
      <protection locked="0"/>
    </xf>
    <xf numFmtId="9" fontId="39" fillId="29" borderId="209" xfId="30" applyFont="1" applyFill="1" applyBorder="1" applyAlignment="1" applyProtection="1">
      <alignment horizontal="center" vertical="center"/>
      <protection locked="0"/>
    </xf>
    <xf numFmtId="3" fontId="30" fillId="28" borderId="144" xfId="21" applyNumberFormat="1" applyFont="1" applyFill="1" applyBorder="1" applyProtection="1">
      <protection locked="0" hidden="1"/>
    </xf>
    <xf numFmtId="3" fontId="30" fillId="28" borderId="31" xfId="21" applyNumberFormat="1" applyFont="1" applyFill="1" applyBorder="1" applyProtection="1">
      <protection locked="0" hidden="1"/>
    </xf>
    <xf numFmtId="3" fontId="30" fillId="28" borderId="32" xfId="21" applyNumberFormat="1" applyFont="1" applyFill="1" applyBorder="1" applyProtection="1">
      <protection locked="0" hidden="1"/>
    </xf>
    <xf numFmtId="0" fontId="30" fillId="29" borderId="32" xfId="21" applyFont="1" applyFill="1" applyBorder="1" applyProtection="1">
      <protection locked="0"/>
    </xf>
    <xf numFmtId="3" fontId="30" fillId="0" borderId="205" xfId="21" applyNumberFormat="1" applyFont="1" applyBorder="1" applyAlignment="1" applyProtection="1">
      <alignment horizontal="left" vertical="center"/>
      <protection hidden="1"/>
    </xf>
    <xf numFmtId="3" fontId="39" fillId="0" borderId="30" xfId="21" applyNumberFormat="1" applyFont="1" applyBorder="1" applyAlignment="1" applyProtection="1">
      <alignment horizontal="center" vertical="center"/>
      <protection hidden="1"/>
    </xf>
    <xf numFmtId="3" fontId="39" fillId="0" borderId="204" xfId="21" applyNumberFormat="1" applyFont="1" applyBorder="1" applyAlignment="1" applyProtection="1">
      <alignment horizontal="center" vertical="center"/>
      <protection hidden="1"/>
    </xf>
    <xf numFmtId="3" fontId="30" fillId="0" borderId="203" xfId="21" applyNumberFormat="1" applyFont="1" applyBorder="1" applyAlignment="1" applyProtection="1">
      <alignment horizontal="left" vertical="center"/>
      <protection hidden="1"/>
    </xf>
    <xf numFmtId="37" fontId="30" fillId="0" borderId="204" xfId="32" applyNumberFormat="1" applyFont="1" applyBorder="1" applyAlignment="1" applyProtection="1">
      <alignment horizontal="center" vertical="center"/>
      <protection hidden="1"/>
    </xf>
    <xf numFmtId="3" fontId="30" fillId="0" borderId="146" xfId="21" applyNumberFormat="1" applyFont="1" applyBorder="1" applyAlignment="1" applyProtection="1">
      <alignment vertical="center"/>
      <protection hidden="1"/>
    </xf>
    <xf numFmtId="0" fontId="30" fillId="0" borderId="52" xfId="21" applyFont="1" applyBorder="1" applyProtection="1">
      <protection hidden="1"/>
    </xf>
    <xf numFmtId="0" fontId="30" fillId="0" borderId="30" xfId="21" applyFont="1" applyBorder="1" applyProtection="1">
      <protection hidden="1"/>
    </xf>
    <xf numFmtId="0" fontId="30" fillId="0" borderId="52" xfId="21" applyFont="1" applyBorder="1"/>
    <xf numFmtId="3" fontId="39" fillId="0" borderId="203" xfId="21" applyNumberFormat="1" applyFont="1" applyBorder="1" applyAlignment="1" applyProtection="1">
      <alignment horizontal="left" vertical="center"/>
      <protection hidden="1"/>
    </xf>
    <xf numFmtId="3" fontId="30" fillId="0" borderId="30" xfId="21" applyNumberFormat="1" applyFont="1" applyBorder="1" applyAlignment="1" applyProtection="1">
      <alignment horizontal="center" vertical="center"/>
      <protection hidden="1"/>
    </xf>
    <xf numFmtId="0" fontId="30" fillId="0" borderId="204" xfId="21" applyFont="1" applyBorder="1" applyAlignment="1" applyProtection="1">
      <alignment horizontal="center" vertical="center"/>
      <protection hidden="1"/>
    </xf>
    <xf numFmtId="0" fontId="5" fillId="12" borderId="220" xfId="2" applyFill="1" applyBorder="1" applyAlignment="1" applyProtection="1">
      <alignment horizontal="center" vertical="center" wrapText="1"/>
      <protection locked="0"/>
    </xf>
    <xf numFmtId="3" fontId="47" fillId="0" borderId="0" xfId="21" applyNumberFormat="1" applyFont="1" applyProtection="1">
      <protection hidden="1"/>
    </xf>
    <xf numFmtId="0" fontId="39" fillId="0" borderId="79" xfId="21" applyFont="1" applyBorder="1" applyAlignment="1" applyProtection="1">
      <alignment horizontal="center" vertical="center"/>
      <protection hidden="1"/>
    </xf>
    <xf numFmtId="0" fontId="30" fillId="0" borderId="202" xfId="21" applyFont="1" applyBorder="1" applyAlignment="1" applyProtection="1">
      <alignment horizontal="center" vertical="center"/>
      <protection hidden="1"/>
    </xf>
    <xf numFmtId="3" fontId="30" fillId="29" borderId="117" xfId="21" applyNumberFormat="1" applyFont="1" applyFill="1" applyBorder="1" applyAlignment="1" applyProtection="1">
      <alignment horizontal="left"/>
      <protection locked="0"/>
    </xf>
    <xf numFmtId="3" fontId="30" fillId="29" borderId="54" xfId="21" applyNumberFormat="1" applyFont="1" applyFill="1" applyBorder="1" applyAlignment="1" applyProtection="1">
      <alignment horizontal="left"/>
      <protection locked="0"/>
    </xf>
    <xf numFmtId="3" fontId="30" fillId="29" borderId="116" xfId="21" applyNumberFormat="1" applyFont="1" applyFill="1" applyBorder="1" applyAlignment="1" applyProtection="1">
      <alignment horizontal="left"/>
      <protection locked="0"/>
    </xf>
    <xf numFmtId="3" fontId="30" fillId="29" borderId="50" xfId="21" applyNumberFormat="1" applyFont="1" applyFill="1" applyBorder="1" applyAlignment="1" applyProtection="1">
      <alignment horizontal="left"/>
      <protection locked="0"/>
    </xf>
    <xf numFmtId="0" fontId="30" fillId="29" borderId="50" xfId="21" applyFont="1" applyFill="1" applyBorder="1" applyAlignment="1" applyProtection="1">
      <alignment horizontal="left"/>
      <protection locked="0"/>
    </xf>
    <xf numFmtId="0" fontId="63" fillId="0" borderId="71" xfId="21" applyFont="1" applyBorder="1" applyAlignment="1">
      <alignment horizontal="center" vertical="center" wrapText="1"/>
    </xf>
    <xf numFmtId="0" fontId="63" fillId="0" borderId="88" xfId="21" applyFont="1" applyBorder="1" applyAlignment="1">
      <alignment horizontal="center" vertical="center" wrapText="1"/>
    </xf>
    <xf numFmtId="0" fontId="63" fillId="0" borderId="72" xfId="21" applyFont="1" applyBorder="1" applyAlignment="1">
      <alignment horizontal="center" vertical="center" wrapText="1"/>
    </xf>
    <xf numFmtId="49" fontId="62" fillId="29" borderId="11" xfId="27" applyNumberFormat="1" applyFont="1" applyFill="1" applyBorder="1" applyAlignment="1" applyProtection="1">
      <alignment horizontal="center" vertical="center"/>
      <protection locked="0"/>
    </xf>
    <xf numFmtId="49" fontId="62" fillId="29" borderId="10" xfId="27" applyNumberFormat="1" applyFont="1" applyFill="1" applyBorder="1" applyAlignment="1" applyProtection="1">
      <alignment horizontal="center" vertical="center"/>
      <protection locked="0"/>
    </xf>
    <xf numFmtId="49" fontId="62" fillId="29" borderId="9" xfId="27" applyNumberFormat="1" applyFont="1" applyFill="1" applyBorder="1" applyAlignment="1" applyProtection="1">
      <alignment horizontal="center" vertical="center"/>
      <protection locked="0"/>
    </xf>
    <xf numFmtId="0" fontId="64" fillId="15" borderId="82" xfId="27" applyFont="1" applyFill="1" applyBorder="1" applyAlignment="1">
      <alignment horizontal="center" vertical="center"/>
    </xf>
    <xf numFmtId="0" fontId="64" fillId="15" borderId="83" xfId="27" applyFont="1" applyFill="1" applyBorder="1" applyAlignment="1">
      <alignment horizontal="center" vertical="center"/>
    </xf>
    <xf numFmtId="0" fontId="64" fillId="15" borderId="84" xfId="27" applyFont="1" applyFill="1" applyBorder="1" applyAlignment="1">
      <alignment horizontal="center" vertical="center"/>
    </xf>
    <xf numFmtId="0" fontId="64" fillId="15" borderId="85" xfId="27" applyFont="1" applyFill="1" applyBorder="1" applyAlignment="1">
      <alignment horizontal="center" vertical="center"/>
    </xf>
    <xf numFmtId="0" fontId="64" fillId="15" borderId="86" xfId="27" applyFont="1" applyFill="1" applyBorder="1" applyAlignment="1">
      <alignment horizontal="center" vertical="center"/>
    </xf>
    <xf numFmtId="0" fontId="64" fillId="15" borderId="87" xfId="27" applyFont="1" applyFill="1" applyBorder="1" applyAlignment="1">
      <alignment horizontal="center" vertical="center"/>
    </xf>
    <xf numFmtId="0" fontId="63" fillId="16" borderId="71" xfId="21" applyFont="1" applyFill="1" applyBorder="1" applyAlignment="1">
      <alignment horizontal="left" vertical="center" wrapText="1"/>
    </xf>
    <xf numFmtId="0" fontId="63" fillId="16" borderId="72" xfId="21" applyFont="1" applyFill="1" applyBorder="1" applyAlignment="1">
      <alignment horizontal="left" vertical="center" wrapText="1"/>
    </xf>
    <xf numFmtId="0" fontId="8" fillId="0" borderId="18" xfId="27" applyFont="1" applyBorder="1" applyAlignment="1">
      <alignment horizontal="left" vertical="center" wrapText="1"/>
    </xf>
    <xf numFmtId="0" fontId="8" fillId="0" borderId="19" xfId="27" applyFont="1" applyBorder="1" applyAlignment="1">
      <alignment horizontal="left" vertical="center" wrapText="1"/>
    </xf>
    <xf numFmtId="0" fontId="8" fillId="0" borderId="36" xfId="27" applyFont="1" applyBorder="1" applyAlignment="1">
      <alignment horizontal="left" vertical="center" wrapText="1"/>
    </xf>
    <xf numFmtId="0" fontId="8" fillId="0" borderId="38" xfId="27" applyFont="1" applyBorder="1" applyAlignment="1">
      <alignment horizontal="left" vertical="center" wrapText="1"/>
    </xf>
    <xf numFmtId="0" fontId="62" fillId="16" borderId="11" xfId="27" applyFont="1" applyFill="1" applyBorder="1" applyAlignment="1">
      <alignment horizontal="center" vertical="center"/>
    </xf>
    <xf numFmtId="0" fontId="62" fillId="16" borderId="10" xfId="27" applyFont="1" applyFill="1" applyBorder="1" applyAlignment="1">
      <alignment horizontal="center" vertical="center"/>
    </xf>
    <xf numFmtId="0" fontId="8" fillId="0" borderId="9" xfId="27" applyFont="1" applyBorder="1" applyAlignment="1">
      <alignment horizontal="left" vertical="center"/>
    </xf>
    <xf numFmtId="0" fontId="8" fillId="0" borderId="10" xfId="27" applyFont="1" applyBorder="1" applyAlignment="1">
      <alignment horizontal="left" vertical="center"/>
    </xf>
    <xf numFmtId="0" fontId="75" fillId="0" borderId="89" xfId="27" applyFont="1" applyBorder="1" applyAlignment="1">
      <alignment horizontal="center" vertical="center"/>
    </xf>
    <xf numFmtId="3" fontId="30" fillId="28" borderId="81" xfId="21" applyNumberFormat="1" applyFont="1" applyFill="1" applyBorder="1" applyAlignment="1" applyProtection="1">
      <alignment horizontal="left" vertical="center"/>
      <protection locked="0" hidden="1"/>
    </xf>
    <xf numFmtId="0" fontId="30" fillId="28" borderId="81" xfId="21" applyFont="1" applyFill="1" applyBorder="1" applyAlignment="1" applyProtection="1">
      <alignment horizontal="left" vertical="center"/>
      <protection locked="0" hidden="1"/>
    </xf>
    <xf numFmtId="9" fontId="51" fillId="0" borderId="0" xfId="30" applyFont="1" applyFill="1" applyBorder="1" applyAlignment="1" applyProtection="1">
      <alignment horizontal="center" vertical="center" wrapText="1"/>
      <protection hidden="1"/>
    </xf>
    <xf numFmtId="3" fontId="39" fillId="0" borderId="184" xfId="21" applyNumberFormat="1" applyFont="1" applyBorder="1" applyAlignment="1" applyProtection="1">
      <alignment horizontal="left" vertical="center"/>
      <protection hidden="1"/>
    </xf>
    <xf numFmtId="3" fontId="39" fillId="0" borderId="73" xfId="21" applyNumberFormat="1" applyFont="1" applyBorder="1" applyAlignment="1" applyProtection="1">
      <alignment horizontal="left" vertical="center"/>
      <protection hidden="1"/>
    </xf>
    <xf numFmtId="3" fontId="39" fillId="0" borderId="185" xfId="21" applyNumberFormat="1" applyFont="1" applyBorder="1" applyAlignment="1" applyProtection="1">
      <alignment horizontal="left" vertical="center"/>
      <protection hidden="1"/>
    </xf>
    <xf numFmtId="0" fontId="39" fillId="13" borderId="103" xfId="0" applyFont="1" applyFill="1" applyBorder="1" applyAlignment="1" applyProtection="1">
      <alignment horizontal="center" vertical="center" wrapText="1"/>
      <protection hidden="1"/>
    </xf>
    <xf numFmtId="0" fontId="39" fillId="13" borderId="104" xfId="0" applyFont="1" applyFill="1" applyBorder="1" applyAlignment="1" applyProtection="1">
      <alignment horizontal="center" vertical="center" wrapText="1"/>
      <protection hidden="1"/>
    </xf>
    <xf numFmtId="3" fontId="39" fillId="0" borderId="240" xfId="21" applyNumberFormat="1" applyFont="1" applyBorder="1" applyAlignment="1" applyProtection="1">
      <alignment horizontal="left" vertical="center"/>
      <protection hidden="1"/>
    </xf>
    <xf numFmtId="3" fontId="39" fillId="0" borderId="241" xfId="21" applyNumberFormat="1" applyFont="1" applyBorder="1" applyAlignment="1" applyProtection="1">
      <alignment horizontal="left" vertical="center"/>
      <protection hidden="1"/>
    </xf>
    <xf numFmtId="3" fontId="30" fillId="28" borderId="52" xfId="21" applyNumberFormat="1" applyFont="1" applyFill="1" applyBorder="1" applyAlignment="1" applyProtection="1">
      <alignment horizontal="left" vertical="center"/>
      <protection locked="0" hidden="1"/>
    </xf>
    <xf numFmtId="0" fontId="30" fillId="28" borderId="52" xfId="21" applyFont="1" applyFill="1" applyBorder="1" applyAlignment="1" applyProtection="1">
      <alignment horizontal="left" vertical="center"/>
      <protection locked="0" hidden="1"/>
    </xf>
    <xf numFmtId="3" fontId="5" fillId="0" borderId="221" xfId="2" applyNumberFormat="1" applyFill="1" applyBorder="1" applyAlignment="1" applyProtection="1">
      <alignment horizontal="center"/>
      <protection locked="0" hidden="1"/>
    </xf>
    <xf numFmtId="3" fontId="5" fillId="0" borderId="222" xfId="2" applyNumberFormat="1" applyFill="1" applyBorder="1" applyAlignment="1" applyProtection="1">
      <alignment horizontal="center"/>
      <protection locked="0" hidden="1"/>
    </xf>
    <xf numFmtId="3" fontId="5" fillId="0" borderId="223" xfId="2" applyNumberFormat="1" applyFill="1" applyBorder="1" applyAlignment="1" applyProtection="1">
      <alignment horizontal="center"/>
      <protection locked="0" hidden="1"/>
    </xf>
    <xf numFmtId="3" fontId="5" fillId="0" borderId="224" xfId="2" applyNumberFormat="1" applyFill="1" applyBorder="1" applyAlignment="1" applyProtection="1">
      <alignment horizontal="center"/>
      <protection locked="0" hidden="1"/>
    </xf>
    <xf numFmtId="3" fontId="39" fillId="0" borderId="239" xfId="21" applyNumberFormat="1" applyFont="1" applyBorder="1" applyAlignment="1" applyProtection="1">
      <alignment vertical="center"/>
      <protection hidden="1"/>
    </xf>
    <xf numFmtId="3" fontId="39" fillId="0" borderId="70" xfId="21" applyNumberFormat="1" applyFont="1" applyBorder="1" applyAlignment="1" applyProtection="1">
      <alignment vertical="center"/>
      <protection hidden="1"/>
    </xf>
    <xf numFmtId="3" fontId="30" fillId="28" borderId="30" xfId="21" applyNumberFormat="1" applyFont="1" applyFill="1" applyBorder="1" applyAlignment="1" applyProtection="1">
      <alignment horizontal="left" vertical="center"/>
      <protection locked="0" hidden="1"/>
    </xf>
    <xf numFmtId="3" fontId="30" fillId="28" borderId="32" xfId="21" applyNumberFormat="1" applyFont="1" applyFill="1" applyBorder="1" applyAlignment="1" applyProtection="1">
      <alignment horizontal="left" vertical="center"/>
      <protection locked="0" hidden="1"/>
    </xf>
    <xf numFmtId="3" fontId="49" fillId="0" borderId="16" xfId="21" applyNumberFormat="1" applyFont="1" applyBorder="1" applyAlignment="1" applyProtection="1">
      <alignment horizontal="center"/>
      <protection hidden="1"/>
    </xf>
    <xf numFmtId="3" fontId="49" fillId="0" borderId="59" xfId="21" applyNumberFormat="1" applyFont="1" applyBorder="1" applyAlignment="1" applyProtection="1">
      <alignment horizontal="center"/>
      <protection hidden="1"/>
    </xf>
    <xf numFmtId="3" fontId="49" fillId="0" borderId="17" xfId="21" applyNumberFormat="1" applyFont="1" applyBorder="1" applyAlignment="1" applyProtection="1">
      <alignment horizontal="center"/>
      <protection hidden="1"/>
    </xf>
    <xf numFmtId="3" fontId="39" fillId="0" borderId="61" xfId="21" applyNumberFormat="1" applyFont="1" applyBorder="1" applyAlignment="1" applyProtection="1">
      <alignment vertical="center"/>
      <protection hidden="1"/>
    </xf>
    <xf numFmtId="3" fontId="39" fillId="13" borderId="154" xfId="21" applyNumberFormat="1" applyFont="1" applyFill="1" applyBorder="1" applyAlignment="1" applyProtection="1">
      <alignment horizontal="center" vertical="center" wrapText="1"/>
      <protection hidden="1"/>
    </xf>
    <xf numFmtId="3" fontId="39" fillId="13" borderId="155" xfId="21" applyNumberFormat="1" applyFont="1" applyFill="1" applyBorder="1" applyAlignment="1" applyProtection="1">
      <alignment horizontal="center" vertical="center" wrapText="1"/>
      <protection hidden="1"/>
    </xf>
    <xf numFmtId="0" fontId="39" fillId="13" borderId="131" xfId="21" applyFont="1" applyFill="1" applyBorder="1" applyAlignment="1" applyProtection="1">
      <alignment horizontal="center" vertical="center"/>
      <protection hidden="1"/>
    </xf>
    <xf numFmtId="0" fontId="39" fillId="13" borderId="190" xfId="21" applyFont="1" applyFill="1" applyBorder="1" applyAlignment="1" applyProtection="1">
      <alignment horizontal="center" vertical="center"/>
      <protection hidden="1"/>
    </xf>
    <xf numFmtId="0" fontId="39" fillId="13" borderId="191" xfId="21" applyFont="1" applyFill="1" applyBorder="1" applyAlignment="1" applyProtection="1">
      <alignment horizontal="center" vertical="center"/>
      <protection hidden="1"/>
    </xf>
    <xf numFmtId="0" fontId="39" fillId="13" borderId="192" xfId="21" applyFont="1" applyFill="1" applyBorder="1" applyAlignment="1" applyProtection="1">
      <alignment horizontal="center" vertical="center"/>
      <protection hidden="1"/>
    </xf>
    <xf numFmtId="3" fontId="39" fillId="12" borderId="160" xfId="21" applyNumberFormat="1" applyFont="1" applyFill="1" applyBorder="1" applyAlignment="1" applyProtection="1">
      <alignment horizontal="center" vertical="center" wrapText="1"/>
      <protection hidden="1"/>
    </xf>
    <xf numFmtId="3" fontId="39" fillId="12" borderId="161" xfId="21" applyNumberFormat="1" applyFont="1" applyFill="1" applyBorder="1" applyAlignment="1" applyProtection="1">
      <alignment horizontal="center" vertical="center" wrapText="1"/>
      <protection hidden="1"/>
    </xf>
    <xf numFmtId="3" fontId="39" fillId="12" borderId="162" xfId="21" applyNumberFormat="1" applyFont="1" applyFill="1" applyBorder="1" applyAlignment="1" applyProtection="1">
      <alignment horizontal="center" vertical="center" wrapText="1"/>
      <protection hidden="1"/>
    </xf>
    <xf numFmtId="0" fontId="39" fillId="13" borderId="160" xfId="21" applyFont="1" applyFill="1" applyBorder="1" applyAlignment="1" applyProtection="1">
      <alignment horizontal="center" vertical="center" wrapText="1"/>
      <protection hidden="1"/>
    </xf>
    <xf numFmtId="0" fontId="39" fillId="13" borderId="161" xfId="21" applyFont="1" applyFill="1" applyBorder="1" applyAlignment="1" applyProtection="1">
      <alignment horizontal="center" vertical="center" wrapText="1"/>
      <protection hidden="1"/>
    </xf>
    <xf numFmtId="0" fontId="39" fillId="13" borderId="162" xfId="21" applyFont="1" applyFill="1" applyBorder="1" applyAlignment="1" applyProtection="1">
      <alignment horizontal="center" vertical="center" wrapText="1"/>
      <protection hidden="1"/>
    </xf>
    <xf numFmtId="0" fontId="56" fillId="0" borderId="0" xfId="21" applyFont="1" applyAlignment="1" applyProtection="1">
      <alignment vertical="top" wrapText="1"/>
      <protection hidden="1"/>
    </xf>
    <xf numFmtId="3" fontId="39" fillId="0" borderId="0" xfId="21" applyNumberFormat="1" applyFont="1" applyAlignment="1" applyProtection="1">
      <alignment horizontal="right" vertical="center"/>
      <protection hidden="1"/>
    </xf>
    <xf numFmtId="3" fontId="77" fillId="0" borderId="242" xfId="2" applyNumberFormat="1" applyFont="1" applyFill="1" applyBorder="1" applyAlignment="1" applyProtection="1">
      <alignment horizontal="center" vertical="center"/>
    </xf>
    <xf numFmtId="3" fontId="39" fillId="0" borderId="240" xfId="21" applyNumberFormat="1" applyFont="1" applyBorder="1" applyAlignment="1" applyProtection="1">
      <alignment horizontal="left"/>
      <protection hidden="1"/>
    </xf>
    <xf numFmtId="3" fontId="39" fillId="0" borderId="242" xfId="21" applyNumberFormat="1" applyFont="1" applyBorder="1" applyAlignment="1" applyProtection="1">
      <alignment horizontal="left"/>
      <protection hidden="1"/>
    </xf>
    <xf numFmtId="3" fontId="39" fillId="0" borderId="241" xfId="21" applyNumberFormat="1" applyFont="1" applyBorder="1" applyAlignment="1" applyProtection="1">
      <alignment horizontal="left"/>
      <protection hidden="1"/>
    </xf>
    <xf numFmtId="0" fontId="95" fillId="15" borderId="0" xfId="21" applyFont="1" applyFill="1" applyAlignment="1" applyProtection="1">
      <alignment horizontal="left" vertical="center" wrapText="1" indent="10"/>
      <protection hidden="1"/>
    </xf>
    <xf numFmtId="3" fontId="40" fillId="0" borderId="91" xfId="21" applyNumberFormat="1" applyFont="1" applyBorder="1" applyAlignment="1" applyProtection="1">
      <alignment horizontal="left" vertical="center"/>
      <protection hidden="1"/>
    </xf>
    <xf numFmtId="0" fontId="10" fillId="0" borderId="91" xfId="21" applyBorder="1" applyAlignment="1" applyProtection="1">
      <alignment horizontal="left"/>
      <protection hidden="1"/>
    </xf>
    <xf numFmtId="0" fontId="10" fillId="0" borderId="92" xfId="21" applyBorder="1" applyProtection="1">
      <protection hidden="1"/>
    </xf>
    <xf numFmtId="3" fontId="40" fillId="0" borderId="92" xfId="21" applyNumberFormat="1" applyFont="1" applyBorder="1" applyAlignment="1" applyProtection="1">
      <alignment horizontal="center"/>
      <protection hidden="1"/>
    </xf>
    <xf numFmtId="3" fontId="10" fillId="0" borderId="92" xfId="21" applyNumberFormat="1" applyBorder="1" applyAlignment="1" applyProtection="1">
      <alignment horizontal="center"/>
      <protection hidden="1"/>
    </xf>
    <xf numFmtId="3" fontId="40" fillId="0" borderId="244" xfId="21" applyNumberFormat="1" applyFont="1" applyBorder="1" applyAlignment="1" applyProtection="1">
      <alignment horizontal="left" vertical="center"/>
      <protection hidden="1"/>
    </xf>
    <xf numFmtId="0" fontId="10" fillId="0" borderId="244" xfId="21" applyBorder="1" applyAlignment="1" applyProtection="1">
      <alignment horizontal="left"/>
      <protection hidden="1"/>
    </xf>
    <xf numFmtId="0" fontId="10" fillId="0" borderId="245" xfId="21" applyBorder="1" applyAlignment="1" applyProtection="1">
      <alignment vertical="top"/>
      <protection hidden="1"/>
    </xf>
    <xf numFmtId="0" fontId="10" fillId="0" borderId="245" xfId="21" applyBorder="1" applyProtection="1">
      <protection hidden="1"/>
    </xf>
    <xf numFmtId="3" fontId="10" fillId="29" borderId="245" xfId="21" applyNumberFormat="1" applyFill="1" applyBorder="1" applyAlignment="1" applyProtection="1">
      <alignment horizontal="left" vertical="top"/>
      <protection locked="0"/>
    </xf>
    <xf numFmtId="0" fontId="10" fillId="29" borderId="245" xfId="21" applyFill="1" applyBorder="1" applyProtection="1">
      <protection locked="0"/>
    </xf>
    <xf numFmtId="0" fontId="10" fillId="0" borderId="92" xfId="21" applyBorder="1" applyAlignment="1" applyProtection="1">
      <alignment vertical="top"/>
      <protection hidden="1"/>
    </xf>
    <xf numFmtId="0" fontId="10" fillId="29" borderId="92" xfId="21" applyFill="1" applyBorder="1" applyAlignment="1" applyProtection="1">
      <alignment horizontal="left" vertical="top"/>
      <protection locked="0"/>
    </xf>
    <xf numFmtId="0" fontId="10" fillId="29" borderId="92" xfId="21" applyFill="1" applyBorder="1" applyProtection="1">
      <protection locked="0"/>
    </xf>
    <xf numFmtId="3" fontId="10" fillId="28" borderId="245" xfId="21" applyNumberFormat="1" applyFill="1" applyBorder="1" applyAlignment="1" applyProtection="1">
      <alignment horizontal="left" vertical="top"/>
      <protection locked="0"/>
    </xf>
    <xf numFmtId="0" fontId="10" fillId="28" borderId="245" xfId="21" applyFill="1" applyBorder="1" applyProtection="1">
      <protection locked="0"/>
    </xf>
    <xf numFmtId="0" fontId="10" fillId="0" borderId="0" xfId="21" applyAlignment="1" applyProtection="1">
      <alignment horizontal="center" vertical="center" wrapText="1"/>
      <protection hidden="1"/>
    </xf>
    <xf numFmtId="0" fontId="39" fillId="0" borderId="0" xfId="21" applyFont="1" applyAlignment="1" applyProtection="1">
      <alignment horizontal="center" vertical="center"/>
      <protection hidden="1"/>
    </xf>
    <xf numFmtId="0" fontId="68" fillId="0" borderId="0" xfId="21" applyFont="1" applyAlignment="1" applyProtection="1">
      <alignment horizontal="center" vertical="center"/>
      <protection hidden="1"/>
    </xf>
    <xf numFmtId="3" fontId="40" fillId="0" borderId="96" xfId="21" applyNumberFormat="1" applyFont="1" applyBorder="1" applyAlignment="1" applyProtection="1">
      <alignment horizontal="left" vertical="center"/>
      <protection hidden="1"/>
    </xf>
    <xf numFmtId="0" fontId="10" fillId="0" borderId="96" xfId="21" applyBorder="1" applyProtection="1">
      <protection hidden="1"/>
    </xf>
    <xf numFmtId="0" fontId="59" fillId="0" borderId="97" xfId="21" applyFont="1" applyBorder="1" applyProtection="1">
      <protection hidden="1"/>
    </xf>
    <xf numFmtId="0" fontId="10" fillId="0" borderId="97" xfId="21" applyBorder="1" applyProtection="1">
      <protection hidden="1"/>
    </xf>
    <xf numFmtId="3" fontId="40" fillId="0" borderId="97" xfId="21" applyNumberFormat="1" applyFont="1" applyBorder="1" applyAlignment="1" applyProtection="1">
      <alignment horizontal="center"/>
      <protection hidden="1"/>
    </xf>
    <xf numFmtId="3" fontId="10" fillId="0" borderId="97" xfId="21" applyNumberFormat="1" applyBorder="1" applyAlignment="1" applyProtection="1">
      <alignment horizontal="center"/>
      <protection hidden="1"/>
    </xf>
    <xf numFmtId="0" fontId="66" fillId="0" borderId="0" xfId="21" applyFont="1" applyAlignment="1" applyProtection="1">
      <alignment wrapText="1"/>
      <protection hidden="1"/>
    </xf>
    <xf numFmtId="0" fontId="37" fillId="7" borderId="39" xfId="21" applyFont="1" applyFill="1" applyBorder="1" applyAlignment="1">
      <alignment horizontal="left" indent="3"/>
    </xf>
    <xf numFmtId="0" fontId="37" fillId="7" borderId="40" xfId="21" applyFont="1" applyFill="1" applyBorder="1" applyAlignment="1">
      <alignment horizontal="left" indent="3"/>
    </xf>
    <xf numFmtId="0" fontId="37" fillId="7" borderId="41" xfId="21" applyFont="1" applyFill="1" applyBorder="1" applyAlignment="1">
      <alignment horizontal="left" indent="3"/>
    </xf>
    <xf numFmtId="0" fontId="37" fillId="8" borderId="39" xfId="21" applyFont="1" applyFill="1" applyBorder="1" applyAlignment="1">
      <alignment horizontal="left" indent="3"/>
    </xf>
    <xf numFmtId="0" fontId="37" fillId="8" borderId="40" xfId="21" applyFont="1" applyFill="1" applyBorder="1" applyAlignment="1">
      <alignment horizontal="left" indent="3"/>
    </xf>
    <xf numFmtId="0" fontId="37" fillId="8" borderId="41" xfId="21" applyFont="1" applyFill="1" applyBorder="1" applyAlignment="1">
      <alignment horizontal="left" indent="3"/>
    </xf>
    <xf numFmtId="0" fontId="37" fillId="9" borderId="39" xfId="21" applyFont="1" applyFill="1" applyBorder="1" applyAlignment="1">
      <alignment horizontal="left" indent="3"/>
    </xf>
    <xf numFmtId="0" fontId="37" fillId="9" borderId="40" xfId="21" applyFont="1" applyFill="1" applyBorder="1" applyAlignment="1">
      <alignment horizontal="left" indent="3"/>
    </xf>
    <xf numFmtId="0" fontId="37" fillId="9" borderId="41" xfId="21" applyFont="1" applyFill="1" applyBorder="1" applyAlignment="1">
      <alignment horizontal="left" indent="3"/>
    </xf>
    <xf numFmtId="3" fontId="31" fillId="28" borderId="26" xfId="21" applyNumberFormat="1" applyFont="1" applyFill="1" applyBorder="1" applyAlignment="1" applyProtection="1">
      <alignment horizontal="left" vertical="center"/>
      <protection locked="0"/>
    </xf>
    <xf numFmtId="0" fontId="49" fillId="28" borderId="22" xfId="21" applyFont="1" applyFill="1" applyBorder="1" applyAlignment="1" applyProtection="1">
      <alignment horizontal="left"/>
      <protection locked="0"/>
    </xf>
    <xf numFmtId="0" fontId="49" fillId="28" borderId="23" xfId="21" applyFont="1" applyFill="1" applyBorder="1" applyAlignment="1" applyProtection="1">
      <alignment horizontal="left"/>
      <protection locked="0"/>
    </xf>
    <xf numFmtId="0" fontId="49" fillId="28" borderId="24" xfId="21" applyFont="1" applyFill="1" applyBorder="1" applyAlignment="1" applyProtection="1">
      <alignment horizontal="left"/>
      <protection locked="0"/>
    </xf>
    <xf numFmtId="3" fontId="31" fillId="28" borderId="22" xfId="21" applyNumberFormat="1" applyFont="1" applyFill="1" applyBorder="1" applyAlignment="1" applyProtection="1">
      <alignment horizontal="left" vertical="center"/>
      <protection locked="0"/>
    </xf>
    <xf numFmtId="3" fontId="31" fillId="28" borderId="23" xfId="21" applyNumberFormat="1" applyFont="1" applyFill="1" applyBorder="1" applyAlignment="1" applyProtection="1">
      <alignment horizontal="left" vertical="center"/>
      <protection locked="0"/>
    </xf>
    <xf numFmtId="3" fontId="31" fillId="28" borderId="24" xfId="21" applyNumberFormat="1" applyFont="1" applyFill="1" applyBorder="1" applyAlignment="1" applyProtection="1">
      <alignment horizontal="left" vertical="center"/>
      <protection locked="0"/>
    </xf>
    <xf numFmtId="171" fontId="31" fillId="28" borderId="251" xfId="21" applyNumberFormat="1" applyFont="1" applyFill="1" applyBorder="1" applyAlignment="1" applyProtection="1">
      <alignment horizontal="left" vertical="center"/>
      <protection locked="0"/>
    </xf>
    <xf numFmtId="171" fontId="31" fillId="28" borderId="29" xfId="21" applyNumberFormat="1" applyFont="1" applyFill="1" applyBorder="1" applyAlignment="1" applyProtection="1">
      <alignment horizontal="left" vertical="center"/>
      <protection locked="0"/>
    </xf>
    <xf numFmtId="171" fontId="31" fillId="28" borderId="252" xfId="21" applyNumberFormat="1" applyFont="1" applyFill="1" applyBorder="1" applyAlignment="1" applyProtection="1">
      <alignment horizontal="left" vertical="center"/>
      <protection locked="0"/>
    </xf>
    <xf numFmtId="3" fontId="31" fillId="29" borderId="26" xfId="21" applyNumberFormat="1" applyFont="1" applyFill="1" applyBorder="1" applyAlignment="1" applyProtection="1">
      <alignment horizontal="left" vertical="center"/>
      <protection locked="0"/>
    </xf>
    <xf numFmtId="171" fontId="31" fillId="29" borderId="251" xfId="21" applyNumberFormat="1" applyFont="1" applyFill="1" applyBorder="1" applyAlignment="1" applyProtection="1">
      <alignment horizontal="left" vertical="center"/>
      <protection locked="0"/>
    </xf>
    <xf numFmtId="171" fontId="31" fillId="29" borderId="29" xfId="21" applyNumberFormat="1" applyFont="1" applyFill="1" applyBorder="1" applyAlignment="1" applyProtection="1">
      <alignment horizontal="left" vertical="center"/>
      <protection locked="0"/>
    </xf>
    <xf numFmtId="171" fontId="31" fillId="29" borderId="252" xfId="21" applyNumberFormat="1" applyFont="1" applyFill="1" applyBorder="1" applyAlignment="1" applyProtection="1">
      <alignment horizontal="left" vertical="center"/>
      <protection locked="0"/>
    </xf>
    <xf numFmtId="172" fontId="31" fillId="28" borderId="22" xfId="21" applyNumberFormat="1" applyFont="1" applyFill="1" applyBorder="1" applyAlignment="1" applyProtection="1">
      <alignment horizontal="left" vertical="center"/>
      <protection locked="0" hidden="1"/>
    </xf>
    <xf numFmtId="172" fontId="31" fillId="28" borderId="23" xfId="21" applyNumberFormat="1" applyFont="1" applyFill="1" applyBorder="1" applyAlignment="1" applyProtection="1">
      <alignment horizontal="left" vertical="center"/>
      <protection locked="0" hidden="1"/>
    </xf>
    <xf numFmtId="172" fontId="31" fillId="28" borderId="24" xfId="21" applyNumberFormat="1" applyFont="1" applyFill="1" applyBorder="1" applyAlignment="1" applyProtection="1">
      <alignment horizontal="left" vertical="center"/>
      <protection locked="0" hidden="1"/>
    </xf>
    <xf numFmtId="171" fontId="31" fillId="29" borderId="253" xfId="21" applyNumberFormat="1" applyFont="1" applyFill="1" applyBorder="1" applyAlignment="1" applyProtection="1">
      <alignment horizontal="left" vertical="center"/>
      <protection locked="0"/>
    </xf>
    <xf numFmtId="0" fontId="31" fillId="29" borderId="26" xfId="21" applyFont="1" applyFill="1" applyBorder="1" applyAlignment="1" applyProtection="1">
      <alignment horizontal="left" vertical="center"/>
      <protection locked="0"/>
    </xf>
    <xf numFmtId="0" fontId="31" fillId="29" borderId="251" xfId="21" applyFont="1" applyFill="1" applyBorder="1" applyAlignment="1" applyProtection="1">
      <alignment horizontal="left" vertical="center"/>
      <protection locked="0"/>
    </xf>
    <xf numFmtId="0" fontId="31" fillId="29" borderId="253" xfId="21" applyFont="1" applyFill="1" applyBorder="1" applyAlignment="1" applyProtection="1">
      <alignment horizontal="left" vertical="center"/>
      <protection locked="0"/>
    </xf>
    <xf numFmtId="0" fontId="31" fillId="29" borderId="252" xfId="21" applyFont="1" applyFill="1" applyBorder="1" applyAlignment="1" applyProtection="1">
      <alignment horizontal="left" vertical="center"/>
      <protection locked="0"/>
    </xf>
    <xf numFmtId="0" fontId="31" fillId="29" borderId="254" xfId="21" applyFont="1" applyFill="1" applyBorder="1" applyAlignment="1" applyProtection="1">
      <alignment horizontal="left" vertical="center"/>
      <protection locked="0"/>
    </xf>
    <xf numFmtId="0" fontId="31" fillId="29" borderId="225" xfId="21" applyFont="1" applyFill="1" applyBorder="1" applyAlignment="1" applyProtection="1">
      <alignment horizontal="left" vertical="center"/>
      <protection locked="0"/>
    </xf>
    <xf numFmtId="0" fontId="31" fillId="29" borderId="226" xfId="21" applyFont="1" applyFill="1" applyBorder="1" applyAlignment="1" applyProtection="1">
      <alignment horizontal="left" vertical="center"/>
      <protection locked="0"/>
    </xf>
    <xf numFmtId="0" fontId="31" fillId="0" borderId="0" xfId="21" applyFont="1" applyAlignment="1" applyProtection="1">
      <alignment vertical="center" wrapText="1"/>
      <protection hidden="1"/>
    </xf>
    <xf numFmtId="0" fontId="90" fillId="29" borderId="22" xfId="2" quotePrefix="1" applyFont="1" applyFill="1" applyBorder="1" applyAlignment="1" applyProtection="1">
      <alignment vertical="center"/>
      <protection locked="0"/>
    </xf>
    <xf numFmtId="0" fontId="90" fillId="29" borderId="23" xfId="2" quotePrefix="1" applyFont="1" applyFill="1" applyBorder="1" applyAlignment="1" applyProtection="1">
      <alignment vertical="center"/>
      <protection locked="0"/>
    </xf>
    <xf numFmtId="0" fontId="90" fillId="29" borderId="24" xfId="2" quotePrefix="1" applyFont="1" applyFill="1" applyBorder="1" applyAlignment="1" applyProtection="1">
      <alignment vertical="center"/>
      <protection locked="0"/>
    </xf>
    <xf numFmtId="172" fontId="49" fillId="28" borderId="22" xfId="21" applyNumberFormat="1" applyFont="1" applyFill="1" applyBorder="1" applyAlignment="1" applyProtection="1">
      <alignment horizontal="left" vertical="center"/>
      <protection locked="0" hidden="1"/>
    </xf>
    <xf numFmtId="172" fontId="49" fillId="28" borderId="23" xfId="21" applyNumberFormat="1" applyFont="1" applyFill="1" applyBorder="1" applyAlignment="1" applyProtection="1">
      <alignment horizontal="left" vertical="center"/>
      <protection locked="0" hidden="1"/>
    </xf>
    <xf numFmtId="172" fontId="49" fillId="28" borderId="24" xfId="21" applyNumberFormat="1" applyFont="1" applyFill="1" applyBorder="1" applyAlignment="1" applyProtection="1">
      <alignment horizontal="left" vertical="center"/>
      <protection locked="0" hidden="1"/>
    </xf>
    <xf numFmtId="0" fontId="93" fillId="0" borderId="23" xfId="21" applyFont="1" applyBorder="1" applyAlignment="1" applyProtection="1">
      <alignment horizontal="left" vertical="top" wrapText="1"/>
      <protection hidden="1"/>
    </xf>
    <xf numFmtId="0" fontId="31" fillId="28" borderId="26" xfId="21" applyFont="1" applyFill="1" applyBorder="1" applyAlignment="1" applyProtection="1">
      <alignment horizontal="left" vertical="top" wrapText="1"/>
      <protection locked="0"/>
    </xf>
    <xf numFmtId="0" fontId="31" fillId="29" borderId="22" xfId="21" applyFont="1" applyFill="1" applyBorder="1" applyAlignment="1" applyProtection="1">
      <alignment vertical="center"/>
      <protection locked="0"/>
    </xf>
    <xf numFmtId="0" fontId="31" fillId="29" borderId="24" xfId="21" applyFont="1" applyFill="1" applyBorder="1" applyAlignment="1" applyProtection="1">
      <alignment vertical="center"/>
      <protection locked="0"/>
    </xf>
    <xf numFmtId="0" fontId="31" fillId="29" borderId="23" xfId="21" applyFont="1" applyFill="1" applyBorder="1" applyAlignment="1" applyProtection="1">
      <alignment vertical="center"/>
      <protection locked="0"/>
    </xf>
    <xf numFmtId="0" fontId="31" fillId="29" borderId="103" xfId="21" applyFont="1" applyFill="1" applyBorder="1" applyAlignment="1" applyProtection="1">
      <alignment horizontal="left" vertical="top" wrapText="1"/>
      <protection locked="0"/>
    </xf>
    <xf numFmtId="0" fontId="31" fillId="29" borderId="33" xfId="21" applyFont="1" applyFill="1" applyBorder="1" applyAlignment="1" applyProtection="1">
      <alignment horizontal="left" vertical="top" wrapText="1"/>
      <protection locked="0"/>
    </xf>
    <xf numFmtId="0" fontId="31" fillId="29" borderId="104" xfId="21" applyFont="1" applyFill="1" applyBorder="1" applyAlignment="1" applyProtection="1">
      <alignment horizontal="left" vertical="top" wrapText="1"/>
      <protection locked="0"/>
    </xf>
    <xf numFmtId="0" fontId="31" fillId="29" borderId="163" xfId="21" applyFont="1" applyFill="1" applyBorder="1" applyAlignment="1" applyProtection="1">
      <alignment horizontal="left" vertical="top" wrapText="1"/>
      <protection locked="0"/>
    </xf>
    <xf numFmtId="0" fontId="31" fillId="29" borderId="0" xfId="21" applyFont="1" applyFill="1" applyAlignment="1" applyProtection="1">
      <alignment horizontal="left" vertical="top" wrapText="1"/>
      <protection locked="0"/>
    </xf>
    <xf numFmtId="0" fontId="31" fillId="29" borderId="164" xfId="21" applyFont="1" applyFill="1" applyBorder="1" applyAlignment="1" applyProtection="1">
      <alignment horizontal="left" vertical="top" wrapText="1"/>
      <protection locked="0"/>
    </xf>
    <xf numFmtId="0" fontId="31" fillId="29" borderId="105" xfId="21" applyFont="1" applyFill="1" applyBorder="1" applyAlignment="1" applyProtection="1">
      <alignment horizontal="left" vertical="top" wrapText="1"/>
      <protection locked="0"/>
    </xf>
    <xf numFmtId="0" fontId="31" fillId="29" borderId="106" xfId="21" applyFont="1" applyFill="1" applyBorder="1" applyAlignment="1" applyProtection="1">
      <alignment horizontal="left" vertical="top" wrapText="1"/>
      <protection locked="0"/>
    </xf>
    <xf numFmtId="0" fontId="31" fillId="29" borderId="107" xfId="21" applyFont="1" applyFill="1" applyBorder="1" applyAlignment="1" applyProtection="1">
      <alignment horizontal="left" vertical="top" wrapText="1"/>
      <protection locked="0"/>
    </xf>
    <xf numFmtId="49" fontId="31" fillId="29" borderId="22" xfId="21" quotePrefix="1" applyNumberFormat="1" applyFont="1" applyFill="1" applyBorder="1" applyAlignment="1" applyProtection="1">
      <alignment vertical="center"/>
      <protection locked="0"/>
    </xf>
    <xf numFmtId="49" fontId="31" fillId="29" borderId="23" xfId="21" quotePrefix="1" applyNumberFormat="1" applyFont="1" applyFill="1" applyBorder="1" applyAlignment="1" applyProtection="1">
      <alignment vertical="center"/>
      <protection locked="0"/>
    </xf>
    <xf numFmtId="49" fontId="31" fillId="29" borderId="24" xfId="21" quotePrefix="1" applyNumberFormat="1" applyFont="1" applyFill="1" applyBorder="1" applyAlignment="1" applyProtection="1">
      <alignment vertical="center"/>
      <protection locked="0"/>
    </xf>
    <xf numFmtId="49" fontId="31" fillId="29" borderId="22" xfId="21" applyNumberFormat="1" applyFont="1" applyFill="1" applyBorder="1" applyAlignment="1" applyProtection="1">
      <alignment horizontal="left" vertical="center"/>
      <protection locked="0"/>
    </xf>
    <xf numFmtId="49" fontId="31" fillId="29" borderId="23" xfId="21" applyNumberFormat="1" applyFont="1" applyFill="1" applyBorder="1" applyAlignment="1" applyProtection="1">
      <alignment horizontal="left" vertical="center"/>
      <protection locked="0"/>
    </xf>
    <xf numFmtId="49" fontId="31" fillId="29" borderId="24" xfId="21" applyNumberFormat="1" applyFont="1" applyFill="1" applyBorder="1" applyAlignment="1" applyProtection="1">
      <alignment horizontal="left" vertical="center"/>
      <protection locked="0"/>
    </xf>
    <xf numFmtId="0" fontId="31" fillId="28" borderId="22" xfId="21" applyFont="1" applyFill="1" applyBorder="1" applyAlignment="1" applyProtection="1">
      <alignment horizontal="left" vertical="top" wrapText="1"/>
      <protection locked="0"/>
    </xf>
    <xf numFmtId="0" fontId="31" fillId="28" borderId="23" xfId="21" applyFont="1" applyFill="1" applyBorder="1" applyAlignment="1" applyProtection="1">
      <alignment horizontal="left" vertical="top" wrapText="1"/>
      <protection locked="0"/>
    </xf>
    <xf numFmtId="0" fontId="31" fillId="28" borderId="24" xfId="21" applyFont="1" applyFill="1" applyBorder="1" applyAlignment="1" applyProtection="1">
      <alignment horizontal="left" vertical="top" wrapText="1"/>
      <protection locked="0"/>
    </xf>
    <xf numFmtId="0" fontId="31" fillId="29" borderId="22" xfId="21" applyFont="1" applyFill="1" applyBorder="1" applyAlignment="1" applyProtection="1">
      <alignment horizontal="left" vertical="center"/>
      <protection locked="0"/>
    </xf>
    <xf numFmtId="0" fontId="31" fillId="29" borderId="23" xfId="21" applyFont="1" applyFill="1" applyBorder="1" applyAlignment="1" applyProtection="1">
      <alignment horizontal="left" vertical="center"/>
      <protection locked="0"/>
    </xf>
    <xf numFmtId="0" fontId="31" fillId="29" borderId="24" xfId="21" applyFont="1" applyFill="1" applyBorder="1" applyAlignment="1" applyProtection="1">
      <alignment horizontal="left" vertical="center"/>
      <protection locked="0"/>
    </xf>
    <xf numFmtId="0" fontId="31" fillId="28" borderId="103" xfId="21" applyFont="1" applyFill="1" applyBorder="1" applyAlignment="1" applyProtection="1">
      <alignment horizontal="center" vertical="top"/>
      <protection locked="0" hidden="1"/>
    </xf>
    <xf numFmtId="0" fontId="31" fillId="28" borderId="33" xfId="21" applyFont="1" applyFill="1" applyBorder="1" applyAlignment="1" applyProtection="1">
      <alignment horizontal="center" vertical="top"/>
      <protection locked="0" hidden="1"/>
    </xf>
    <xf numFmtId="0" fontId="31" fillId="28" borderId="104" xfId="21" applyFont="1" applyFill="1" applyBorder="1" applyAlignment="1" applyProtection="1">
      <alignment horizontal="center" vertical="top"/>
      <protection locked="0" hidden="1"/>
    </xf>
    <xf numFmtId="0" fontId="31" fillId="28" borderId="163" xfId="21" applyFont="1" applyFill="1" applyBorder="1" applyAlignment="1" applyProtection="1">
      <alignment horizontal="center" vertical="top"/>
      <protection locked="0" hidden="1"/>
    </xf>
    <xf numFmtId="0" fontId="31" fillId="28" borderId="0" xfId="21" applyFont="1" applyFill="1" applyAlignment="1" applyProtection="1">
      <alignment horizontal="center" vertical="top"/>
      <protection locked="0" hidden="1"/>
    </xf>
    <xf numFmtId="0" fontId="31" fillId="28" borderId="164" xfId="21" applyFont="1" applyFill="1" applyBorder="1" applyAlignment="1" applyProtection="1">
      <alignment horizontal="center" vertical="top"/>
      <protection locked="0" hidden="1"/>
    </xf>
    <xf numFmtId="0" fontId="31" fillId="28" borderId="105" xfId="21" applyFont="1" applyFill="1" applyBorder="1" applyAlignment="1" applyProtection="1">
      <alignment horizontal="center" vertical="top"/>
      <protection locked="0" hidden="1"/>
    </xf>
    <xf numFmtId="0" fontId="31" fillId="28" borderId="106" xfId="21" applyFont="1" applyFill="1" applyBorder="1" applyAlignment="1" applyProtection="1">
      <alignment horizontal="center" vertical="top"/>
      <protection locked="0" hidden="1"/>
    </xf>
    <xf numFmtId="0" fontId="31" fillId="28" borderId="107" xfId="21" applyFont="1" applyFill="1" applyBorder="1" applyAlignment="1" applyProtection="1">
      <alignment horizontal="center" vertical="top"/>
      <protection locked="0" hidden="1"/>
    </xf>
    <xf numFmtId="0" fontId="31" fillId="0" borderId="0" xfId="21" applyFont="1" applyAlignment="1" applyProtection="1">
      <alignment horizontal="center" vertical="center"/>
      <protection hidden="1"/>
    </xf>
    <xf numFmtId="0" fontId="31" fillId="0" borderId="0" xfId="21" applyFont="1" applyAlignment="1" applyProtection="1">
      <alignment vertical="center"/>
      <protection hidden="1"/>
    </xf>
    <xf numFmtId="3" fontId="104" fillId="0" borderId="0" xfId="21" applyNumberFormat="1" applyFont="1" applyAlignment="1" applyProtection="1">
      <alignment horizontal="left" wrapText="1"/>
      <protection hidden="1"/>
    </xf>
    <xf numFmtId="0" fontId="102" fillId="0" borderId="0" xfId="21" applyFont="1" applyAlignment="1" applyProtection="1">
      <alignment horizontal="left" vertical="top" wrapText="1"/>
      <protection hidden="1"/>
    </xf>
    <xf numFmtId="0" fontId="31" fillId="0" borderId="0" xfId="21" applyFont="1" applyAlignment="1" applyProtection="1">
      <alignment horizontal="left" vertical="center"/>
      <protection hidden="1"/>
    </xf>
    <xf numFmtId="178" fontId="36" fillId="20" borderId="33" xfId="0" applyNumberFormat="1" applyFont="1" applyFill="1" applyBorder="1" applyAlignment="1" applyProtection="1">
      <alignment horizontal="center"/>
      <protection locked="0" hidden="1"/>
    </xf>
    <xf numFmtId="0" fontId="36" fillId="20" borderId="0" xfId="0" applyFont="1" applyFill="1" applyAlignment="1" applyProtection="1">
      <alignment horizontal="center"/>
      <protection locked="0" hidden="1"/>
    </xf>
    <xf numFmtId="9" fontId="36" fillId="14" borderId="167" xfId="33" applyFont="1" applyFill="1" applyBorder="1" applyAlignment="1" applyProtection="1">
      <alignment horizontal="center" vertical="center"/>
      <protection hidden="1"/>
    </xf>
    <xf numFmtId="9" fontId="36" fillId="14" borderId="26" xfId="33" applyFont="1" applyFill="1" applyBorder="1" applyAlignment="1" applyProtection="1">
      <alignment horizontal="center" vertical="center"/>
      <protection hidden="1"/>
    </xf>
    <xf numFmtId="9" fontId="36" fillId="14" borderId="166" xfId="33" applyFont="1" applyFill="1" applyBorder="1" applyAlignment="1" applyProtection="1">
      <alignment horizontal="center" vertical="center"/>
      <protection hidden="1"/>
    </xf>
    <xf numFmtId="0" fontId="78" fillId="0" borderId="174" xfId="0" applyFont="1" applyBorder="1" applyAlignment="1" applyProtection="1">
      <alignment horizontal="left" vertical="top" wrapText="1"/>
      <protection hidden="1"/>
    </xf>
    <xf numFmtId="0" fontId="78" fillId="0" borderId="58" xfId="0" applyFont="1" applyBorder="1" applyAlignment="1" applyProtection="1">
      <alignment horizontal="left" vertical="top" wrapText="1"/>
      <protection hidden="1"/>
    </xf>
    <xf numFmtId="0" fontId="78" fillId="0" borderId="156" xfId="0" applyFont="1" applyBorder="1" applyAlignment="1" applyProtection="1">
      <alignment horizontal="left" vertical="top" wrapText="1"/>
      <protection hidden="1"/>
    </xf>
    <xf numFmtId="0" fontId="78" fillId="0" borderId="175" xfId="0" applyFont="1" applyBorder="1" applyAlignment="1" applyProtection="1">
      <alignment horizontal="left" vertical="top" wrapText="1"/>
      <protection hidden="1"/>
    </xf>
    <xf numFmtId="0" fontId="78" fillId="0" borderId="0" xfId="0" applyFont="1" applyAlignment="1" applyProtection="1">
      <alignment horizontal="left" vertical="top" wrapText="1"/>
      <protection hidden="1"/>
    </xf>
    <xf numFmtId="0" fontId="78" fillId="0" borderId="157" xfId="0" applyFont="1" applyBorder="1" applyAlignment="1" applyProtection="1">
      <alignment horizontal="left" vertical="top" wrapText="1"/>
      <protection hidden="1"/>
    </xf>
    <xf numFmtId="0" fontId="78" fillId="0" borderId="176" xfId="0" applyFont="1" applyBorder="1" applyAlignment="1" applyProtection="1">
      <alignment horizontal="left" vertical="top" wrapText="1"/>
      <protection hidden="1"/>
    </xf>
    <xf numFmtId="0" fontId="78" fillId="0" borderId="65" xfId="0" applyFont="1" applyBorder="1" applyAlignment="1" applyProtection="1">
      <alignment horizontal="left" vertical="top" wrapText="1"/>
      <protection hidden="1"/>
    </xf>
    <xf numFmtId="0" fontId="78" fillId="0" borderId="78" xfId="0" applyFont="1" applyBorder="1" applyAlignment="1" applyProtection="1">
      <alignment horizontal="left" vertical="top" wrapText="1"/>
      <protection hidden="1"/>
    </xf>
    <xf numFmtId="173" fontId="36" fillId="14" borderId="26" xfId="32" applyNumberFormat="1" applyFont="1" applyFill="1" applyBorder="1" applyAlignment="1" applyProtection="1">
      <alignment vertical="center" wrapText="1"/>
      <protection hidden="1"/>
    </xf>
    <xf numFmtId="0" fontId="78" fillId="19" borderId="26" xfId="0" applyFont="1" applyFill="1" applyBorder="1" applyAlignment="1" applyProtection="1">
      <alignment horizontal="left" vertical="center" wrapText="1" indent="1"/>
      <protection hidden="1"/>
    </xf>
    <xf numFmtId="0" fontId="78" fillId="19" borderId="26" xfId="0" applyFont="1" applyFill="1" applyBorder="1" applyAlignment="1" applyProtection="1">
      <alignment horizontal="center" vertical="center" wrapText="1"/>
      <protection hidden="1"/>
    </xf>
    <xf numFmtId="0" fontId="78" fillId="19" borderId="22" xfId="0" applyFont="1" applyFill="1" applyBorder="1" applyAlignment="1" applyProtection="1">
      <alignment horizontal="center" vertical="center" wrapText="1"/>
      <protection hidden="1"/>
    </xf>
    <xf numFmtId="0" fontId="78" fillId="19" borderId="23" xfId="0" applyFont="1" applyFill="1" applyBorder="1" applyAlignment="1" applyProtection="1">
      <alignment horizontal="center" vertical="center" wrapText="1"/>
      <protection hidden="1"/>
    </xf>
    <xf numFmtId="0" fontId="78" fillId="19" borderId="24" xfId="0" applyFont="1" applyFill="1" applyBorder="1" applyAlignment="1" applyProtection="1">
      <alignment horizontal="center" vertical="center" wrapText="1"/>
      <protection hidden="1"/>
    </xf>
    <xf numFmtId="166" fontId="36" fillId="0" borderId="26" xfId="32" applyFont="1" applyFill="1" applyBorder="1" applyAlignment="1" applyProtection="1">
      <alignment vertical="center" wrapText="1"/>
      <protection hidden="1"/>
    </xf>
    <xf numFmtId="0" fontId="72" fillId="19" borderId="39" xfId="0" applyFont="1" applyFill="1" applyBorder="1" applyAlignment="1">
      <alignment horizontal="center" vertical="center"/>
    </xf>
    <xf numFmtId="0" fontId="72" fillId="19" borderId="40" xfId="0" applyFont="1" applyFill="1" applyBorder="1" applyAlignment="1">
      <alignment horizontal="center" vertical="center"/>
    </xf>
    <xf numFmtId="178" fontId="36" fillId="0" borderId="26" xfId="32" applyNumberFormat="1" applyFont="1" applyFill="1" applyBorder="1" applyAlignment="1" applyProtection="1">
      <alignment vertical="center"/>
      <protection hidden="1"/>
    </xf>
    <xf numFmtId="173" fontId="36" fillId="14" borderId="26" xfId="32" applyNumberFormat="1" applyFont="1" applyFill="1" applyBorder="1" applyAlignment="1" applyProtection="1">
      <alignment vertical="center"/>
      <protection hidden="1"/>
    </xf>
    <xf numFmtId="166" fontId="36" fillId="0" borderId="26" xfId="32" applyFont="1" applyFill="1" applyBorder="1" applyAlignment="1" applyProtection="1">
      <alignment horizontal="center" vertical="center"/>
      <protection hidden="1"/>
    </xf>
    <xf numFmtId="3" fontId="36" fillId="14" borderId="26" xfId="0" applyNumberFormat="1" applyFont="1" applyFill="1" applyBorder="1" applyAlignment="1" applyProtection="1">
      <alignment vertical="center"/>
      <protection hidden="1"/>
    </xf>
    <xf numFmtId="3" fontId="36" fillId="0" borderId="26" xfId="0" applyNumberFormat="1" applyFont="1" applyBorder="1" applyAlignment="1" applyProtection="1">
      <alignment vertical="center" wrapText="1"/>
      <protection hidden="1"/>
    </xf>
    <xf numFmtId="166" fontId="36" fillId="14" borderId="26" xfId="32" applyFont="1" applyFill="1" applyBorder="1" applyAlignment="1" applyProtection="1">
      <alignment horizontal="left" vertical="center" wrapText="1"/>
      <protection hidden="1"/>
    </xf>
    <xf numFmtId="0" fontId="70" fillId="18" borderId="16" xfId="21" applyFont="1" applyFill="1" applyBorder="1" applyAlignment="1">
      <alignment horizontal="center"/>
    </xf>
    <xf numFmtId="0" fontId="70" fillId="18" borderId="59" xfId="21" applyFont="1" applyFill="1" applyBorder="1" applyAlignment="1">
      <alignment horizontal="center"/>
    </xf>
  </cellXfs>
  <cellStyles count="91">
    <cellStyle name="_Balance Sheet-09" xfId="3" xr:uid="{00000000-0005-0000-0000-000000000000}"/>
    <cellStyle name="Comma" xfId="32" builtinId="3"/>
    <cellStyle name="Comma 10" xfId="34" xr:uid="{00000000-0005-0000-0000-000002000000}"/>
    <cellStyle name="Comma 10 2" xfId="35" xr:uid="{00000000-0005-0000-0000-000003000000}"/>
    <cellStyle name="Comma 11" xfId="36" xr:uid="{00000000-0005-0000-0000-000004000000}"/>
    <cellStyle name="Comma 11 2" xfId="37" xr:uid="{00000000-0005-0000-0000-000005000000}"/>
    <cellStyle name="Comma 12" xfId="38" xr:uid="{00000000-0005-0000-0000-000006000000}"/>
    <cellStyle name="Comma 13" xfId="39" xr:uid="{00000000-0005-0000-0000-000007000000}"/>
    <cellStyle name="Comma 14" xfId="40" xr:uid="{00000000-0005-0000-0000-000008000000}"/>
    <cellStyle name="Comma 15" xfId="41" xr:uid="{00000000-0005-0000-0000-000009000000}"/>
    <cellStyle name="Comma 16" xfId="42" xr:uid="{00000000-0005-0000-0000-00000A000000}"/>
    <cellStyle name="Comma 17" xfId="43" xr:uid="{00000000-0005-0000-0000-00000B000000}"/>
    <cellStyle name="Comma 18" xfId="44" xr:uid="{00000000-0005-0000-0000-00000C000000}"/>
    <cellStyle name="Comma 19" xfId="45" xr:uid="{00000000-0005-0000-0000-00000D000000}"/>
    <cellStyle name="Comma 2" xfId="4" xr:uid="{00000000-0005-0000-0000-00000E000000}"/>
    <cellStyle name="Comma 2 2" xfId="5" xr:uid="{00000000-0005-0000-0000-00000F000000}"/>
    <cellStyle name="Comma 2 3" xfId="46" xr:uid="{00000000-0005-0000-0000-000010000000}"/>
    <cellStyle name="Comma 20" xfId="47" xr:uid="{00000000-0005-0000-0000-000011000000}"/>
    <cellStyle name="Comma 21" xfId="48" xr:uid="{00000000-0005-0000-0000-000012000000}"/>
    <cellStyle name="Comma 22" xfId="49" xr:uid="{00000000-0005-0000-0000-000013000000}"/>
    <cellStyle name="Comma 3" xfId="6" xr:uid="{00000000-0005-0000-0000-000014000000}"/>
    <cellStyle name="Comma 3 2" xfId="50" xr:uid="{00000000-0005-0000-0000-000015000000}"/>
    <cellStyle name="Comma 4" xfId="7" xr:uid="{00000000-0005-0000-0000-000016000000}"/>
    <cellStyle name="Comma 5" xfId="8" xr:uid="{00000000-0005-0000-0000-000017000000}"/>
    <cellStyle name="Comma 6" xfId="51" xr:uid="{00000000-0005-0000-0000-000018000000}"/>
    <cellStyle name="Comma 7" xfId="52" xr:uid="{00000000-0005-0000-0000-000019000000}"/>
    <cellStyle name="Comma 8" xfId="53" xr:uid="{00000000-0005-0000-0000-00001A000000}"/>
    <cellStyle name="Comma 9" xfId="54" xr:uid="{00000000-0005-0000-0000-00001B000000}"/>
    <cellStyle name="Comma 9 2" xfId="55" xr:uid="{00000000-0005-0000-0000-00001C000000}"/>
    <cellStyle name="Currency 2" xfId="9" xr:uid="{00000000-0005-0000-0000-00001D000000}"/>
    <cellStyle name="Currency 2 2" xfId="56" xr:uid="{00000000-0005-0000-0000-00001E000000}"/>
    <cellStyle name="Currency 3" xfId="57" xr:uid="{00000000-0005-0000-0000-00001F000000}"/>
    <cellStyle name="Currency 4" xfId="58" xr:uid="{00000000-0005-0000-0000-000020000000}"/>
    <cellStyle name="Currency 5" xfId="59" xr:uid="{00000000-0005-0000-0000-000021000000}"/>
    <cellStyle name="Date" xfId="10" xr:uid="{00000000-0005-0000-0000-000022000000}"/>
    <cellStyle name="Fixed" xfId="11" xr:uid="{00000000-0005-0000-0000-000023000000}"/>
    <cellStyle name="Heading1" xfId="12" xr:uid="{00000000-0005-0000-0000-000024000000}"/>
    <cellStyle name="Heading2" xfId="13" xr:uid="{00000000-0005-0000-0000-000025000000}"/>
    <cellStyle name="Hyperlink" xfId="2" builtinId="8"/>
    <cellStyle name="KPMG Heading 1" xfId="14" xr:uid="{00000000-0005-0000-0000-000027000000}"/>
    <cellStyle name="KPMG Heading 2" xfId="15" xr:uid="{00000000-0005-0000-0000-000028000000}"/>
    <cellStyle name="KPMG Heading 3" xfId="16" xr:uid="{00000000-0005-0000-0000-000029000000}"/>
    <cellStyle name="KPMG Heading 4" xfId="17" xr:uid="{00000000-0005-0000-0000-00002A000000}"/>
    <cellStyle name="KPMG Normal" xfId="18" xr:uid="{00000000-0005-0000-0000-00002B000000}"/>
    <cellStyle name="KPMG Normal Text" xfId="19" xr:uid="{00000000-0005-0000-0000-00002C000000}"/>
    <cellStyle name="Normal" xfId="0" builtinId="0"/>
    <cellStyle name="Normal - Style1" xfId="20" xr:uid="{00000000-0005-0000-0000-00002E000000}"/>
    <cellStyle name="Normal 10" xfId="60" xr:uid="{00000000-0005-0000-0000-00002F000000}"/>
    <cellStyle name="Normal 10 2" xfId="61" xr:uid="{00000000-0005-0000-0000-000030000000}"/>
    <cellStyle name="Normal 11" xfId="62" xr:uid="{00000000-0005-0000-0000-000031000000}"/>
    <cellStyle name="Normal 11 2" xfId="63" xr:uid="{00000000-0005-0000-0000-000032000000}"/>
    <cellStyle name="Normal 12" xfId="64" xr:uid="{00000000-0005-0000-0000-000033000000}"/>
    <cellStyle name="Normal 13" xfId="65" xr:uid="{00000000-0005-0000-0000-000034000000}"/>
    <cellStyle name="Normal 14" xfId="21" xr:uid="{00000000-0005-0000-0000-000035000000}"/>
    <cellStyle name="Normal 15" xfId="66" xr:uid="{00000000-0005-0000-0000-000036000000}"/>
    <cellStyle name="Normal 16" xfId="67" xr:uid="{00000000-0005-0000-0000-000037000000}"/>
    <cellStyle name="Normal 17" xfId="68" xr:uid="{00000000-0005-0000-0000-000038000000}"/>
    <cellStyle name="Normal 18" xfId="69" xr:uid="{00000000-0005-0000-0000-000039000000}"/>
    <cellStyle name="Normal 19" xfId="70" xr:uid="{00000000-0005-0000-0000-00003A000000}"/>
    <cellStyle name="Normal 2" xfId="22" xr:uid="{00000000-0005-0000-0000-00003B000000}"/>
    <cellStyle name="Normal 2 2" xfId="23" xr:uid="{00000000-0005-0000-0000-00003C000000}"/>
    <cellStyle name="Normal 2_Sheet4" xfId="24" xr:uid="{00000000-0005-0000-0000-00003D000000}"/>
    <cellStyle name="Normal 20" xfId="71" xr:uid="{00000000-0005-0000-0000-00003E000000}"/>
    <cellStyle name="Normal 21" xfId="72" xr:uid="{00000000-0005-0000-0000-00003F000000}"/>
    <cellStyle name="Normal 22" xfId="73" xr:uid="{00000000-0005-0000-0000-000040000000}"/>
    <cellStyle name="Normal 3" xfId="25" xr:uid="{00000000-0005-0000-0000-000041000000}"/>
    <cellStyle name="Normal 3 2" xfId="74" xr:uid="{00000000-0005-0000-0000-000042000000}"/>
    <cellStyle name="Normal 3 3" xfId="75" xr:uid="{00000000-0005-0000-0000-000043000000}"/>
    <cellStyle name="Normal 3_Project completion as at 30th April 2014v1" xfId="76" xr:uid="{00000000-0005-0000-0000-000044000000}"/>
    <cellStyle name="Normal 4" xfId="26" xr:uid="{00000000-0005-0000-0000-000045000000}"/>
    <cellStyle name="Normal 4 2" xfId="77" xr:uid="{00000000-0005-0000-0000-000046000000}"/>
    <cellStyle name="Normal 5" xfId="27" xr:uid="{00000000-0005-0000-0000-000047000000}"/>
    <cellStyle name="Normal 5 2" xfId="78" xr:uid="{00000000-0005-0000-0000-000048000000}"/>
    <cellStyle name="Normal 6" xfId="1" xr:uid="{00000000-0005-0000-0000-000049000000}"/>
    <cellStyle name="Normal 6 2" xfId="79" xr:uid="{00000000-0005-0000-0000-00004A000000}"/>
    <cellStyle name="Normal 7" xfId="28" xr:uid="{00000000-0005-0000-0000-00004B000000}"/>
    <cellStyle name="Normal 7 2" xfId="80" xr:uid="{00000000-0005-0000-0000-00004C000000}"/>
    <cellStyle name="Normal 8" xfId="81" xr:uid="{00000000-0005-0000-0000-00004D000000}"/>
    <cellStyle name="Normal 9" xfId="82" xr:uid="{00000000-0005-0000-0000-00004E000000}"/>
    <cellStyle name="Normal 9 2" xfId="83" xr:uid="{00000000-0005-0000-0000-00004F000000}"/>
    <cellStyle name="Percent" xfId="33" builtinId="5"/>
    <cellStyle name="Percent 2" xfId="29" xr:uid="{00000000-0005-0000-0000-000051000000}"/>
    <cellStyle name="Percent 2 2" xfId="84" xr:uid="{00000000-0005-0000-0000-000052000000}"/>
    <cellStyle name="Percent 2 3" xfId="85" xr:uid="{00000000-0005-0000-0000-000053000000}"/>
    <cellStyle name="Percent 3" xfId="30" xr:uid="{00000000-0005-0000-0000-000054000000}"/>
    <cellStyle name="Percent 4" xfId="86" xr:uid="{00000000-0005-0000-0000-000055000000}"/>
    <cellStyle name="Percent 5" xfId="87" xr:uid="{00000000-0005-0000-0000-000056000000}"/>
    <cellStyle name="Percent 6" xfId="88" xr:uid="{00000000-0005-0000-0000-000057000000}"/>
    <cellStyle name="Percent 7" xfId="89" xr:uid="{00000000-0005-0000-0000-000058000000}"/>
    <cellStyle name="Percent 8" xfId="90" xr:uid="{00000000-0005-0000-0000-000059000000}"/>
    <cellStyle name="Style 1" xfId="31" xr:uid="{00000000-0005-0000-0000-00005A000000}"/>
  </cellStyles>
  <dxfs count="45">
    <dxf>
      <fill>
        <patternFill>
          <bgColor theme="9" tint="0.59996337778862885"/>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strike val="0"/>
      </font>
      <fill>
        <patternFill>
          <bgColor theme="8" tint="0.59996337778862885"/>
        </patternFill>
      </fill>
    </dxf>
    <dxf>
      <font>
        <color theme="1"/>
      </font>
      <numFmt numFmtId="0" formatCode="General"/>
      <fill>
        <patternFill patternType="solid">
          <bgColor rgb="FFCCDDEA"/>
        </patternFill>
      </fill>
      <border>
        <left style="thin">
          <color auto="1"/>
        </left>
        <right style="thin">
          <color auto="1"/>
        </right>
        <top style="thin">
          <color auto="1"/>
        </top>
        <bottom style="thin">
          <color auto="1"/>
        </bottom>
        <vertical/>
        <horizontal/>
      </border>
    </dxf>
    <dxf>
      <font>
        <color theme="1"/>
      </font>
      <fill>
        <patternFill>
          <bgColor rgb="FFF2F2F2"/>
        </patternFill>
      </fill>
      <border>
        <left style="thin">
          <color auto="1"/>
        </left>
        <right style="thin">
          <color auto="1"/>
        </right>
        <top style="thin">
          <color auto="1"/>
        </top>
        <bottom style="thin">
          <color auto="1"/>
        </bottom>
        <vertical/>
        <horizontal/>
      </border>
    </dxf>
    <dxf>
      <font>
        <color theme="1"/>
      </font>
      <fill>
        <patternFill>
          <bgColor rgb="FFDBDBDB"/>
        </patternFill>
      </fill>
      <border>
        <left style="thin">
          <color auto="1"/>
        </left>
        <right style="thin">
          <color auto="1"/>
        </right>
        <top style="thin">
          <color auto="1"/>
        </top>
        <bottom style="thin">
          <color auto="1"/>
        </bottom>
        <vertical/>
        <horizontal/>
      </border>
    </dxf>
    <dxf>
      <font>
        <color theme="1"/>
      </font>
      <fill>
        <patternFill>
          <bgColor rgb="FFF2F2F2"/>
        </patternFill>
      </fill>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fill>
        <patternFill>
          <bgColor rgb="FFDBDBDB"/>
        </patternFill>
      </fill>
      <border>
        <left style="thin">
          <color auto="1"/>
        </left>
        <right style="thin">
          <color auto="1"/>
        </right>
        <top style="thin">
          <color auto="1"/>
        </top>
        <bottom style="thin">
          <color auto="1"/>
        </bottom>
        <vertical/>
        <horizontal/>
      </border>
    </dxf>
    <dxf>
      <font>
        <condense val="0"/>
        <extend val="0"/>
        <color auto="1"/>
      </font>
      <fill>
        <patternFill patternType="solid">
          <bgColor theme="3" tint="0.39994506668294322"/>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auto="1"/>
      </font>
      <fill>
        <patternFill>
          <bgColor rgb="FFF2F2F2"/>
        </patternFill>
      </fill>
      <border>
        <left style="thin">
          <color indexed="23"/>
        </left>
        <right style="thin">
          <color indexed="23"/>
        </right>
        <top style="thin">
          <color indexed="23"/>
        </top>
        <bottom style="thin">
          <color indexed="23"/>
        </bottom>
      </border>
    </dxf>
    <dxf>
      <font>
        <condense val="0"/>
        <extend val="0"/>
        <color auto="1"/>
      </font>
      <fill>
        <patternFill patternType="none">
          <bgColor indexed="65"/>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auto="1"/>
      </font>
      <fill>
        <patternFill patternType="solid">
          <bgColor rgb="FFF2F2F2"/>
        </patternFill>
      </fill>
      <border>
        <left style="thin">
          <color theme="0" tint="-0.34998626667073579"/>
        </left>
        <right style="thin">
          <color theme="0" tint="-0.34998626667073579"/>
        </right>
        <top style="thin">
          <color theme="0" tint="-0.34998626667073579"/>
        </top>
        <bottom style="thin">
          <color theme="0" tint="-0.34998626667073579"/>
        </bottom>
      </border>
    </dxf>
    <dxf>
      <font>
        <condense val="0"/>
        <extend val="0"/>
        <color indexed="9"/>
      </font>
      <fill>
        <patternFill patternType="none">
          <bgColor indexed="65"/>
        </patternFill>
      </fill>
      <border>
        <left/>
        <right/>
        <top/>
        <bottom/>
      </border>
    </dxf>
    <dxf>
      <font>
        <condense val="0"/>
        <extend val="0"/>
        <color auto="1"/>
      </font>
      <fill>
        <patternFill patternType="solid">
          <bgColor rgb="FFFFFF99"/>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auto="1"/>
      </font>
      <fill>
        <patternFill patternType="none">
          <bgColor indexed="65"/>
        </patternFill>
      </fill>
      <border>
        <left style="thin">
          <color theme="0" tint="-0.499984740745262"/>
        </left>
        <right style="thin">
          <color theme="0" tint="-0.499984740745262"/>
        </right>
        <top style="thin">
          <color theme="0" tint="-0.499984740745262"/>
        </top>
        <bottom style="thin">
          <color theme="0" tint="-0.499984740745262"/>
        </bottom>
      </border>
    </dxf>
    <dxf>
      <font>
        <color auto="1"/>
      </font>
      <fill>
        <patternFill patternType="solid">
          <bgColor rgb="FFFFC000"/>
        </patternFill>
      </fill>
      <border>
        <left style="thin">
          <color theme="1" tint="0.499984740745262"/>
        </left>
        <right style="thin">
          <color theme="1" tint="0.499984740745262"/>
        </right>
        <top style="thin">
          <color theme="1" tint="0.499984740745262"/>
        </top>
        <bottom style="thin">
          <color theme="1" tint="0.499984740745262"/>
        </bottom>
      </border>
    </dxf>
    <dxf>
      <font>
        <condense val="0"/>
        <extend val="0"/>
        <color indexed="9"/>
      </font>
      <fill>
        <patternFill patternType="none">
          <bgColor indexed="65"/>
        </patternFill>
      </fill>
      <border>
        <left/>
        <right/>
        <top/>
        <bottom/>
      </border>
    </dxf>
    <dxf>
      <font>
        <condense val="0"/>
        <extend val="0"/>
        <color auto="1"/>
      </font>
      <fill>
        <patternFill patternType="solid">
          <bgColor rgb="FFDBDBDB"/>
        </patternFill>
      </fill>
      <border>
        <left style="thin">
          <color indexed="64"/>
        </left>
        <right style="thin">
          <color indexed="23"/>
        </right>
        <top style="hair">
          <color indexed="23"/>
        </top>
        <bottom style="thin">
          <color indexed="23"/>
        </bottom>
      </border>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border>
    </dxf>
    <dxf>
      <font>
        <color rgb="FF9C0006"/>
      </font>
      <fill>
        <patternFill>
          <bgColor rgb="FFFFC7CE"/>
        </patternFill>
      </fill>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border>
    </dxf>
    <dxf>
      <font>
        <color rgb="FF9C0006"/>
      </font>
      <fill>
        <patternFill>
          <bgColor rgb="FFFFC7CE"/>
        </patternFill>
      </fill>
    </dxf>
    <dxf>
      <border>
        <left/>
        <right/>
        <top/>
        <bottom/>
      </border>
    </dxf>
    <dxf>
      <font>
        <condense val="0"/>
        <extend val="0"/>
        <color indexed="9"/>
      </font>
      <fill>
        <patternFill patternType="none">
          <bgColor indexed="65"/>
        </patternFill>
      </fill>
      <border>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style="thin">
          <color indexed="64"/>
        </right>
        <top/>
        <bottom style="thin">
          <color indexed="64"/>
        </bottom>
      </border>
    </dxf>
    <dxf>
      <font>
        <condense val="0"/>
        <extend val="0"/>
        <color indexed="9"/>
      </font>
      <fill>
        <patternFill patternType="none">
          <bgColor indexed="65"/>
        </patternFill>
      </fill>
      <border>
        <left/>
        <right style="thin">
          <color indexed="64"/>
        </right>
        <top/>
        <bottom/>
      </border>
    </dxf>
    <dxf>
      <font>
        <condense val="0"/>
        <extend val="0"/>
        <color indexed="9"/>
      </font>
      <fill>
        <patternFill patternType="none">
          <bgColor indexed="65"/>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2F2"/>
      <color rgb="FFDBDBDB"/>
      <color rgb="FFCCDDE7"/>
      <color rgb="FFCCDDEA"/>
      <color rgb="FFFFC91D"/>
      <color rgb="FFF0871F"/>
      <color rgb="FFDDF6FB"/>
      <color rgb="FFE5F7FF"/>
      <color rgb="FFEFFAFF"/>
      <color rgb="FFC5F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floor>
    <c:sideWall>
      <c:thickness val="0"/>
      <c:spPr>
        <a:gradFill>
          <a:gsLst>
            <a:gs pos="0">
              <a:schemeClr val="accent1">
                <a:tint val="66000"/>
                <a:satMod val="160000"/>
              </a:schemeClr>
            </a:gs>
            <a:gs pos="36000">
              <a:schemeClr val="accent1">
                <a:tint val="44500"/>
                <a:satMod val="160000"/>
              </a:schemeClr>
            </a:gs>
            <a:gs pos="100000">
              <a:schemeClr val="accent1">
                <a:tint val="23500"/>
                <a:satMod val="160000"/>
              </a:schemeClr>
            </a:gs>
          </a:gsLst>
          <a:lin ang="5400000" scaled="0"/>
        </a:gradFill>
      </c:spPr>
    </c:sideWall>
    <c:backWall>
      <c:thickness val="0"/>
      <c:spPr>
        <a:gradFill>
          <a:gsLst>
            <a:gs pos="0">
              <a:schemeClr val="accent1">
                <a:tint val="66000"/>
                <a:satMod val="160000"/>
              </a:schemeClr>
            </a:gs>
            <a:gs pos="36000">
              <a:schemeClr val="accent1">
                <a:tint val="44500"/>
                <a:satMod val="160000"/>
              </a:schemeClr>
            </a:gs>
            <a:gs pos="100000">
              <a:schemeClr val="accent1">
                <a:tint val="23500"/>
                <a:satMod val="160000"/>
              </a:schemeClr>
            </a:gs>
          </a:gsLst>
          <a:lin ang="5400000" scaled="0"/>
        </a:gradFill>
      </c:spPr>
    </c:backWall>
    <c:plotArea>
      <c:layout>
        <c:manualLayout>
          <c:layoutTarget val="inner"/>
          <c:xMode val="edge"/>
          <c:yMode val="edge"/>
          <c:x val="0.1915706824016592"/>
          <c:y val="5.2754425479724587E-2"/>
          <c:w val="0.80781311338157591"/>
          <c:h val="0.94366477077794175"/>
        </c:manualLayout>
      </c:layout>
      <c:pie3DChart>
        <c:varyColors val="1"/>
        <c:ser>
          <c:idx val="0"/>
          <c:order val="0"/>
          <c:cat>
            <c:strRef>
              <c:f>SA!$I$18:$I$23</c:f>
              <c:strCache>
                <c:ptCount val="6"/>
                <c:pt idx="0">
                  <c:v>Contribution</c:v>
                </c:pt>
                <c:pt idx="1">
                  <c:v>Direct Cost</c:v>
                </c:pt>
                <c:pt idx="2">
                  <c:v>OPE</c:v>
                </c:pt>
                <c:pt idx="3">
                  <c:v>India</c:v>
                </c:pt>
                <c:pt idx="4">
                  <c:v>Other Offices &amp; 3rd party</c:v>
                </c:pt>
                <c:pt idx="5">
                  <c:v>Retention/ Others / VAT</c:v>
                </c:pt>
              </c:strCache>
            </c:strRef>
          </c:cat>
          <c:val>
            <c:numRef>
              <c:f>SA!$J$18:$J$23</c:f>
              <c:numCache>
                <c:formatCode>0%</c:formatCode>
                <c:ptCount val="6"/>
                <c:pt idx="0">
                  <c:v>0.23835938461538461</c:v>
                </c:pt>
                <c:pt idx="1">
                  <c:v>0.76164061538461536</c:v>
                </c:pt>
                <c:pt idx="2">
                  <c:v>0</c:v>
                </c:pt>
                <c:pt idx="3">
                  <c:v>0</c:v>
                </c:pt>
                <c:pt idx="4">
                  <c:v>0</c:v>
                </c:pt>
                <c:pt idx="5">
                  <c:v>0</c:v>
                </c:pt>
              </c:numCache>
            </c:numRef>
          </c:val>
          <c:extLst>
            <c:ext xmlns:c16="http://schemas.microsoft.com/office/drawing/2014/chart" uri="{C3380CC4-5D6E-409C-BE32-E72D297353CC}">
              <c16:uniqueId val="{00000000-54C0-4E1B-8027-25C6C61FC7D8}"/>
            </c:ext>
          </c:extLst>
        </c:ser>
        <c:dLbls>
          <c:showLegendKey val="0"/>
          <c:showVal val="0"/>
          <c:showCatName val="0"/>
          <c:showSerName val="0"/>
          <c:showPercent val="0"/>
          <c:showBubbleSize val="0"/>
          <c:showLeaderLines val="1"/>
        </c:dLbls>
      </c:pie3DChart>
    </c:plotArea>
    <c:plotVisOnly val="1"/>
    <c:dispBlanksAs val="gap"/>
    <c:showDLblsOverMax val="0"/>
  </c:chart>
  <c:spPr>
    <a:gradFill>
      <a:gsLst>
        <a:gs pos="0">
          <a:schemeClr val="accent1">
            <a:tint val="66000"/>
            <a:satMod val="160000"/>
          </a:schemeClr>
        </a:gs>
        <a:gs pos="69000">
          <a:schemeClr val="accent1">
            <a:tint val="44500"/>
            <a:satMod val="160000"/>
          </a:schemeClr>
        </a:gs>
        <a:gs pos="100000">
          <a:schemeClr val="accent1">
            <a:tint val="23500"/>
            <a:satMod val="160000"/>
          </a:schemeClr>
        </a:gs>
      </a:gsLst>
      <a:lin ang="5400000" scaled="0"/>
    </a:gradFill>
    <a:ln>
      <a:solidFill>
        <a:schemeClr val="tx1"/>
      </a:solidFill>
    </a:ln>
  </c:spPr>
  <c:printSettings>
    <c:headerFooter/>
    <c:pageMargins b="0.75000000000000011" l="0.70000000000000007" r="0.70000000000000007" t="0.75000000000000011" header="0.30000000000000004" footer="0.30000000000000004"/>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63038769867602E-2"/>
          <c:y val="0.20356298037989973"/>
          <c:w val="0.89758446187261332"/>
          <c:h val="0.64622512560919299"/>
        </c:manualLayout>
      </c:layout>
      <c:barChart>
        <c:barDir val="col"/>
        <c:grouping val="clustered"/>
        <c:varyColors val="0"/>
        <c:ser>
          <c:idx val="0"/>
          <c:order val="0"/>
          <c:tx>
            <c:strRef>
              <c:f>SA!$F$30</c:f>
              <c:strCache>
                <c:ptCount val="1"/>
                <c:pt idx="0">
                  <c:v>Hours</c:v>
                </c:pt>
              </c:strCache>
            </c:strRef>
          </c:tx>
          <c:invertIfNegative val="0"/>
          <c:cat>
            <c:strRef>
              <c:f>SA!$E$31:$E$41</c:f>
              <c:strCache>
                <c:ptCount val="11"/>
                <c:pt idx="0">
                  <c:v>MD/SD</c:v>
                </c:pt>
                <c:pt idx="1">
                  <c:v>Dir</c:v>
                </c:pt>
                <c:pt idx="2">
                  <c:v>AD</c:v>
                </c:pt>
                <c:pt idx="3">
                  <c:v>Sr. Mgr</c:v>
                </c:pt>
                <c:pt idx="4">
                  <c:v>Mgr</c:v>
                </c:pt>
                <c:pt idx="5">
                  <c:v>DM</c:v>
                </c:pt>
                <c:pt idx="6">
                  <c:v>Sr. Cons.</c:v>
                </c:pt>
                <c:pt idx="7">
                  <c:v>CON3</c:v>
                </c:pt>
                <c:pt idx="8">
                  <c:v>CON2</c:v>
                </c:pt>
                <c:pt idx="9">
                  <c:v>CON1</c:v>
                </c:pt>
                <c:pt idx="10">
                  <c:v>ANLST.</c:v>
                </c:pt>
              </c:strCache>
            </c:strRef>
          </c:cat>
          <c:val>
            <c:numRef>
              <c:f>SA!$F$31:$F$41</c:f>
              <c:numCache>
                <c:formatCode>_(* #,##0.0_);_(* \(#,##0.0\);_(* "-"??_);_(@_)</c:formatCode>
                <c:ptCount val="11"/>
                <c:pt idx="0">
                  <c:v>0</c:v>
                </c:pt>
                <c:pt idx="1">
                  <c:v>65</c:v>
                </c:pt>
                <c:pt idx="2">
                  <c:v>144</c:v>
                </c:pt>
                <c:pt idx="3">
                  <c:v>240</c:v>
                </c:pt>
                <c:pt idx="4">
                  <c:v>0</c:v>
                </c:pt>
                <c:pt idx="5">
                  <c:v>360</c:v>
                </c:pt>
                <c:pt idx="6">
                  <c:v>464</c:v>
                </c:pt>
                <c:pt idx="7">
                  <c:v>656</c:v>
                </c:pt>
                <c:pt idx="8">
                  <c:v>656</c:v>
                </c:pt>
                <c:pt idx="9">
                  <c:v>0</c:v>
                </c:pt>
                <c:pt idx="10">
                  <c:v>0</c:v>
                </c:pt>
              </c:numCache>
            </c:numRef>
          </c:val>
          <c:extLst>
            <c:ext xmlns:c16="http://schemas.microsoft.com/office/drawing/2014/chart" uri="{C3380CC4-5D6E-409C-BE32-E72D297353CC}">
              <c16:uniqueId val="{00000000-3579-4620-8079-23801DD192D6}"/>
            </c:ext>
          </c:extLst>
        </c:ser>
        <c:dLbls>
          <c:showLegendKey val="0"/>
          <c:showVal val="0"/>
          <c:showCatName val="0"/>
          <c:showSerName val="0"/>
          <c:showPercent val="0"/>
          <c:showBubbleSize val="0"/>
        </c:dLbls>
        <c:gapWidth val="150"/>
        <c:axId val="-2139185520"/>
        <c:axId val="-2139183888"/>
      </c:barChart>
      <c:catAx>
        <c:axId val="-2139185520"/>
        <c:scaling>
          <c:orientation val="minMax"/>
        </c:scaling>
        <c:delete val="0"/>
        <c:axPos val="b"/>
        <c:numFmt formatCode="General" sourceLinked="1"/>
        <c:majorTickMark val="out"/>
        <c:minorTickMark val="none"/>
        <c:tickLblPos val="nextTo"/>
        <c:txPr>
          <a:bodyPr/>
          <a:lstStyle/>
          <a:p>
            <a:pPr>
              <a:defRPr sz="1100" b="1"/>
            </a:pPr>
            <a:endParaRPr lang="en-US"/>
          </a:p>
        </c:txPr>
        <c:crossAx val="-2139183888"/>
        <c:crosses val="autoZero"/>
        <c:auto val="1"/>
        <c:lblAlgn val="ctr"/>
        <c:lblOffset val="100"/>
        <c:noMultiLvlLbl val="0"/>
      </c:catAx>
      <c:valAx>
        <c:axId val="-2139183888"/>
        <c:scaling>
          <c:orientation val="minMax"/>
        </c:scaling>
        <c:delete val="0"/>
        <c:axPos val="l"/>
        <c:numFmt formatCode="#,##0" sourceLinked="0"/>
        <c:majorTickMark val="out"/>
        <c:minorTickMark val="none"/>
        <c:tickLblPos val="nextTo"/>
        <c:txPr>
          <a:bodyPr/>
          <a:lstStyle/>
          <a:p>
            <a:pPr>
              <a:defRPr b="1"/>
            </a:pPr>
            <a:endParaRPr lang="en-US"/>
          </a:p>
        </c:txPr>
        <c:crossAx val="-2139185520"/>
        <c:crosses val="autoZero"/>
        <c:crossBetween val="between"/>
      </c:valAx>
      <c:spPr>
        <a:gradFill>
          <a:gsLst>
            <a:gs pos="0">
              <a:schemeClr val="accent1">
                <a:tint val="66000"/>
                <a:satMod val="160000"/>
              </a:schemeClr>
            </a:gs>
            <a:gs pos="38000">
              <a:schemeClr val="accent1">
                <a:tint val="44500"/>
                <a:satMod val="160000"/>
              </a:schemeClr>
            </a:gs>
            <a:gs pos="74000">
              <a:schemeClr val="accent1">
                <a:tint val="23500"/>
                <a:satMod val="160000"/>
              </a:schemeClr>
            </a:gs>
          </a:gsLst>
          <a:lin ang="5400000" scaled="0"/>
        </a:gradFill>
      </c:spPr>
    </c:plotArea>
    <c:plotVisOnly val="1"/>
    <c:dispBlanksAs val="gap"/>
    <c:showDLblsOverMax val="0"/>
  </c:chart>
  <c:spPr>
    <a:gradFill>
      <a:gsLst>
        <a:gs pos="8000">
          <a:schemeClr val="accent1">
            <a:tint val="66000"/>
            <a:satMod val="160000"/>
          </a:schemeClr>
        </a:gs>
        <a:gs pos="55000">
          <a:schemeClr val="accent1">
            <a:tint val="44500"/>
            <a:satMod val="160000"/>
          </a:schemeClr>
        </a:gs>
        <a:gs pos="87000">
          <a:schemeClr val="accent1">
            <a:tint val="23500"/>
            <a:satMod val="160000"/>
          </a:schemeClr>
        </a:gs>
      </a:gsLst>
      <a:lin ang="5400000" scaled="0"/>
    </a:gradFill>
    <a:ln w="12700" cmpd="sng">
      <a:solidFill>
        <a:schemeClr val="tx1"/>
      </a:solidFill>
    </a:ln>
  </c:spPr>
  <c:printSettings>
    <c:headerFooter/>
    <c:pageMargins b="0.75000000000000011" l="0.70000000000000007" r="0.70000000000000007" t="0.75000000000000011" header="0.30000000000000004" footer="0.30000000000000004"/>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hyperlink" Target="#MainSheet!A5"/></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22</xdr:col>
      <xdr:colOff>21167</xdr:colOff>
      <xdr:row>2</xdr:row>
      <xdr:rowOff>21166</xdr:rowOff>
    </xdr:from>
    <xdr:to>
      <xdr:col>24</xdr:col>
      <xdr:colOff>349249</xdr:colOff>
      <xdr:row>3</xdr:row>
      <xdr:rowOff>116416</xdr:rowOff>
    </xdr:to>
    <xdr:sp macro="[0]!Back_to_MAIN" textlink="">
      <xdr:nvSpPr>
        <xdr:cNvPr id="2" name="Rectangle 1">
          <a:extLst>
            <a:ext uri="{FF2B5EF4-FFF2-40B4-BE49-F238E27FC236}">
              <a16:creationId xmlns:a16="http://schemas.microsoft.com/office/drawing/2014/main" id="{00000000-0008-0000-0000-000002000000}"/>
            </a:ext>
          </a:extLst>
        </xdr:cNvPr>
        <xdr:cNvSpPr/>
      </xdr:nvSpPr>
      <xdr:spPr>
        <a:xfrm>
          <a:off x="11525250" y="95249"/>
          <a:ext cx="1100666" cy="2434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clientData/>
  </xdr:twoCellAnchor>
  <xdr:twoCellAnchor>
    <xdr:from>
      <xdr:col>21</xdr:col>
      <xdr:colOff>137584</xdr:colOff>
      <xdr:row>6</xdr:row>
      <xdr:rowOff>148193</xdr:rowOff>
    </xdr:from>
    <xdr:to>
      <xdr:col>24</xdr:col>
      <xdr:colOff>435046</xdr:colOff>
      <xdr:row>18</xdr:row>
      <xdr:rowOff>169358</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1491384" y="590153"/>
          <a:ext cx="1257582" cy="2375745"/>
          <a:chOff x="8433787" y="222250"/>
          <a:chExt cx="1228796" cy="2465915"/>
        </a:xfrm>
      </xdr:grpSpPr>
      <xdr:sp macro="[0]!Back_to_MAIN" textlink="">
        <xdr:nvSpPr>
          <xdr:cNvPr id="4" name="Rectangle 3">
            <a:extLst>
              <a:ext uri="{FF2B5EF4-FFF2-40B4-BE49-F238E27FC236}">
                <a16:creationId xmlns:a16="http://schemas.microsoft.com/office/drawing/2014/main" id="{00000000-0008-0000-0000-000004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5" name="Rectangle 4">
            <a:extLst>
              <a:ext uri="{FF2B5EF4-FFF2-40B4-BE49-F238E27FC236}">
                <a16:creationId xmlns:a16="http://schemas.microsoft.com/office/drawing/2014/main" id="{00000000-0008-0000-0000-000005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6" name="Rectangle 5">
            <a:extLst>
              <a:ext uri="{FF2B5EF4-FFF2-40B4-BE49-F238E27FC236}">
                <a16:creationId xmlns:a16="http://schemas.microsoft.com/office/drawing/2014/main" id="{00000000-0008-0000-0000-000006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7" name="Rectangle 6">
            <a:extLst>
              <a:ext uri="{FF2B5EF4-FFF2-40B4-BE49-F238E27FC236}">
                <a16:creationId xmlns:a16="http://schemas.microsoft.com/office/drawing/2014/main" id="{00000000-0008-0000-0000-000007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8" name="Rectangle 7">
            <a:extLst>
              <a:ext uri="{FF2B5EF4-FFF2-40B4-BE49-F238E27FC236}">
                <a16:creationId xmlns:a16="http://schemas.microsoft.com/office/drawing/2014/main" id="{00000000-0008-0000-0000-000008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9" name="Rectangle 8">
            <a:extLst>
              <a:ext uri="{FF2B5EF4-FFF2-40B4-BE49-F238E27FC236}">
                <a16:creationId xmlns:a16="http://schemas.microsoft.com/office/drawing/2014/main" id="{00000000-0008-0000-0000-000009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0" name="Rectangle 9">
            <a:extLst>
              <a:ext uri="{FF2B5EF4-FFF2-40B4-BE49-F238E27FC236}">
                <a16:creationId xmlns:a16="http://schemas.microsoft.com/office/drawing/2014/main" id="{00000000-0008-0000-0000-00000A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178787</xdr:colOff>
      <xdr:row>1</xdr:row>
      <xdr:rowOff>21167</xdr:rowOff>
    </xdr:from>
    <xdr:to>
      <xdr:col>7</xdr:col>
      <xdr:colOff>444500</xdr:colOff>
      <xdr:row>9</xdr:row>
      <xdr:rowOff>264582</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8665562" y="211667"/>
          <a:ext cx="1237263" cy="2377015"/>
          <a:chOff x="8433787" y="222250"/>
          <a:chExt cx="1228796" cy="2465915"/>
        </a:xfrm>
      </xdr:grpSpPr>
      <xdr:sp macro="[0]!Back_to_MAIN" textlink="">
        <xdr:nvSpPr>
          <xdr:cNvPr id="2" name="Rectangle 1">
            <a:extLst>
              <a:ext uri="{FF2B5EF4-FFF2-40B4-BE49-F238E27FC236}">
                <a16:creationId xmlns:a16="http://schemas.microsoft.com/office/drawing/2014/main" id="{00000000-0008-0000-0100-000002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3" name="Rectangle 2">
            <a:extLst>
              <a:ext uri="{FF2B5EF4-FFF2-40B4-BE49-F238E27FC236}">
                <a16:creationId xmlns:a16="http://schemas.microsoft.com/office/drawing/2014/main" id="{00000000-0008-0000-0100-000003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5" name="Rectangle 4">
            <a:extLst>
              <a:ext uri="{FF2B5EF4-FFF2-40B4-BE49-F238E27FC236}">
                <a16:creationId xmlns:a16="http://schemas.microsoft.com/office/drawing/2014/main" id="{00000000-0008-0000-0100-000005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6" name="Rectangle 5">
            <a:extLst>
              <a:ext uri="{FF2B5EF4-FFF2-40B4-BE49-F238E27FC236}">
                <a16:creationId xmlns:a16="http://schemas.microsoft.com/office/drawing/2014/main" id="{00000000-0008-0000-0100-000006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8" name="Rectangle 7">
            <a:extLst>
              <a:ext uri="{FF2B5EF4-FFF2-40B4-BE49-F238E27FC236}">
                <a16:creationId xmlns:a16="http://schemas.microsoft.com/office/drawing/2014/main" id="{00000000-0008-0000-0100-000008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9" name="Rectangle 8">
            <a:extLst>
              <a:ext uri="{FF2B5EF4-FFF2-40B4-BE49-F238E27FC236}">
                <a16:creationId xmlns:a16="http://schemas.microsoft.com/office/drawing/2014/main" id="{00000000-0008-0000-0100-000009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0" name="Rectangle 9">
            <a:extLst>
              <a:ext uri="{FF2B5EF4-FFF2-40B4-BE49-F238E27FC236}">
                <a16:creationId xmlns:a16="http://schemas.microsoft.com/office/drawing/2014/main" id="{00000000-0008-0000-0100-00000A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202776</xdr:colOff>
          <xdr:row>0</xdr:row>
          <xdr:rowOff>134864</xdr:rowOff>
        </xdr:from>
        <xdr:to>
          <xdr:col>6</xdr:col>
          <xdr:colOff>399835</xdr:colOff>
          <xdr:row>3</xdr:row>
          <xdr:rowOff>3312</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5362605" y="134864"/>
              <a:ext cx="2265344" cy="292991"/>
              <a:chOff x="5153012" y="85729"/>
              <a:chExt cx="2105052" cy="304800"/>
            </a:xfrm>
          </xdr:grpSpPr>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5153012" y="95249"/>
                <a:ext cx="923925" cy="295276"/>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6296034" y="85729"/>
                <a:ext cx="962030" cy="30480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22</xdr:col>
      <xdr:colOff>203200</xdr:colOff>
      <xdr:row>21</xdr:row>
      <xdr:rowOff>107081</xdr:rowOff>
    </xdr:from>
    <xdr:to>
      <xdr:col>23</xdr:col>
      <xdr:colOff>84667</xdr:colOff>
      <xdr:row>23</xdr:row>
      <xdr:rowOff>55898</xdr:rowOff>
    </xdr:to>
    <xdr:sp macro="[0]!IA_Jobs" textlink="">
      <xdr:nvSpPr>
        <xdr:cNvPr id="2" name="Rectangle 1">
          <a:extLst>
            <a:ext uri="{FF2B5EF4-FFF2-40B4-BE49-F238E27FC236}">
              <a16:creationId xmlns:a16="http://schemas.microsoft.com/office/drawing/2014/main" id="{00000000-0008-0000-0300-000002000000}"/>
            </a:ext>
          </a:extLst>
        </xdr:cNvPr>
        <xdr:cNvSpPr/>
      </xdr:nvSpPr>
      <xdr:spPr>
        <a:xfrm>
          <a:off x="14545733" y="3248214"/>
          <a:ext cx="1464734" cy="236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Tasks</a:t>
          </a:r>
        </a:p>
      </xdr:txBody>
    </xdr:sp>
    <xdr:clientData/>
  </xdr:twoCellAnchor>
  <xdr:twoCellAnchor>
    <xdr:from>
      <xdr:col>5</xdr:col>
      <xdr:colOff>42332</xdr:colOff>
      <xdr:row>31</xdr:row>
      <xdr:rowOff>31750</xdr:rowOff>
    </xdr:from>
    <xdr:to>
      <xdr:col>8</xdr:col>
      <xdr:colOff>709083</xdr:colOff>
      <xdr:row>31</xdr:row>
      <xdr:rowOff>232834</xdr:rowOff>
    </xdr:to>
    <xdr:sp macro="[0]!ExpenseBud" textlink="">
      <xdr:nvSpPr>
        <xdr:cNvPr id="8" name="Rectangle 7">
          <a:extLst>
            <a:ext uri="{FF2B5EF4-FFF2-40B4-BE49-F238E27FC236}">
              <a16:creationId xmlns:a16="http://schemas.microsoft.com/office/drawing/2014/main" id="{00000000-0008-0000-0300-000008000000}"/>
            </a:ext>
          </a:extLst>
        </xdr:cNvPr>
        <xdr:cNvSpPr/>
      </xdr:nvSpPr>
      <xdr:spPr>
        <a:xfrm>
          <a:off x="3397249" y="4106333"/>
          <a:ext cx="3100917" cy="201084"/>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22</xdr:col>
      <xdr:colOff>158749</xdr:colOff>
      <xdr:row>4</xdr:row>
      <xdr:rowOff>84667</xdr:rowOff>
    </xdr:from>
    <xdr:to>
      <xdr:col>23</xdr:col>
      <xdr:colOff>63500</xdr:colOff>
      <xdr:row>20</xdr:row>
      <xdr:rowOff>74082</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20319092" y="650724"/>
          <a:ext cx="1461408" cy="2373387"/>
          <a:chOff x="8433787" y="222250"/>
          <a:chExt cx="1228796" cy="2465915"/>
        </a:xfrm>
      </xdr:grpSpPr>
      <xdr:sp macro="[0]!Back_to_MAIN" textlink="">
        <xdr:nvSpPr>
          <xdr:cNvPr id="10" name="Rectangle 9">
            <a:extLst>
              <a:ext uri="{FF2B5EF4-FFF2-40B4-BE49-F238E27FC236}">
                <a16:creationId xmlns:a16="http://schemas.microsoft.com/office/drawing/2014/main" id="{00000000-0008-0000-0300-00000A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1" name="Rectangle 10">
            <a:extLst>
              <a:ext uri="{FF2B5EF4-FFF2-40B4-BE49-F238E27FC236}">
                <a16:creationId xmlns:a16="http://schemas.microsoft.com/office/drawing/2014/main" id="{00000000-0008-0000-0300-00000B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2" name="Rectangle 11">
            <a:extLst>
              <a:ext uri="{FF2B5EF4-FFF2-40B4-BE49-F238E27FC236}">
                <a16:creationId xmlns:a16="http://schemas.microsoft.com/office/drawing/2014/main" id="{00000000-0008-0000-0300-00000C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3" name="Rectangle 12">
            <a:extLst>
              <a:ext uri="{FF2B5EF4-FFF2-40B4-BE49-F238E27FC236}">
                <a16:creationId xmlns:a16="http://schemas.microsoft.com/office/drawing/2014/main" id="{00000000-0008-0000-0300-00000D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4" name="Rectangle 13">
            <a:extLst>
              <a:ext uri="{FF2B5EF4-FFF2-40B4-BE49-F238E27FC236}">
                <a16:creationId xmlns:a16="http://schemas.microsoft.com/office/drawing/2014/main" id="{00000000-0008-0000-0300-00000E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5" name="Rectangle 14">
            <a:extLst>
              <a:ext uri="{FF2B5EF4-FFF2-40B4-BE49-F238E27FC236}">
                <a16:creationId xmlns:a16="http://schemas.microsoft.com/office/drawing/2014/main" id="{00000000-0008-0000-0300-00000F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6" name="Rectangle 15">
            <a:extLst>
              <a:ext uri="{FF2B5EF4-FFF2-40B4-BE49-F238E27FC236}">
                <a16:creationId xmlns:a16="http://schemas.microsoft.com/office/drawing/2014/main" id="{00000000-0008-0000-0300-000010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0</xdr:row>
      <xdr:rowOff>0</xdr:rowOff>
    </xdr:from>
    <xdr:to>
      <xdr:col>13</xdr:col>
      <xdr:colOff>485775</xdr:colOff>
      <xdr:row>0</xdr:row>
      <xdr:rowOff>0</xdr:rowOff>
    </xdr:to>
    <xdr:sp macro="" textlink="">
      <xdr:nvSpPr>
        <xdr:cNvPr id="2" name="Rectangle 17">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8248650" y="0"/>
          <a:ext cx="485775" cy="0"/>
        </a:xfrm>
        <a:prstGeom prst="rect">
          <a:avLst/>
        </a:prstGeom>
        <a:solidFill>
          <a:srgbClr val="C0C0C0">
            <a:alpha val="50000"/>
          </a:srgbClr>
        </a:solidFill>
        <a:ln w="9525">
          <a:noFill/>
          <a:miter lim="800000"/>
          <a:headEnd/>
          <a:tailEnd/>
        </a:ln>
        <a:effectLst/>
        <a:scene3d>
          <a:camera prst="legacyObliqueTopRight"/>
          <a:lightRig rig="legacyFlat3" dir="b"/>
        </a:scene3d>
        <a:sp3d extrusionH="49200" prstMaterial="legacyMatte">
          <a:bevelT w="13500" h="13500" prst="angle"/>
          <a:bevelB w="13500" h="13500" prst="angle"/>
          <a:extrusionClr>
            <a:srgbClr val="C0C0C0"/>
          </a:extrusionClr>
        </a:sp3d>
      </xdr:spPr>
      <xdr:txBody>
        <a:bodyPr vertOverflow="clip" wrap="square" lIns="36576" tIns="27432" rIns="36576" bIns="27432" anchor="ctr" upright="1"/>
        <a:lstStyle/>
        <a:p>
          <a:pPr algn="ctr" rtl="1">
            <a:defRPr sz="1000"/>
          </a:pPr>
          <a:r>
            <a:rPr lang="en-US" sz="1000" b="0" i="0" strike="noStrike">
              <a:solidFill>
                <a:srgbClr val="000000"/>
              </a:solidFill>
              <a:latin typeface="Arial"/>
              <a:cs typeface="Arial"/>
            </a:rPr>
            <a:t>Main Sheet</a:t>
          </a:r>
        </a:p>
      </xdr:txBody>
    </xdr:sp>
    <xdr:clientData/>
  </xdr:twoCellAnchor>
  <xdr:twoCellAnchor>
    <xdr:from>
      <xdr:col>12</xdr:col>
      <xdr:colOff>9525</xdr:colOff>
      <xdr:row>0</xdr:row>
      <xdr:rowOff>0</xdr:rowOff>
    </xdr:from>
    <xdr:to>
      <xdr:col>13</xdr:col>
      <xdr:colOff>0</xdr:colOff>
      <xdr:row>0</xdr:row>
      <xdr:rowOff>0</xdr:rowOff>
    </xdr:to>
    <xdr:sp macro="" textlink="">
      <xdr:nvSpPr>
        <xdr:cNvPr id="3" name="Rectangle 44">
          <a:hlinkClick xmlns:r="http://schemas.openxmlformats.org/officeDocument/2006/relationships" r:id="rId1"/>
          <a:extLst>
            <a:ext uri="{FF2B5EF4-FFF2-40B4-BE49-F238E27FC236}">
              <a16:creationId xmlns:a16="http://schemas.microsoft.com/office/drawing/2014/main" id="{00000000-0008-0000-0400-000003000000}"/>
            </a:ext>
          </a:extLst>
        </xdr:cNvPr>
        <xdr:cNvSpPr>
          <a:spLocks noChangeArrowheads="1"/>
        </xdr:cNvSpPr>
      </xdr:nvSpPr>
      <xdr:spPr bwMode="auto">
        <a:xfrm>
          <a:off x="7743825" y="0"/>
          <a:ext cx="504825" cy="0"/>
        </a:xfrm>
        <a:prstGeom prst="rect">
          <a:avLst/>
        </a:prstGeom>
        <a:solidFill>
          <a:srgbClr val="C0C0C0">
            <a:alpha val="50000"/>
          </a:srgbClr>
        </a:solidFill>
        <a:ln w="9525">
          <a:noFill/>
          <a:miter lim="800000"/>
          <a:headEnd/>
          <a:tailEnd/>
        </a:ln>
        <a:effectLst/>
        <a:scene3d>
          <a:camera prst="legacyObliqueTopRight"/>
          <a:lightRig rig="legacyFlat3" dir="b"/>
        </a:scene3d>
        <a:sp3d extrusionH="49200" prstMaterial="legacyMatte">
          <a:bevelT w="13500" h="13500" prst="angle"/>
          <a:bevelB w="13500" h="13500" prst="angle"/>
          <a:extrusionClr>
            <a:srgbClr val="C0C0C0"/>
          </a:extrusionClr>
        </a:sp3d>
      </xdr:spPr>
      <xdr:txBody>
        <a:bodyPr vertOverflow="clip" wrap="square" lIns="36576" tIns="27432" rIns="36576" bIns="27432" anchor="ctr" upright="1"/>
        <a:lstStyle/>
        <a:p>
          <a:pPr algn="ctr" rtl="1">
            <a:defRPr sz="1000"/>
          </a:pPr>
          <a:r>
            <a:rPr lang="en-US" sz="1000" b="0" i="0" strike="noStrike">
              <a:solidFill>
                <a:srgbClr val="000000"/>
              </a:solidFill>
              <a:latin typeface="Arial"/>
              <a:cs typeface="Arial"/>
            </a:rPr>
            <a:t>Main Sheet</a:t>
          </a:r>
        </a:p>
      </xdr:txBody>
    </xdr:sp>
    <xdr:clientData/>
  </xdr:twoCellAnchor>
  <mc:AlternateContent xmlns:mc="http://schemas.openxmlformats.org/markup-compatibility/2006">
    <mc:Choice xmlns:a14="http://schemas.microsoft.com/office/drawing/2010/main" Requires="a14">
      <xdr:twoCellAnchor>
        <xdr:from>
          <xdr:col>7</xdr:col>
          <xdr:colOff>168275</xdr:colOff>
          <xdr:row>0</xdr:row>
          <xdr:rowOff>85725</xdr:rowOff>
        </xdr:from>
        <xdr:to>
          <xdr:col>10</xdr:col>
          <xdr:colOff>552448</xdr:colOff>
          <xdr:row>2</xdr:row>
          <xdr:rowOff>103505</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8580755" y="85725"/>
              <a:ext cx="2934333" cy="302260"/>
              <a:chOff x="5153021" y="85725"/>
              <a:chExt cx="2105039" cy="304800"/>
            </a:xfrm>
          </xdr:grpSpPr>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5153021" y="95250"/>
                <a:ext cx="923934" cy="2952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300-000002600000}"/>
                  </a:ext>
                </a:extLst>
              </xdr:cNvPr>
              <xdr:cNvSpPr/>
            </xdr:nvSpPr>
            <xdr:spPr bwMode="auto">
              <a:xfrm>
                <a:off x="6296037" y="85725"/>
                <a:ext cx="962023" cy="304799"/>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2</xdr:col>
      <xdr:colOff>31750</xdr:colOff>
      <xdr:row>52</xdr:row>
      <xdr:rowOff>42333</xdr:rowOff>
    </xdr:from>
    <xdr:to>
      <xdr:col>2</xdr:col>
      <xdr:colOff>645583</xdr:colOff>
      <xdr:row>52</xdr:row>
      <xdr:rowOff>222250</xdr:rowOff>
    </xdr:to>
    <xdr:sp macro="[0]!IA_Jobs" textlink="">
      <xdr:nvSpPr>
        <xdr:cNvPr id="7" name="Rectangle 6">
          <a:extLst>
            <a:ext uri="{FF2B5EF4-FFF2-40B4-BE49-F238E27FC236}">
              <a16:creationId xmlns:a16="http://schemas.microsoft.com/office/drawing/2014/main" id="{00000000-0008-0000-0400-000007000000}"/>
            </a:ext>
          </a:extLst>
        </xdr:cNvPr>
        <xdr:cNvSpPr/>
      </xdr:nvSpPr>
      <xdr:spPr>
        <a:xfrm>
          <a:off x="688975" y="8271933"/>
          <a:ext cx="613833" cy="1799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Tasks</a:t>
          </a:r>
        </a:p>
      </xdr:txBody>
    </xdr:sp>
    <xdr:clientData/>
  </xdr:twoCellAnchor>
  <xdr:twoCellAnchor>
    <xdr:from>
      <xdr:col>21</xdr:col>
      <xdr:colOff>2</xdr:colOff>
      <xdr:row>52</xdr:row>
      <xdr:rowOff>21166</xdr:rowOff>
    </xdr:from>
    <xdr:to>
      <xdr:col>21</xdr:col>
      <xdr:colOff>783168</xdr:colOff>
      <xdr:row>53</xdr:row>
      <xdr:rowOff>0</xdr:rowOff>
    </xdr:to>
    <xdr:sp macro="[0]!_xludf.HELP" textlink="">
      <xdr:nvSpPr>
        <xdr:cNvPr id="8" name="Rectangle 7">
          <a:extLst>
            <a:ext uri="{FF2B5EF4-FFF2-40B4-BE49-F238E27FC236}">
              <a16:creationId xmlns:a16="http://schemas.microsoft.com/office/drawing/2014/main" id="{00000000-0008-0000-0400-000008000000}"/>
            </a:ext>
          </a:extLst>
        </xdr:cNvPr>
        <xdr:cNvSpPr/>
      </xdr:nvSpPr>
      <xdr:spPr>
        <a:xfrm>
          <a:off x="12393085" y="8022166"/>
          <a:ext cx="783166" cy="2645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clientData/>
  </xdr:twoCellAnchor>
  <xdr:twoCellAnchor>
    <xdr:from>
      <xdr:col>5</xdr:col>
      <xdr:colOff>38099</xdr:colOff>
      <xdr:row>29</xdr:row>
      <xdr:rowOff>28574</xdr:rowOff>
    </xdr:from>
    <xdr:to>
      <xdr:col>8</xdr:col>
      <xdr:colOff>723899</xdr:colOff>
      <xdr:row>29</xdr:row>
      <xdr:rowOff>228599</xdr:rowOff>
    </xdr:to>
    <xdr:sp macro="[0]!ExpenseBud" textlink="">
      <xdr:nvSpPr>
        <xdr:cNvPr id="11" name="Rectangle 10">
          <a:extLst>
            <a:ext uri="{FF2B5EF4-FFF2-40B4-BE49-F238E27FC236}">
              <a16:creationId xmlns:a16="http://schemas.microsoft.com/office/drawing/2014/main" id="{00000000-0008-0000-0400-00000B000000}"/>
            </a:ext>
          </a:extLst>
        </xdr:cNvPr>
        <xdr:cNvSpPr/>
      </xdr:nvSpPr>
      <xdr:spPr>
        <a:xfrm>
          <a:off x="3486149" y="4029074"/>
          <a:ext cx="3171825" cy="200025"/>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22</xdr:col>
      <xdr:colOff>219075</xdr:colOff>
      <xdr:row>5</xdr:row>
      <xdr:rowOff>19053</xdr:rowOff>
    </xdr:from>
    <xdr:to>
      <xdr:col>22</xdr:col>
      <xdr:colOff>1436159</xdr:colOff>
      <xdr:row>21</xdr:row>
      <xdr:rowOff>99485</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20142835" y="760733"/>
          <a:ext cx="1217084" cy="2457872"/>
          <a:chOff x="8433787" y="222250"/>
          <a:chExt cx="1228796" cy="2465915"/>
        </a:xfrm>
      </xdr:grpSpPr>
      <xdr:sp macro="[0]!Back_to_MAIN" textlink="">
        <xdr:nvSpPr>
          <xdr:cNvPr id="12" name="Rectangle 11">
            <a:extLst>
              <a:ext uri="{FF2B5EF4-FFF2-40B4-BE49-F238E27FC236}">
                <a16:creationId xmlns:a16="http://schemas.microsoft.com/office/drawing/2014/main" id="{00000000-0008-0000-0400-00000C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3" name="Rectangle 12">
            <a:extLst>
              <a:ext uri="{FF2B5EF4-FFF2-40B4-BE49-F238E27FC236}">
                <a16:creationId xmlns:a16="http://schemas.microsoft.com/office/drawing/2014/main" id="{00000000-0008-0000-0400-00000D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4" name="Rectangle 13">
            <a:extLst>
              <a:ext uri="{FF2B5EF4-FFF2-40B4-BE49-F238E27FC236}">
                <a16:creationId xmlns:a16="http://schemas.microsoft.com/office/drawing/2014/main" id="{00000000-0008-0000-0400-00000E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5" name="Rectangle 14">
            <a:extLst>
              <a:ext uri="{FF2B5EF4-FFF2-40B4-BE49-F238E27FC236}">
                <a16:creationId xmlns:a16="http://schemas.microsoft.com/office/drawing/2014/main" id="{00000000-0008-0000-0400-00000F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6" name="Rectangle 15">
            <a:extLst>
              <a:ext uri="{FF2B5EF4-FFF2-40B4-BE49-F238E27FC236}">
                <a16:creationId xmlns:a16="http://schemas.microsoft.com/office/drawing/2014/main" id="{00000000-0008-0000-0400-000010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7" name="Rectangle 16">
            <a:extLst>
              <a:ext uri="{FF2B5EF4-FFF2-40B4-BE49-F238E27FC236}">
                <a16:creationId xmlns:a16="http://schemas.microsoft.com/office/drawing/2014/main" id="{00000000-0008-0000-0400-000011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8" name="Rectangle 17">
            <a:extLst>
              <a:ext uri="{FF2B5EF4-FFF2-40B4-BE49-F238E27FC236}">
                <a16:creationId xmlns:a16="http://schemas.microsoft.com/office/drawing/2014/main" id="{00000000-0008-0000-0400-000012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twoCellAnchor>
    <xdr:from>
      <xdr:col>22</xdr:col>
      <xdr:colOff>238961</xdr:colOff>
      <xdr:row>22</xdr:row>
      <xdr:rowOff>127001</xdr:rowOff>
    </xdr:from>
    <xdr:to>
      <xdr:col>22</xdr:col>
      <xdr:colOff>1453816</xdr:colOff>
      <xdr:row>24</xdr:row>
      <xdr:rowOff>8356</xdr:rowOff>
    </xdr:to>
    <xdr:sp macro="[0]!IA_Jobs" textlink="">
      <xdr:nvSpPr>
        <xdr:cNvPr id="20" name="Rectangle 19">
          <a:extLst>
            <a:ext uri="{FF2B5EF4-FFF2-40B4-BE49-F238E27FC236}">
              <a16:creationId xmlns:a16="http://schemas.microsoft.com/office/drawing/2014/main" id="{00000000-0008-0000-0400-000014000000}"/>
            </a:ext>
          </a:extLst>
        </xdr:cNvPr>
        <xdr:cNvSpPr/>
      </xdr:nvSpPr>
      <xdr:spPr>
        <a:xfrm>
          <a:off x="17007974" y="3385554"/>
          <a:ext cx="1214855" cy="2322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Tasks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119063</xdr:colOff>
      <xdr:row>2</xdr:row>
      <xdr:rowOff>35718</xdr:rowOff>
    </xdr:from>
    <xdr:to>
      <xdr:col>5</xdr:col>
      <xdr:colOff>1023938</xdr:colOff>
      <xdr:row>3</xdr:row>
      <xdr:rowOff>238125</xdr:rowOff>
    </xdr:to>
    <xdr:sp macro="[0]!Back" textlink="">
      <xdr:nvSpPr>
        <xdr:cNvPr id="3" name="Rectangle 2">
          <a:extLst>
            <a:ext uri="{FF2B5EF4-FFF2-40B4-BE49-F238E27FC236}">
              <a16:creationId xmlns:a16="http://schemas.microsoft.com/office/drawing/2014/main" id="{00000000-0008-0000-0600-000003000000}"/>
            </a:ext>
          </a:extLst>
        </xdr:cNvPr>
        <xdr:cNvSpPr/>
      </xdr:nvSpPr>
      <xdr:spPr>
        <a:xfrm>
          <a:off x="4798219" y="345281"/>
          <a:ext cx="904875" cy="2738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a:t>
          </a:r>
        </a:p>
      </xdr:txBody>
    </xdr:sp>
    <xdr:clientData/>
  </xdr:twoCellAnchor>
  <xdr:twoCellAnchor>
    <xdr:from>
      <xdr:col>30</xdr:col>
      <xdr:colOff>343857</xdr:colOff>
      <xdr:row>24</xdr:row>
      <xdr:rowOff>30339</xdr:rowOff>
    </xdr:from>
    <xdr:to>
      <xdr:col>32</xdr:col>
      <xdr:colOff>1872233</xdr:colOff>
      <xdr:row>28</xdr:row>
      <xdr:rowOff>118358</xdr:rowOff>
    </xdr:to>
    <xdr:grpSp>
      <xdr:nvGrpSpPr>
        <xdr:cNvPr id="13" name="Group 12">
          <a:extLst>
            <a:ext uri="{FF2B5EF4-FFF2-40B4-BE49-F238E27FC236}">
              <a16:creationId xmlns:a16="http://schemas.microsoft.com/office/drawing/2014/main" id="{00000000-0008-0000-0600-00000D000000}"/>
            </a:ext>
          </a:extLst>
        </xdr:cNvPr>
        <xdr:cNvGrpSpPr/>
      </xdr:nvGrpSpPr>
      <xdr:grpSpPr>
        <a:xfrm>
          <a:off x="16752257" y="4419459"/>
          <a:ext cx="3936296" cy="1022739"/>
          <a:chOff x="14762326" y="4673777"/>
          <a:chExt cx="3885813" cy="992894"/>
        </a:xfrm>
      </xdr:grpSpPr>
      <xdr:sp macro="[0]!Back_to_MAIN" textlink="">
        <xdr:nvSpPr>
          <xdr:cNvPr id="6" name="Rectangle 5">
            <a:extLst>
              <a:ext uri="{FF2B5EF4-FFF2-40B4-BE49-F238E27FC236}">
                <a16:creationId xmlns:a16="http://schemas.microsoft.com/office/drawing/2014/main" id="{00000000-0008-0000-0600-000006000000}"/>
              </a:ext>
            </a:extLst>
          </xdr:cNvPr>
          <xdr:cNvSpPr/>
        </xdr:nvSpPr>
        <xdr:spPr>
          <a:xfrm>
            <a:off x="14762326" y="4691063"/>
            <a:ext cx="1206602"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7" name="Rectangle 6">
            <a:extLst>
              <a:ext uri="{FF2B5EF4-FFF2-40B4-BE49-F238E27FC236}">
                <a16:creationId xmlns:a16="http://schemas.microsoft.com/office/drawing/2014/main" id="{00000000-0008-0000-0600-000007000000}"/>
              </a:ext>
            </a:extLst>
          </xdr:cNvPr>
          <xdr:cNvSpPr/>
        </xdr:nvSpPr>
        <xdr:spPr>
          <a:xfrm>
            <a:off x="17453138" y="5444422"/>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8" name="Rectangle 7">
            <a:extLst>
              <a:ext uri="{FF2B5EF4-FFF2-40B4-BE49-F238E27FC236}">
                <a16:creationId xmlns:a16="http://schemas.microsoft.com/office/drawing/2014/main" id="{00000000-0008-0000-0600-000008000000}"/>
              </a:ext>
            </a:extLst>
          </xdr:cNvPr>
          <xdr:cNvSpPr/>
        </xdr:nvSpPr>
        <xdr:spPr>
          <a:xfrm>
            <a:off x="17453138" y="4686565"/>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9" name="Rectangle 8">
            <a:extLst>
              <a:ext uri="{FF2B5EF4-FFF2-40B4-BE49-F238E27FC236}">
                <a16:creationId xmlns:a16="http://schemas.microsoft.com/office/drawing/2014/main" id="{00000000-0008-0000-0600-000009000000}"/>
              </a:ext>
            </a:extLst>
          </xdr:cNvPr>
          <xdr:cNvSpPr/>
        </xdr:nvSpPr>
        <xdr:spPr>
          <a:xfrm>
            <a:off x="16121063" y="4673777"/>
            <a:ext cx="1195001"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0" name="Rectangle 9">
            <a:extLst>
              <a:ext uri="{FF2B5EF4-FFF2-40B4-BE49-F238E27FC236}">
                <a16:creationId xmlns:a16="http://schemas.microsoft.com/office/drawing/2014/main" id="{00000000-0008-0000-0600-00000A000000}"/>
              </a:ext>
            </a:extLst>
          </xdr:cNvPr>
          <xdr:cNvSpPr/>
        </xdr:nvSpPr>
        <xdr:spPr>
          <a:xfrm>
            <a:off x="14774232" y="5035110"/>
            <a:ext cx="1195001"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1" name="Rectangle 10">
            <a:extLst>
              <a:ext uri="{FF2B5EF4-FFF2-40B4-BE49-F238E27FC236}">
                <a16:creationId xmlns:a16="http://schemas.microsoft.com/office/drawing/2014/main" id="{00000000-0008-0000-0600-00000B000000}"/>
              </a:ext>
            </a:extLst>
          </xdr:cNvPr>
          <xdr:cNvSpPr/>
        </xdr:nvSpPr>
        <xdr:spPr>
          <a:xfrm>
            <a:off x="16131545" y="5038373"/>
            <a:ext cx="11950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2" name="Rectangle 11">
            <a:extLst>
              <a:ext uri="{FF2B5EF4-FFF2-40B4-BE49-F238E27FC236}">
                <a16:creationId xmlns:a16="http://schemas.microsoft.com/office/drawing/2014/main" id="{00000000-0008-0000-0600-00000C000000}"/>
              </a:ext>
            </a:extLst>
          </xdr:cNvPr>
          <xdr:cNvSpPr/>
        </xdr:nvSpPr>
        <xdr:spPr>
          <a:xfrm>
            <a:off x="17451716" y="5053541"/>
            <a:ext cx="11950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138182</xdr:colOff>
          <xdr:row>0</xdr:row>
          <xdr:rowOff>47625</xdr:rowOff>
        </xdr:from>
        <xdr:to>
          <xdr:col>8</xdr:col>
          <xdr:colOff>801041</xdr:colOff>
          <xdr:row>2</xdr:row>
          <xdr:rowOff>69492</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5515112" y="47625"/>
              <a:ext cx="2723478" cy="300909"/>
              <a:chOff x="3652682" y="47625"/>
              <a:chExt cx="2561757" cy="310184"/>
            </a:xfrm>
          </xdr:grpSpPr>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3652682" y="47625"/>
                <a:ext cx="1162876" cy="310184"/>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Main Sheet</a:t>
                </a:r>
              </a:p>
            </xdr:txBody>
          </xdr:sp>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5090901" y="47625"/>
                <a:ext cx="1123538" cy="310184"/>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Billing Details</a:t>
                </a:r>
              </a:p>
            </xdr:txBody>
          </xdr:sp>
        </xdr:grpSp>
        <xdr:clientData fPrintsWithSheet="0"/>
      </xdr:twoCellAnchor>
    </mc:Choice>
    <mc:Fallback/>
  </mc:AlternateContent>
  <xdr:twoCellAnchor>
    <xdr:from>
      <xdr:col>9</xdr:col>
      <xdr:colOff>55035</xdr:colOff>
      <xdr:row>24</xdr:row>
      <xdr:rowOff>57150</xdr:rowOff>
    </xdr:from>
    <xdr:to>
      <xdr:col>10</xdr:col>
      <xdr:colOff>764118</xdr:colOff>
      <xdr:row>25</xdr:row>
      <xdr:rowOff>152400</xdr:rowOff>
    </xdr:to>
    <xdr:sp macro="[0]!ExpenseBud" textlink="">
      <xdr:nvSpPr>
        <xdr:cNvPr id="6" name="Rectangle 5">
          <a:extLst>
            <a:ext uri="{FF2B5EF4-FFF2-40B4-BE49-F238E27FC236}">
              <a16:creationId xmlns:a16="http://schemas.microsoft.com/office/drawing/2014/main" id="{00000000-0008-0000-0500-000006000000}"/>
            </a:ext>
          </a:extLst>
        </xdr:cNvPr>
        <xdr:cNvSpPr/>
      </xdr:nvSpPr>
      <xdr:spPr>
        <a:xfrm>
          <a:off x="7281335" y="2762250"/>
          <a:ext cx="1496483" cy="311150"/>
        </a:xfrm>
        <a:prstGeom prst="rect">
          <a:avLst/>
        </a:prstGeom>
        <a:solidFill>
          <a:schemeClr val="accent1">
            <a:alpha val="52000"/>
          </a:schemeClr>
        </a:solidFill>
        <a:ln>
          <a:solidFill>
            <a:schemeClr val="accent1">
              <a:shade val="50000"/>
              <a:alpha val="4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Expenses Budgeting</a:t>
          </a:r>
        </a:p>
      </xdr:txBody>
    </xdr:sp>
    <xdr:clientData/>
  </xdr:twoCellAnchor>
  <xdr:twoCellAnchor>
    <xdr:from>
      <xdr:col>15</xdr:col>
      <xdr:colOff>148162</xdr:colOff>
      <xdr:row>4</xdr:row>
      <xdr:rowOff>21166</xdr:rowOff>
    </xdr:from>
    <xdr:to>
      <xdr:col>15</xdr:col>
      <xdr:colOff>1365246</xdr:colOff>
      <xdr:row>24</xdr:row>
      <xdr:rowOff>222248</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13316810" y="579251"/>
          <a:ext cx="1217084" cy="3037546"/>
          <a:chOff x="8433787" y="222250"/>
          <a:chExt cx="1228796" cy="2465915"/>
        </a:xfrm>
      </xdr:grpSpPr>
      <xdr:sp macro="[0]!Back_to_MAIN" textlink="">
        <xdr:nvSpPr>
          <xdr:cNvPr id="8" name="Rectangle 7">
            <a:extLst>
              <a:ext uri="{FF2B5EF4-FFF2-40B4-BE49-F238E27FC236}">
                <a16:creationId xmlns:a16="http://schemas.microsoft.com/office/drawing/2014/main" id="{00000000-0008-0000-0500-000008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9" name="Rectangle 8">
            <a:extLst>
              <a:ext uri="{FF2B5EF4-FFF2-40B4-BE49-F238E27FC236}">
                <a16:creationId xmlns:a16="http://schemas.microsoft.com/office/drawing/2014/main" id="{00000000-0008-0000-0500-000009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0" name="Rectangle 9">
            <a:extLst>
              <a:ext uri="{FF2B5EF4-FFF2-40B4-BE49-F238E27FC236}">
                <a16:creationId xmlns:a16="http://schemas.microsoft.com/office/drawing/2014/main" id="{00000000-0008-0000-0500-00000A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1" name="Rectangle 10">
            <a:extLst>
              <a:ext uri="{FF2B5EF4-FFF2-40B4-BE49-F238E27FC236}">
                <a16:creationId xmlns:a16="http://schemas.microsoft.com/office/drawing/2014/main" id="{00000000-0008-0000-0500-00000B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2" name="Rectangle 11">
            <a:extLst>
              <a:ext uri="{FF2B5EF4-FFF2-40B4-BE49-F238E27FC236}">
                <a16:creationId xmlns:a16="http://schemas.microsoft.com/office/drawing/2014/main" id="{00000000-0008-0000-0500-00000C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3" name="Rectangle 12">
            <a:extLst>
              <a:ext uri="{FF2B5EF4-FFF2-40B4-BE49-F238E27FC236}">
                <a16:creationId xmlns:a16="http://schemas.microsoft.com/office/drawing/2014/main" id="{00000000-0008-0000-0500-00000D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4" name="Rectangle 13">
            <a:extLst>
              <a:ext uri="{FF2B5EF4-FFF2-40B4-BE49-F238E27FC236}">
                <a16:creationId xmlns:a16="http://schemas.microsoft.com/office/drawing/2014/main" id="{00000000-0008-0000-0500-00000E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1196340</xdr:colOff>
          <xdr:row>0</xdr:row>
          <xdr:rowOff>53340</xdr:rowOff>
        </xdr:from>
        <xdr:to>
          <xdr:col>5</xdr:col>
          <xdr:colOff>480060</xdr:colOff>
          <xdr:row>2</xdr:row>
          <xdr:rowOff>91440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Main Sheet</a:t>
              </a:r>
            </a:p>
          </xdr:txBody>
        </xdr:sp>
        <xdr:clientData fPrintsWithSheet="0"/>
      </xdr:twoCellAnchor>
    </mc:Choice>
    <mc:Fallback/>
  </mc:AlternateContent>
  <xdr:twoCellAnchor>
    <xdr:from>
      <xdr:col>8</xdr:col>
      <xdr:colOff>381000</xdr:colOff>
      <xdr:row>40</xdr:row>
      <xdr:rowOff>95250</xdr:rowOff>
    </xdr:from>
    <xdr:to>
      <xdr:col>8</xdr:col>
      <xdr:colOff>1164166</xdr:colOff>
      <xdr:row>42</xdr:row>
      <xdr:rowOff>26459</xdr:rowOff>
    </xdr:to>
    <xdr:sp macro="[0]!_xludf.HELP" textlink="">
      <xdr:nvSpPr>
        <xdr:cNvPr id="3" name="Rectangle 2">
          <a:extLst>
            <a:ext uri="{FF2B5EF4-FFF2-40B4-BE49-F238E27FC236}">
              <a16:creationId xmlns:a16="http://schemas.microsoft.com/office/drawing/2014/main" id="{00000000-0008-0000-0700-000003000000}"/>
            </a:ext>
          </a:extLst>
        </xdr:cNvPr>
        <xdr:cNvSpPr/>
      </xdr:nvSpPr>
      <xdr:spPr>
        <a:xfrm>
          <a:off x="9429750" y="7250906"/>
          <a:ext cx="783166" cy="2645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clientData/>
  </xdr:twoCellAnchor>
  <xdr:twoCellAnchor>
    <xdr:from>
      <xdr:col>10</xdr:col>
      <xdr:colOff>250031</xdr:colOff>
      <xdr:row>1</xdr:row>
      <xdr:rowOff>154781</xdr:rowOff>
    </xdr:from>
    <xdr:to>
      <xdr:col>10</xdr:col>
      <xdr:colOff>1467115</xdr:colOff>
      <xdr:row>16</xdr:row>
      <xdr:rowOff>96571</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11216653" y="319538"/>
          <a:ext cx="1217084" cy="2413141"/>
          <a:chOff x="8433787" y="222250"/>
          <a:chExt cx="1228796" cy="2465915"/>
        </a:xfrm>
      </xdr:grpSpPr>
      <xdr:sp macro="[0]!Back_to_MAIN" textlink="">
        <xdr:nvSpPr>
          <xdr:cNvPr id="5" name="Rectangle 4">
            <a:extLst>
              <a:ext uri="{FF2B5EF4-FFF2-40B4-BE49-F238E27FC236}">
                <a16:creationId xmlns:a16="http://schemas.microsoft.com/office/drawing/2014/main" id="{00000000-0008-0000-0700-000005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6" name="Rectangle 5">
            <a:extLst>
              <a:ext uri="{FF2B5EF4-FFF2-40B4-BE49-F238E27FC236}">
                <a16:creationId xmlns:a16="http://schemas.microsoft.com/office/drawing/2014/main" id="{00000000-0008-0000-0700-000006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7" name="Rectangle 6">
            <a:extLst>
              <a:ext uri="{FF2B5EF4-FFF2-40B4-BE49-F238E27FC236}">
                <a16:creationId xmlns:a16="http://schemas.microsoft.com/office/drawing/2014/main" id="{00000000-0008-0000-0700-000007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8" name="Rectangle 7">
            <a:extLst>
              <a:ext uri="{FF2B5EF4-FFF2-40B4-BE49-F238E27FC236}">
                <a16:creationId xmlns:a16="http://schemas.microsoft.com/office/drawing/2014/main" id="{00000000-0008-0000-0700-000008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9" name="Rectangle 8">
            <a:extLst>
              <a:ext uri="{FF2B5EF4-FFF2-40B4-BE49-F238E27FC236}">
                <a16:creationId xmlns:a16="http://schemas.microsoft.com/office/drawing/2014/main" id="{00000000-0008-0000-0700-000009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0" name="Rectangle 9">
            <a:extLst>
              <a:ext uri="{FF2B5EF4-FFF2-40B4-BE49-F238E27FC236}">
                <a16:creationId xmlns:a16="http://schemas.microsoft.com/office/drawing/2014/main" id="{00000000-0008-0000-0700-00000A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1" name="Rectangle 10">
            <a:extLst>
              <a:ext uri="{FF2B5EF4-FFF2-40B4-BE49-F238E27FC236}">
                <a16:creationId xmlns:a16="http://schemas.microsoft.com/office/drawing/2014/main" id="{00000000-0008-0000-0700-00000B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32372</xdr:colOff>
      <xdr:row>3</xdr:row>
      <xdr:rowOff>7939</xdr:rowOff>
    </xdr:from>
    <xdr:to>
      <xdr:col>7</xdr:col>
      <xdr:colOff>1444314</xdr:colOff>
      <xdr:row>4</xdr:row>
      <xdr:rowOff>3098</xdr:rowOff>
    </xdr:to>
    <xdr:sp macro="[0]!NewWins" textlink="">
      <xdr:nvSpPr>
        <xdr:cNvPr id="3" name="Rectangle 2">
          <a:extLst>
            <a:ext uri="{FF2B5EF4-FFF2-40B4-BE49-F238E27FC236}">
              <a16:creationId xmlns:a16="http://schemas.microsoft.com/office/drawing/2014/main" id="{00000000-0008-0000-0200-000003000000}"/>
            </a:ext>
          </a:extLst>
        </xdr:cNvPr>
        <xdr:cNvSpPr/>
      </xdr:nvSpPr>
      <xdr:spPr>
        <a:xfrm>
          <a:off x="7377205" y="452439"/>
          <a:ext cx="1411942" cy="19835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Wins Form</a:t>
          </a:r>
        </a:p>
      </xdr:txBody>
    </xdr:sp>
    <xdr:clientData/>
  </xdr:twoCellAnchor>
  <xdr:twoCellAnchor>
    <xdr:from>
      <xdr:col>11</xdr:col>
      <xdr:colOff>224120</xdr:colOff>
      <xdr:row>2</xdr:row>
      <xdr:rowOff>11206</xdr:rowOff>
    </xdr:from>
    <xdr:to>
      <xdr:col>11</xdr:col>
      <xdr:colOff>1452916</xdr:colOff>
      <xdr:row>12</xdr:row>
      <xdr:rowOff>202327</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10972331" y="251838"/>
          <a:ext cx="1228796" cy="2537278"/>
          <a:chOff x="8433787" y="222250"/>
          <a:chExt cx="1228796" cy="2465915"/>
        </a:xfrm>
      </xdr:grpSpPr>
      <xdr:sp macro="[0]!Back_to_MAIN" textlink="">
        <xdr:nvSpPr>
          <xdr:cNvPr id="10" name="Rectangle 9">
            <a:extLst>
              <a:ext uri="{FF2B5EF4-FFF2-40B4-BE49-F238E27FC236}">
                <a16:creationId xmlns:a16="http://schemas.microsoft.com/office/drawing/2014/main" id="{00000000-0008-0000-0200-00000A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11" name="Rectangle 10">
            <a:extLst>
              <a:ext uri="{FF2B5EF4-FFF2-40B4-BE49-F238E27FC236}">
                <a16:creationId xmlns:a16="http://schemas.microsoft.com/office/drawing/2014/main" id="{00000000-0008-0000-0200-00000B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12" name="Rectangle 11">
            <a:extLst>
              <a:ext uri="{FF2B5EF4-FFF2-40B4-BE49-F238E27FC236}">
                <a16:creationId xmlns:a16="http://schemas.microsoft.com/office/drawing/2014/main" id="{00000000-0008-0000-0200-00000C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13" name="Rectangle 12">
            <a:extLst>
              <a:ext uri="{FF2B5EF4-FFF2-40B4-BE49-F238E27FC236}">
                <a16:creationId xmlns:a16="http://schemas.microsoft.com/office/drawing/2014/main" id="{00000000-0008-0000-0200-00000D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14" name="Rectangle 13">
            <a:extLst>
              <a:ext uri="{FF2B5EF4-FFF2-40B4-BE49-F238E27FC236}">
                <a16:creationId xmlns:a16="http://schemas.microsoft.com/office/drawing/2014/main" id="{00000000-0008-0000-0200-00000E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15" name="Rectangle 14">
            <a:extLst>
              <a:ext uri="{FF2B5EF4-FFF2-40B4-BE49-F238E27FC236}">
                <a16:creationId xmlns:a16="http://schemas.microsoft.com/office/drawing/2014/main" id="{00000000-0008-0000-0200-00000F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16" name="Rectangle 15">
            <a:extLst>
              <a:ext uri="{FF2B5EF4-FFF2-40B4-BE49-F238E27FC236}">
                <a16:creationId xmlns:a16="http://schemas.microsoft.com/office/drawing/2014/main" id="{00000000-0008-0000-0200-000010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156884</xdr:colOff>
      <xdr:row>16</xdr:row>
      <xdr:rowOff>1</xdr:rowOff>
    </xdr:from>
    <xdr:to>
      <xdr:col>14</xdr:col>
      <xdr:colOff>2588559</xdr:colOff>
      <xdr:row>24</xdr:row>
      <xdr:rowOff>156883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246529</xdr:colOff>
      <xdr:row>27</xdr:row>
      <xdr:rowOff>44824</xdr:rowOff>
    </xdr:from>
    <xdr:to>
      <xdr:col>14</xdr:col>
      <xdr:colOff>2678206</xdr:colOff>
      <xdr:row>41</xdr:row>
      <xdr:rowOff>190500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179294</xdr:colOff>
      <xdr:row>16</xdr:row>
      <xdr:rowOff>22411</xdr:rowOff>
    </xdr:from>
    <xdr:to>
      <xdr:col>13</xdr:col>
      <xdr:colOff>313765</xdr:colOff>
      <xdr:row>16</xdr:row>
      <xdr:rowOff>302558</xdr:rowOff>
    </xdr:to>
    <xdr:sp macro="" textlink="$G$24">
      <xdr:nvSpPr>
        <xdr:cNvPr id="6" name="TextBox 5">
          <a:extLst>
            <a:ext uri="{FF2B5EF4-FFF2-40B4-BE49-F238E27FC236}">
              <a16:creationId xmlns:a16="http://schemas.microsoft.com/office/drawing/2014/main" id="{00000000-0008-0000-0900-000006000000}"/>
            </a:ext>
          </a:extLst>
        </xdr:cNvPr>
        <xdr:cNvSpPr txBox="1"/>
      </xdr:nvSpPr>
      <xdr:spPr>
        <a:xfrm>
          <a:off x="7082118" y="4639235"/>
          <a:ext cx="1882588" cy="28014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6AE4BC-3AA9-4FEE-8638-4AF1C09B8585}" type="TxLink">
            <a:rPr lang="en-US" sz="1100"/>
            <a:pPr/>
            <a:t>Budgeted Recovery %  36.3</a:t>
          </a:fld>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283174</xdr:colOff>
          <xdr:row>45</xdr:row>
          <xdr:rowOff>157296</xdr:rowOff>
        </xdr:from>
        <xdr:to>
          <xdr:col>14</xdr:col>
          <xdr:colOff>608153</xdr:colOff>
          <xdr:row>51</xdr:row>
          <xdr:rowOff>200709</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9622823" y="12009485"/>
              <a:ext cx="324979" cy="1917521"/>
              <a:chOff x="9099229" y="12135978"/>
              <a:chExt cx="382662" cy="1882557"/>
            </a:xfrm>
            <a:solidFill>
              <a:srgbClr val="FFFF99"/>
            </a:solidFill>
          </xdr:grpSpPr>
          <xdr:sp macro="" textlink="">
            <xdr:nvSpPr>
              <xdr:cNvPr id="33793" name="CheckBox1" hidden="1">
                <a:extLst>
                  <a:ext uri="{63B3BB69-23CF-44E3-9099-C40C66FF867C}">
                    <a14:compatExt spid="_x0000_s33793"/>
                  </a:ext>
                  <a:ext uri="{FF2B5EF4-FFF2-40B4-BE49-F238E27FC236}">
                    <a16:creationId xmlns:a16="http://schemas.microsoft.com/office/drawing/2014/main" id="{00000000-0008-0000-0900-000001840000}"/>
                  </a:ext>
                </a:extLst>
              </xdr:cNvPr>
              <xdr:cNvSpPr/>
            </xdr:nvSpPr>
            <xdr:spPr bwMode="auto">
              <a:xfrm>
                <a:off x="9099229" y="12135978"/>
                <a:ext cx="380684" cy="396159"/>
              </a:xfrm>
              <a:prstGeom prst="rect">
                <a:avLst/>
              </a:prstGeom>
              <a:noFill/>
              <a:ln>
                <a:noFill/>
              </a:ln>
              <a:extLst>
                <a:ext uri="{91240B29-F687-4F45-9708-019B960494DF}">
                  <a14:hiddenLine w="9525">
                    <a:noFill/>
                    <a:miter lim="800000"/>
                    <a:headEnd/>
                    <a:tailEnd/>
                  </a14:hiddenLine>
                </a:ext>
              </a:extLst>
            </xdr:spPr>
          </xdr:sp>
          <xdr:sp macro="" textlink="">
            <xdr:nvSpPr>
              <xdr:cNvPr id="33795" name="CheckBox2" hidden="1">
                <a:extLst>
                  <a:ext uri="{63B3BB69-23CF-44E3-9099-C40C66FF867C}">
                    <a14:compatExt spid="_x0000_s33795"/>
                  </a:ext>
                  <a:ext uri="{FF2B5EF4-FFF2-40B4-BE49-F238E27FC236}">
                    <a16:creationId xmlns:a16="http://schemas.microsoft.com/office/drawing/2014/main" id="{00000000-0008-0000-0900-000003840000}"/>
                  </a:ext>
                </a:extLst>
              </xdr:cNvPr>
              <xdr:cNvSpPr/>
            </xdr:nvSpPr>
            <xdr:spPr bwMode="auto">
              <a:xfrm>
                <a:off x="9100865" y="12485036"/>
                <a:ext cx="377951" cy="393328"/>
              </a:xfrm>
              <a:prstGeom prst="rect">
                <a:avLst/>
              </a:prstGeom>
              <a:noFill/>
              <a:ln>
                <a:noFill/>
              </a:ln>
              <a:extLst>
                <a:ext uri="{91240B29-F687-4F45-9708-019B960494DF}">
                  <a14:hiddenLine w="9525">
                    <a:noFill/>
                    <a:miter lim="800000"/>
                    <a:headEnd/>
                    <a:tailEnd/>
                  </a14:hiddenLine>
                </a:ext>
              </a:extLst>
            </xdr:spPr>
          </xdr:sp>
          <xdr:sp macro="" textlink="">
            <xdr:nvSpPr>
              <xdr:cNvPr id="33796" name="CheckBox3" hidden="1">
                <a:extLst>
                  <a:ext uri="{63B3BB69-23CF-44E3-9099-C40C66FF867C}">
                    <a14:compatExt spid="_x0000_s33796"/>
                  </a:ext>
                  <a:ext uri="{FF2B5EF4-FFF2-40B4-BE49-F238E27FC236}">
                    <a16:creationId xmlns:a16="http://schemas.microsoft.com/office/drawing/2014/main" id="{00000000-0008-0000-0900-000004840000}"/>
                  </a:ext>
                </a:extLst>
              </xdr:cNvPr>
              <xdr:cNvSpPr/>
            </xdr:nvSpPr>
            <xdr:spPr bwMode="auto">
              <a:xfrm>
                <a:off x="9100854" y="12877801"/>
                <a:ext cx="369801" cy="393325"/>
              </a:xfrm>
              <a:prstGeom prst="rect">
                <a:avLst/>
              </a:prstGeom>
              <a:noFill/>
              <a:ln>
                <a:noFill/>
              </a:ln>
              <a:extLst>
                <a:ext uri="{91240B29-F687-4F45-9708-019B960494DF}">
                  <a14:hiddenLine w="9525">
                    <a:noFill/>
                    <a:miter lim="800000"/>
                    <a:headEnd/>
                    <a:tailEnd/>
                  </a14:hiddenLine>
                </a:ext>
              </a:extLst>
            </xdr:spPr>
          </xdr:sp>
          <xdr:sp macro="" textlink="">
            <xdr:nvSpPr>
              <xdr:cNvPr id="33797" name="CheckBox4" hidden="1">
                <a:extLst>
                  <a:ext uri="{63B3BB69-23CF-44E3-9099-C40C66FF867C}">
                    <a14:compatExt spid="_x0000_s33797"/>
                  </a:ext>
                  <a:ext uri="{FF2B5EF4-FFF2-40B4-BE49-F238E27FC236}">
                    <a16:creationId xmlns:a16="http://schemas.microsoft.com/office/drawing/2014/main" id="{00000000-0008-0000-0900-000005840000}"/>
                  </a:ext>
                </a:extLst>
              </xdr:cNvPr>
              <xdr:cNvSpPr/>
            </xdr:nvSpPr>
            <xdr:spPr bwMode="auto">
              <a:xfrm>
                <a:off x="9112101" y="13242554"/>
                <a:ext cx="369790" cy="393328"/>
              </a:xfrm>
              <a:prstGeom prst="rect">
                <a:avLst/>
              </a:prstGeom>
              <a:noFill/>
              <a:ln>
                <a:noFill/>
              </a:ln>
              <a:extLst>
                <a:ext uri="{91240B29-F687-4F45-9708-019B960494DF}">
                  <a14:hiddenLine w="9525">
                    <a:noFill/>
                    <a:miter lim="800000"/>
                    <a:headEnd/>
                    <a:tailEnd/>
                  </a14:hiddenLine>
                </a:ext>
              </a:extLst>
            </xdr:spPr>
          </xdr:sp>
          <xdr:sp macro="" textlink="">
            <xdr:nvSpPr>
              <xdr:cNvPr id="33798" name="CheckBox5" hidden="1">
                <a:extLst>
                  <a:ext uri="{63B3BB69-23CF-44E3-9099-C40C66FF867C}">
                    <a14:compatExt spid="_x0000_s33798"/>
                  </a:ext>
                  <a:ext uri="{FF2B5EF4-FFF2-40B4-BE49-F238E27FC236}">
                    <a16:creationId xmlns:a16="http://schemas.microsoft.com/office/drawing/2014/main" id="{00000000-0008-0000-0900-000006840000}"/>
                  </a:ext>
                </a:extLst>
              </xdr:cNvPr>
              <xdr:cNvSpPr/>
            </xdr:nvSpPr>
            <xdr:spPr bwMode="auto">
              <a:xfrm>
                <a:off x="9110380" y="13625210"/>
                <a:ext cx="369790" cy="3933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18</xdr:col>
      <xdr:colOff>30032</xdr:colOff>
      <xdr:row>1</xdr:row>
      <xdr:rowOff>81281</xdr:rowOff>
    </xdr:from>
    <xdr:to>
      <xdr:col>19</xdr:col>
      <xdr:colOff>501954</xdr:colOff>
      <xdr:row>2</xdr:row>
      <xdr:rowOff>37441</xdr:rowOff>
    </xdr:to>
    <xdr:sp macro="[0]!_xludf.Copy" textlink="">
      <xdr:nvSpPr>
        <xdr:cNvPr id="17" name="Rectangle 16">
          <a:extLst>
            <a:ext uri="{FF2B5EF4-FFF2-40B4-BE49-F238E27FC236}">
              <a16:creationId xmlns:a16="http://schemas.microsoft.com/office/drawing/2014/main" id="{00000000-0008-0000-0900-000011000000}"/>
            </a:ext>
          </a:extLst>
        </xdr:cNvPr>
        <xdr:cNvSpPr/>
      </xdr:nvSpPr>
      <xdr:spPr>
        <a:xfrm>
          <a:off x="13699694" y="261484"/>
          <a:ext cx="1287125" cy="2393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Copy</a:t>
          </a:r>
          <a:r>
            <a:rPr lang="en-US" sz="1100" b="1" baseline="0"/>
            <a:t> Report</a:t>
          </a:r>
          <a:endParaRPr lang="en-US" sz="1100" b="1"/>
        </a:p>
      </xdr:txBody>
    </xdr:sp>
    <xdr:clientData/>
  </xdr:twoCellAnchor>
  <xdr:twoCellAnchor>
    <xdr:from>
      <xdr:col>18</xdr:col>
      <xdr:colOff>44824</xdr:colOff>
      <xdr:row>3</xdr:row>
      <xdr:rowOff>11205</xdr:rowOff>
    </xdr:from>
    <xdr:to>
      <xdr:col>19</xdr:col>
      <xdr:colOff>477496</xdr:colOff>
      <xdr:row>9</xdr:row>
      <xdr:rowOff>280768</xdr:rowOff>
    </xdr:to>
    <xdr:grpSp>
      <xdr:nvGrpSpPr>
        <xdr:cNvPr id="18" name="Group 17">
          <a:extLst>
            <a:ext uri="{FF2B5EF4-FFF2-40B4-BE49-F238E27FC236}">
              <a16:creationId xmlns:a16="http://schemas.microsoft.com/office/drawing/2014/main" id="{00000000-0008-0000-0900-000012000000}"/>
            </a:ext>
          </a:extLst>
        </xdr:cNvPr>
        <xdr:cNvGrpSpPr/>
      </xdr:nvGrpSpPr>
      <xdr:grpSpPr>
        <a:xfrm>
          <a:off x="13462202" y="598151"/>
          <a:ext cx="1235862" cy="2452590"/>
          <a:chOff x="8433787" y="222250"/>
          <a:chExt cx="1228796" cy="2465915"/>
        </a:xfrm>
      </xdr:grpSpPr>
      <xdr:sp macro="[0]!Back_to_MAIN" textlink="">
        <xdr:nvSpPr>
          <xdr:cNvPr id="19" name="Rectangle 18">
            <a:extLst>
              <a:ext uri="{FF2B5EF4-FFF2-40B4-BE49-F238E27FC236}">
                <a16:creationId xmlns:a16="http://schemas.microsoft.com/office/drawing/2014/main" id="{00000000-0008-0000-0900-000013000000}"/>
              </a:ext>
            </a:extLst>
          </xdr:cNvPr>
          <xdr:cNvSpPr/>
        </xdr:nvSpPr>
        <xdr:spPr>
          <a:xfrm>
            <a:off x="8444370" y="222250"/>
            <a:ext cx="1218213"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Main</a:t>
            </a:r>
          </a:p>
        </xdr:txBody>
      </xdr:sp>
      <xdr:sp macro="[0]!_xludf.HELP" textlink="">
        <xdr:nvSpPr>
          <xdr:cNvPr id="20" name="Rectangle 19">
            <a:extLst>
              <a:ext uri="{FF2B5EF4-FFF2-40B4-BE49-F238E27FC236}">
                <a16:creationId xmlns:a16="http://schemas.microsoft.com/office/drawing/2014/main" id="{00000000-0008-0000-0900-000014000000}"/>
              </a:ext>
            </a:extLst>
          </xdr:cNvPr>
          <xdr:cNvSpPr/>
        </xdr:nvSpPr>
        <xdr:spPr>
          <a:xfrm>
            <a:off x="8444370" y="594607"/>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HELP</a:t>
            </a:r>
          </a:p>
        </xdr:txBody>
      </xdr:sp>
      <xdr:sp macro="[0]!ExpenseBud" textlink="">
        <xdr:nvSpPr>
          <xdr:cNvPr id="21" name="Rectangle 20">
            <a:extLst>
              <a:ext uri="{FF2B5EF4-FFF2-40B4-BE49-F238E27FC236}">
                <a16:creationId xmlns:a16="http://schemas.microsoft.com/office/drawing/2014/main" id="{00000000-0008-0000-0900-000015000000}"/>
              </a:ext>
            </a:extLst>
          </xdr:cNvPr>
          <xdr:cNvSpPr/>
        </xdr:nvSpPr>
        <xdr:spPr>
          <a:xfrm>
            <a:off x="8444370" y="1348846"/>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Expense </a:t>
            </a:r>
          </a:p>
        </xdr:txBody>
      </xdr:sp>
      <xdr:sp macro="[0]!FAO" textlink="">
        <xdr:nvSpPr>
          <xdr:cNvPr id="22" name="Rectangle 21">
            <a:extLst>
              <a:ext uri="{FF2B5EF4-FFF2-40B4-BE49-F238E27FC236}">
                <a16:creationId xmlns:a16="http://schemas.microsoft.com/office/drawing/2014/main" id="{00000000-0008-0000-0900-000016000000}"/>
              </a:ext>
            </a:extLst>
          </xdr:cNvPr>
          <xdr:cNvSpPr/>
        </xdr:nvSpPr>
        <xdr:spPr>
          <a:xfrm>
            <a:off x="8433787" y="966964"/>
            <a:ext cx="1206500" cy="231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Fees &amp; Outlays</a:t>
            </a:r>
          </a:p>
        </xdr:txBody>
      </xdr:sp>
      <xdr:sp macro="[0]!Billings" textlink="">
        <xdr:nvSpPr>
          <xdr:cNvPr id="23" name="Rectangle 22">
            <a:extLst>
              <a:ext uri="{FF2B5EF4-FFF2-40B4-BE49-F238E27FC236}">
                <a16:creationId xmlns:a16="http://schemas.microsoft.com/office/drawing/2014/main" id="{00000000-0008-0000-0900-000017000000}"/>
              </a:ext>
            </a:extLst>
          </xdr:cNvPr>
          <xdr:cNvSpPr/>
        </xdr:nvSpPr>
        <xdr:spPr>
          <a:xfrm>
            <a:off x="8444370" y="1721203"/>
            <a:ext cx="1206500"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Billing</a:t>
            </a:r>
          </a:p>
        </xdr:txBody>
      </xdr:sp>
      <xdr:sp macro="[0]!NewWins" textlink="">
        <xdr:nvSpPr>
          <xdr:cNvPr id="24" name="Rectangle 23">
            <a:extLst>
              <a:ext uri="{FF2B5EF4-FFF2-40B4-BE49-F238E27FC236}">
                <a16:creationId xmlns:a16="http://schemas.microsoft.com/office/drawing/2014/main" id="{00000000-0008-0000-0900-000018000000}"/>
              </a:ext>
            </a:extLst>
          </xdr:cNvPr>
          <xdr:cNvSpPr/>
        </xdr:nvSpPr>
        <xdr:spPr>
          <a:xfrm>
            <a:off x="8444370" y="2093560"/>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New Win Form</a:t>
            </a:r>
          </a:p>
        </xdr:txBody>
      </xdr:sp>
      <xdr:sp macro="[0]!SAReview" textlink="">
        <xdr:nvSpPr>
          <xdr:cNvPr id="25" name="Rectangle 24">
            <a:extLst>
              <a:ext uri="{FF2B5EF4-FFF2-40B4-BE49-F238E27FC236}">
                <a16:creationId xmlns:a16="http://schemas.microsoft.com/office/drawing/2014/main" id="{00000000-0008-0000-0900-000019000000}"/>
              </a:ext>
            </a:extLst>
          </xdr:cNvPr>
          <xdr:cNvSpPr/>
        </xdr:nvSpPr>
        <xdr:spPr>
          <a:xfrm>
            <a:off x="8454954" y="2465916"/>
            <a:ext cx="1206499" cy="2222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Project</a:t>
            </a:r>
            <a:r>
              <a:rPr lang="en-US" sz="1100" b="1" baseline="0"/>
              <a:t> Summary</a:t>
            </a:r>
            <a:endParaRPr lang="en-US" sz="1100" b="1"/>
          </a:p>
        </xdr:txBody>
      </xdr:sp>
    </xdr:grpSp>
    <xdr:clientData/>
  </xdr:twoCellAnchor>
</xdr:wsDr>
</file>

<file path=xl/drawings/drawing10.xml><?xml version="1.0" encoding="utf-8"?>
<c:userShapes xmlns:c="http://schemas.openxmlformats.org/drawingml/2006/chart">
  <cdr:relSizeAnchor xmlns:cdr="http://schemas.openxmlformats.org/drawingml/2006/chartDrawing">
    <cdr:from>
      <cdr:x>0.31818</cdr:x>
      <cdr:y>0.02488</cdr:y>
    </cdr:from>
    <cdr:to>
      <cdr:x>0.63369</cdr:x>
      <cdr:y>0.1592</cdr:y>
    </cdr:to>
    <cdr:sp macro="" textlink="">
      <cdr:nvSpPr>
        <cdr:cNvPr id="2" name="TextBox 1"/>
        <cdr:cNvSpPr txBox="1"/>
      </cdr:nvSpPr>
      <cdr:spPr>
        <a:xfrm xmlns:a="http://schemas.openxmlformats.org/drawingml/2006/main">
          <a:off x="1333501" y="56030"/>
          <a:ext cx="1322294" cy="3025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0.0365</cdr:x>
      <cdr:y>0.07983</cdr:y>
    </cdr:from>
    <cdr:to>
      <cdr:x>0.19951</cdr:x>
      <cdr:y>0.15966</cdr:y>
    </cdr:to>
    <cdr:sp macro="" textlink="">
      <cdr:nvSpPr>
        <cdr:cNvPr id="4" name="TextBox 3"/>
        <cdr:cNvSpPr txBox="1"/>
      </cdr:nvSpPr>
      <cdr:spPr>
        <a:xfrm xmlns:a="http://schemas.openxmlformats.org/drawingml/2006/main">
          <a:off x="168086" y="212910"/>
          <a:ext cx="750794" cy="2129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0.0146</cdr:x>
      <cdr:y>0.07143</cdr:y>
    </cdr:from>
    <cdr:to>
      <cdr:x>0.28467</cdr:x>
      <cdr:y>0.18908</cdr:y>
    </cdr:to>
    <cdr:sp macro="" textlink="">
      <cdr:nvSpPr>
        <cdr:cNvPr id="6" name="TextBox 5"/>
        <cdr:cNvSpPr txBox="1"/>
      </cdr:nvSpPr>
      <cdr:spPr>
        <a:xfrm xmlns:a="http://schemas.openxmlformats.org/drawingml/2006/main">
          <a:off x="67233" y="190499"/>
          <a:ext cx="1243853" cy="3137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0.34927</cdr:x>
      <cdr:y>0.05155</cdr:y>
    </cdr:from>
    <cdr:to>
      <cdr:x>0.56341</cdr:x>
      <cdr:y>0.17526</cdr:y>
    </cdr:to>
    <cdr:sp macro="" textlink="">
      <cdr:nvSpPr>
        <cdr:cNvPr id="2" name="TextBox 1"/>
        <cdr:cNvSpPr txBox="1"/>
      </cdr:nvSpPr>
      <cdr:spPr>
        <a:xfrm xmlns:a="http://schemas.openxmlformats.org/drawingml/2006/main">
          <a:off x="1882590" y="112059"/>
          <a:ext cx="1154206" cy="26894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6.vml"/><Relationship Id="rId7" Type="http://schemas.openxmlformats.org/officeDocument/2006/relationships/control" Target="../activeX/activeX3.xml"/><Relationship Id="rId12" Type="http://schemas.openxmlformats.org/officeDocument/2006/relationships/image" Target="../media/image4.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1.emf"/><Relationship Id="rId10"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91"/>
  <sheetViews>
    <sheetView showGridLines="0" zoomScaleNormal="80" workbookViewId="0">
      <pane xSplit="2" ySplit="6" topLeftCell="C89" activePane="bottomRight" state="frozen"/>
      <selection pane="topRight" activeCell="B12" sqref="B12:D12"/>
      <selection pane="bottomLeft" activeCell="B12" sqref="B12:D12"/>
      <selection pane="bottomRight" activeCell="J23" sqref="J23"/>
    </sheetView>
  </sheetViews>
  <sheetFormatPr defaultColWidth="0" defaultRowHeight="14.4"/>
  <cols>
    <col min="1" max="1" width="0.6640625" style="2" customWidth="1"/>
    <col min="2" max="3" width="2.6640625" style="2" customWidth="1"/>
    <col min="4" max="4" width="9.109375" style="1" customWidth="1"/>
    <col min="5" max="5" width="18" style="2" customWidth="1"/>
    <col min="6" max="6" width="6.6640625" style="2" customWidth="1"/>
    <col min="7" max="7" width="6.33203125" style="2" customWidth="1"/>
    <col min="8" max="8" width="3.109375" style="2" customWidth="1"/>
    <col min="9" max="9" width="1.6640625" style="2" customWidth="1"/>
    <col min="10" max="10" width="28.6640625" style="2" customWidth="1"/>
    <col min="11" max="11" width="1.5546875" style="2" customWidth="1"/>
    <col min="12" max="17" width="9.109375" style="2" customWidth="1"/>
    <col min="18" max="18" width="19.5546875" style="2" customWidth="1"/>
    <col min="19" max="19" width="9.109375" style="2" customWidth="1"/>
    <col min="20" max="21" width="0.5546875" style="2" customWidth="1"/>
    <col min="22" max="23" width="2.44140625" style="2" customWidth="1"/>
    <col min="24" max="25" width="9.109375" style="2" customWidth="1"/>
    <col min="26" max="27" width="0" style="2" hidden="1" customWidth="1"/>
    <col min="28" max="16384" width="9.109375" style="2" hidden="1"/>
  </cols>
  <sheetData>
    <row r="1" spans="4:24" ht="1.5" customHeight="1">
      <c r="D1" s="477"/>
    </row>
    <row r="2" spans="4:24" ht="4.5" customHeight="1" thickBot="1"/>
    <row r="3" spans="4:24" ht="11.25" customHeight="1">
      <c r="D3" s="799" t="s">
        <v>0</v>
      </c>
      <c r="E3" s="800"/>
      <c r="F3" s="800"/>
      <c r="G3" s="800"/>
      <c r="H3" s="800"/>
      <c r="I3" s="800"/>
      <c r="J3" s="800"/>
      <c r="K3" s="800"/>
      <c r="L3" s="800"/>
      <c r="M3" s="800"/>
      <c r="N3" s="800"/>
      <c r="O3" s="800"/>
      <c r="P3" s="800"/>
      <c r="Q3" s="800"/>
      <c r="R3" s="800"/>
      <c r="S3" s="801"/>
    </row>
    <row r="4" spans="4:24" ht="15" thickBot="1">
      <c r="D4" s="802"/>
      <c r="E4" s="803"/>
      <c r="F4" s="803"/>
      <c r="G4" s="803"/>
      <c r="H4" s="803"/>
      <c r="I4" s="803"/>
      <c r="J4" s="803"/>
      <c r="K4" s="803"/>
      <c r="L4" s="803"/>
      <c r="M4" s="803"/>
      <c r="N4" s="803"/>
      <c r="O4" s="803"/>
      <c r="P4" s="803"/>
      <c r="Q4" s="803"/>
      <c r="R4" s="803"/>
      <c r="S4" s="804"/>
      <c r="X4" s="3"/>
    </row>
    <row r="5" spans="4:24" ht="2.25" customHeight="1"/>
    <row r="6" spans="4:24" ht="2.25" customHeight="1" thickBot="1">
      <c r="D6" s="805"/>
      <c r="E6" s="805"/>
      <c r="F6" s="805"/>
      <c r="G6" s="805"/>
      <c r="H6" s="805"/>
      <c r="I6" s="805"/>
      <c r="J6" s="805"/>
      <c r="K6" s="805"/>
      <c r="L6" s="805"/>
      <c r="M6" s="805"/>
      <c r="N6" s="805"/>
      <c r="O6" s="805"/>
      <c r="P6" s="805"/>
      <c r="Q6" s="805"/>
      <c r="R6" s="805"/>
      <c r="S6" s="805"/>
    </row>
    <row r="7" spans="4:24" ht="15.75" customHeight="1">
      <c r="D7" s="4"/>
      <c r="E7" s="5"/>
      <c r="F7" s="5"/>
      <c r="G7" s="5"/>
      <c r="H7" s="5"/>
      <c r="I7" s="5"/>
      <c r="J7" s="5"/>
      <c r="K7" s="5"/>
      <c r="L7" s="5"/>
      <c r="M7" s="5"/>
      <c r="N7" s="5"/>
      <c r="O7" s="5"/>
      <c r="P7" s="5"/>
      <c r="Q7" s="5"/>
      <c r="R7" s="5"/>
      <c r="S7" s="6"/>
    </row>
    <row r="8" spans="4:24">
      <c r="D8" s="7" t="s">
        <v>1</v>
      </c>
      <c r="E8" s="8" t="s">
        <v>2</v>
      </c>
      <c r="F8" s="8"/>
      <c r="G8" s="9" t="s">
        <v>3</v>
      </c>
      <c r="H8" s="10" t="s">
        <v>4</v>
      </c>
      <c r="I8" s="11"/>
      <c r="J8" s="11"/>
      <c r="K8" s="11"/>
      <c r="L8" s="11"/>
      <c r="M8" s="11"/>
      <c r="N8" s="11"/>
      <c r="O8" s="11"/>
      <c r="P8" s="11"/>
      <c r="Q8" s="11"/>
      <c r="R8" s="11"/>
      <c r="S8" s="12"/>
    </row>
    <row r="9" spans="4:24">
      <c r="D9" s="7"/>
      <c r="E9" s="8"/>
      <c r="F9" s="8"/>
      <c r="G9" s="9"/>
      <c r="H9" s="10"/>
      <c r="I9" s="11"/>
      <c r="J9" s="11"/>
      <c r="K9" s="11"/>
      <c r="L9" s="11"/>
      <c r="M9" s="11"/>
      <c r="N9" s="11"/>
      <c r="O9" s="11"/>
      <c r="P9" s="11"/>
      <c r="Q9" s="11"/>
      <c r="R9" s="11"/>
      <c r="S9" s="12"/>
    </row>
    <row r="10" spans="4:24">
      <c r="D10" s="7" t="s">
        <v>1</v>
      </c>
      <c r="E10" s="8" t="s">
        <v>5</v>
      </c>
      <c r="F10" s="8"/>
      <c r="G10" s="9" t="s">
        <v>3</v>
      </c>
      <c r="H10" s="438" t="s">
        <v>6</v>
      </c>
      <c r="I10" s="11"/>
      <c r="J10" s="11"/>
      <c r="K10" s="11"/>
      <c r="L10" s="11"/>
      <c r="M10" s="11"/>
      <c r="N10" s="11"/>
      <c r="O10" s="11"/>
      <c r="P10" s="11"/>
      <c r="Q10" s="11"/>
      <c r="R10" s="11"/>
      <c r="S10" s="12"/>
    </row>
    <row r="11" spans="4:24">
      <c r="D11" s="7"/>
      <c r="E11" s="8"/>
      <c r="F11" s="8"/>
      <c r="G11" s="9"/>
      <c r="H11" s="10"/>
      <c r="I11" s="11"/>
      <c r="J11" s="11"/>
      <c r="K11" s="11"/>
      <c r="L11" s="11"/>
      <c r="M11" s="11"/>
      <c r="N11" s="11"/>
      <c r="O11" s="11"/>
      <c r="P11" s="11"/>
      <c r="Q11" s="11"/>
      <c r="R11" s="11"/>
      <c r="S11" s="12"/>
    </row>
    <row r="12" spans="4:24">
      <c r="D12" s="7" t="s">
        <v>1</v>
      </c>
      <c r="E12" s="8" t="s">
        <v>7</v>
      </c>
      <c r="F12" s="8"/>
      <c r="G12" s="9" t="s">
        <v>3</v>
      </c>
      <c r="H12" s="10" t="s">
        <v>8</v>
      </c>
      <c r="I12" s="11"/>
      <c r="J12" s="11"/>
      <c r="K12" s="11"/>
      <c r="L12" s="11"/>
      <c r="M12" s="11"/>
      <c r="N12" s="11"/>
      <c r="O12" s="11"/>
      <c r="P12" s="11"/>
      <c r="Q12" s="11"/>
      <c r="R12" s="11"/>
      <c r="S12" s="12"/>
    </row>
    <row r="13" spans="4:24">
      <c r="D13" s="7"/>
      <c r="E13" s="8"/>
      <c r="F13" s="8"/>
      <c r="G13" s="9"/>
      <c r="H13" s="10"/>
      <c r="I13" s="11"/>
      <c r="J13" s="11"/>
      <c r="K13" s="11"/>
      <c r="L13" s="11"/>
      <c r="M13" s="11"/>
      <c r="N13" s="11"/>
      <c r="O13" s="11"/>
      <c r="P13" s="11"/>
      <c r="Q13" s="11"/>
      <c r="R13" s="11"/>
      <c r="S13" s="12"/>
    </row>
    <row r="14" spans="4:24">
      <c r="D14" s="7" t="s">
        <v>1</v>
      </c>
      <c r="E14" s="8" t="s">
        <v>9</v>
      </c>
      <c r="F14" s="8"/>
      <c r="G14" s="9" t="s">
        <v>3</v>
      </c>
      <c r="H14" s="11" t="s">
        <v>10</v>
      </c>
      <c r="I14" s="11"/>
      <c r="J14" s="11"/>
      <c r="K14" s="11"/>
      <c r="L14" s="11"/>
      <c r="M14" s="11"/>
      <c r="N14" s="11"/>
      <c r="O14" s="11"/>
      <c r="P14" s="11"/>
      <c r="Q14" s="11"/>
      <c r="R14" s="11"/>
      <c r="S14" s="12"/>
    </row>
    <row r="15" spans="4:24">
      <c r="D15" s="7"/>
      <c r="E15" s="11"/>
      <c r="F15" s="11"/>
      <c r="G15" s="9" t="s">
        <v>3</v>
      </c>
      <c r="H15" s="11" t="s">
        <v>11</v>
      </c>
      <c r="I15" s="11"/>
      <c r="J15" s="11"/>
      <c r="K15" s="11"/>
      <c r="L15" s="11"/>
      <c r="M15" s="11"/>
      <c r="N15" s="11"/>
      <c r="O15" s="11"/>
      <c r="P15" s="11"/>
      <c r="Q15" s="11"/>
      <c r="R15" s="11"/>
      <c r="S15" s="12"/>
    </row>
    <row r="16" spans="4:24" ht="26.25" customHeight="1">
      <c r="D16" s="7"/>
      <c r="E16" s="11"/>
      <c r="F16" s="11"/>
      <c r="G16" s="9" t="s">
        <v>3</v>
      </c>
      <c r="H16" s="788" t="s">
        <v>12</v>
      </c>
      <c r="I16" s="788"/>
      <c r="J16" s="788"/>
      <c r="K16" s="788"/>
      <c r="L16" s="788"/>
      <c r="M16" s="788"/>
      <c r="N16" s="788"/>
      <c r="O16" s="788"/>
      <c r="P16" s="788"/>
      <c r="Q16" s="788"/>
      <c r="R16" s="788"/>
      <c r="S16" s="789"/>
      <c r="W16" s="405"/>
    </row>
    <row r="17" spans="4:19">
      <c r="D17" s="7"/>
      <c r="E17" s="11"/>
      <c r="F17" s="11"/>
      <c r="G17" s="9" t="s">
        <v>3</v>
      </c>
      <c r="H17" s="788" t="s">
        <v>13</v>
      </c>
      <c r="I17" s="788"/>
      <c r="J17" s="788"/>
      <c r="K17" s="788"/>
      <c r="L17" s="788"/>
      <c r="M17" s="788"/>
      <c r="N17" s="788"/>
      <c r="O17" s="788"/>
      <c r="P17" s="788"/>
      <c r="Q17" s="788"/>
      <c r="R17" s="788"/>
      <c r="S17" s="789"/>
    </row>
    <row r="18" spans="4:19">
      <c r="D18" s="7"/>
      <c r="E18" s="11"/>
      <c r="F18" s="11"/>
      <c r="G18" s="11"/>
      <c r="H18" s="11"/>
      <c r="I18" s="11"/>
      <c r="J18" s="11"/>
      <c r="K18" s="11"/>
      <c r="L18" s="11"/>
      <c r="M18" s="11"/>
      <c r="N18" s="11"/>
      <c r="O18" s="11"/>
      <c r="P18" s="11"/>
      <c r="Q18" s="11"/>
      <c r="R18" s="11"/>
      <c r="S18" s="12"/>
    </row>
    <row r="19" spans="4:19">
      <c r="D19" s="7" t="s">
        <v>1</v>
      </c>
      <c r="E19" s="8" t="s">
        <v>14</v>
      </c>
      <c r="F19" s="11"/>
      <c r="G19" s="9" t="s">
        <v>3</v>
      </c>
      <c r="H19" s="11" t="s">
        <v>15</v>
      </c>
      <c r="I19" s="11"/>
      <c r="J19" s="11"/>
      <c r="K19" s="11"/>
      <c r="L19" s="11"/>
      <c r="M19" s="11"/>
      <c r="N19" s="11"/>
      <c r="O19" s="11"/>
      <c r="P19" s="11"/>
      <c r="Q19" s="11"/>
      <c r="R19" s="11"/>
      <c r="S19" s="12"/>
    </row>
    <row r="20" spans="4:19">
      <c r="D20" s="7"/>
      <c r="E20" s="11"/>
      <c r="F20" s="11"/>
      <c r="G20" s="9"/>
      <c r="H20" s="11"/>
      <c r="I20" s="11"/>
      <c r="J20" s="11"/>
      <c r="K20" s="11"/>
      <c r="L20" s="11"/>
      <c r="M20" s="11"/>
      <c r="N20" s="11"/>
      <c r="O20" s="11"/>
      <c r="P20" s="11"/>
      <c r="Q20" s="11"/>
      <c r="R20" s="11"/>
      <c r="S20" s="12"/>
    </row>
    <row r="21" spans="4:19">
      <c r="D21" s="370"/>
      <c r="S21" s="371"/>
    </row>
    <row r="22" spans="4:19">
      <c r="D22" s="7" t="s">
        <v>1</v>
      </c>
      <c r="E22" s="8" t="s">
        <v>16</v>
      </c>
      <c r="F22" s="8"/>
      <c r="G22" s="9" t="s">
        <v>3</v>
      </c>
      <c r="H22" s="438" t="s">
        <v>17</v>
      </c>
      <c r="I22" s="11"/>
      <c r="J22" s="11"/>
      <c r="K22" s="11"/>
      <c r="L22" s="11"/>
      <c r="M22" s="11"/>
      <c r="N22" s="11"/>
      <c r="O22" s="11"/>
      <c r="P22" s="11"/>
      <c r="Q22" s="11"/>
      <c r="R22" s="11"/>
      <c r="S22" s="12"/>
    </row>
    <row r="23" spans="4:19">
      <c r="D23" s="7"/>
      <c r="E23" s="11"/>
      <c r="F23" s="11"/>
      <c r="G23" s="9" t="s">
        <v>3</v>
      </c>
      <c r="H23" s="11" t="s">
        <v>18</v>
      </c>
      <c r="I23" s="11"/>
      <c r="J23" s="11"/>
      <c r="K23" s="11"/>
      <c r="L23" s="11"/>
      <c r="M23" s="11"/>
      <c r="N23" s="11"/>
      <c r="O23" s="11"/>
      <c r="P23" s="11"/>
      <c r="Q23" s="11"/>
      <c r="R23" s="11"/>
      <c r="S23" s="12"/>
    </row>
    <row r="24" spans="4:19">
      <c r="D24" s="370"/>
      <c r="G24" s="9" t="s">
        <v>3</v>
      </c>
      <c r="H24" s="11" t="s">
        <v>19</v>
      </c>
      <c r="I24" s="11"/>
      <c r="S24" s="371"/>
    </row>
    <row r="25" spans="4:19">
      <c r="D25" s="7"/>
      <c r="E25" s="11"/>
      <c r="F25" s="11"/>
      <c r="G25" s="11"/>
      <c r="H25" s="11"/>
      <c r="I25" s="11"/>
      <c r="J25" s="11"/>
      <c r="K25" s="11"/>
      <c r="L25" s="11"/>
      <c r="M25" s="11"/>
      <c r="N25" s="11"/>
      <c r="O25" s="11"/>
      <c r="P25" s="11"/>
      <c r="Q25" s="11"/>
      <c r="R25" s="11"/>
      <c r="S25" s="12"/>
    </row>
    <row r="26" spans="4:19">
      <c r="D26" s="7" t="s">
        <v>1</v>
      </c>
      <c r="E26" s="8" t="s">
        <v>20</v>
      </c>
      <c r="F26" s="8"/>
      <c r="G26" s="9" t="s">
        <v>3</v>
      </c>
      <c r="H26" s="438" t="s">
        <v>21</v>
      </c>
      <c r="I26" s="11"/>
      <c r="J26" s="11"/>
      <c r="K26" s="11"/>
      <c r="L26" s="11"/>
      <c r="M26" s="11"/>
      <c r="N26" s="11"/>
      <c r="O26" s="11"/>
      <c r="P26" s="11"/>
      <c r="Q26" s="11"/>
      <c r="R26" s="11"/>
      <c r="S26" s="12"/>
    </row>
    <row r="27" spans="4:19">
      <c r="D27" s="7"/>
      <c r="E27" s="11"/>
      <c r="F27" s="11"/>
      <c r="G27" s="11"/>
      <c r="H27" s="11"/>
      <c r="I27" s="11"/>
      <c r="J27" s="11"/>
      <c r="K27" s="11"/>
      <c r="L27" s="11"/>
      <c r="M27" s="11"/>
      <c r="N27" s="11"/>
      <c r="O27" s="11"/>
      <c r="P27" s="11"/>
      <c r="Q27" s="11"/>
      <c r="R27" s="11"/>
      <c r="S27" s="12"/>
    </row>
    <row r="28" spans="4:19">
      <c r="D28" s="7" t="s">
        <v>1</v>
      </c>
      <c r="E28" s="8" t="s">
        <v>22</v>
      </c>
      <c r="F28" s="8"/>
      <c r="G28" s="9" t="s">
        <v>3</v>
      </c>
      <c r="H28" s="11" t="s">
        <v>23</v>
      </c>
      <c r="I28" s="11"/>
      <c r="J28" s="11"/>
      <c r="K28" s="11"/>
      <c r="L28" s="11"/>
      <c r="M28" s="11"/>
      <c r="N28" s="11"/>
      <c r="O28" s="11"/>
      <c r="P28" s="11"/>
      <c r="Q28" s="11"/>
      <c r="R28" s="11"/>
      <c r="S28" s="12"/>
    </row>
    <row r="29" spans="4:19">
      <c r="D29" s="7"/>
      <c r="E29" s="11"/>
      <c r="F29" s="11"/>
      <c r="G29" s="11"/>
      <c r="H29" s="11"/>
      <c r="I29" s="11"/>
      <c r="J29" s="11"/>
      <c r="K29" s="11"/>
      <c r="L29" s="11"/>
      <c r="M29" s="11"/>
      <c r="N29" s="11"/>
      <c r="O29" s="11"/>
      <c r="P29" s="11"/>
      <c r="Q29" s="11"/>
      <c r="R29" s="11"/>
      <c r="S29" s="12"/>
    </row>
    <row r="30" spans="4:19" ht="32.25" customHeight="1">
      <c r="D30" s="7"/>
      <c r="E30" s="11"/>
      <c r="F30" s="11"/>
      <c r="G30" s="9" t="s">
        <v>3</v>
      </c>
      <c r="H30" s="9" t="s">
        <v>24</v>
      </c>
      <c r="I30" s="9" t="s">
        <v>25</v>
      </c>
      <c r="J30" s="788" t="s">
        <v>26</v>
      </c>
      <c r="K30" s="788"/>
      <c r="L30" s="788"/>
      <c r="M30" s="788"/>
      <c r="N30" s="788"/>
      <c r="O30" s="788"/>
      <c r="P30" s="788"/>
      <c r="Q30" s="788"/>
      <c r="R30" s="788"/>
      <c r="S30" s="789"/>
    </row>
    <row r="31" spans="4:19" ht="27.75" customHeight="1">
      <c r="D31" s="7"/>
      <c r="E31" s="11"/>
      <c r="F31" s="11"/>
      <c r="G31" s="11"/>
      <c r="H31" s="8"/>
      <c r="I31" s="9" t="s">
        <v>27</v>
      </c>
      <c r="J31" s="788" t="s">
        <v>28</v>
      </c>
      <c r="K31" s="788"/>
      <c r="L31" s="788"/>
      <c r="M31" s="788"/>
      <c r="N31" s="788"/>
      <c r="O31" s="788"/>
      <c r="P31" s="788"/>
      <c r="Q31" s="788"/>
      <c r="R31" s="788"/>
      <c r="S31" s="789"/>
    </row>
    <row r="32" spans="4:19">
      <c r="D32" s="7"/>
      <c r="E32" s="11"/>
      <c r="F32" s="11"/>
      <c r="G32" s="11"/>
      <c r="H32" s="8"/>
      <c r="I32" s="8"/>
      <c r="J32" s="11"/>
      <c r="K32" s="11"/>
      <c r="L32" s="11"/>
      <c r="M32" s="11"/>
      <c r="N32" s="11"/>
      <c r="O32" s="11"/>
      <c r="P32" s="11"/>
      <c r="Q32" s="11"/>
      <c r="R32" s="11"/>
      <c r="S32" s="12"/>
    </row>
    <row r="33" spans="4:27" ht="30.75" customHeight="1">
      <c r="D33" s="7"/>
      <c r="E33" s="11"/>
      <c r="F33" s="11"/>
      <c r="G33" s="9" t="s">
        <v>3</v>
      </c>
      <c r="H33" s="9" t="s">
        <v>29</v>
      </c>
      <c r="I33" s="9" t="s">
        <v>30</v>
      </c>
      <c r="J33" s="783" t="s">
        <v>31</v>
      </c>
      <c r="K33" s="783"/>
      <c r="L33" s="783"/>
      <c r="M33" s="783"/>
      <c r="N33" s="783"/>
      <c r="O33" s="783"/>
      <c r="P33" s="783"/>
      <c r="Q33" s="783"/>
      <c r="R33" s="783"/>
      <c r="S33" s="784"/>
    </row>
    <row r="34" spans="4:27">
      <c r="D34" s="7"/>
      <c r="E34" s="11"/>
      <c r="F34" s="11"/>
      <c r="G34" s="11"/>
      <c r="H34" s="11"/>
      <c r="I34" s="11"/>
      <c r="J34" s="11"/>
      <c r="K34" s="11"/>
      <c r="L34" s="11"/>
      <c r="M34" s="11"/>
      <c r="N34" s="11"/>
      <c r="O34" s="11"/>
      <c r="P34" s="11"/>
      <c r="Q34" s="11"/>
      <c r="R34" s="11"/>
      <c r="S34" s="12"/>
      <c r="U34" s="482"/>
      <c r="V34" s="482"/>
      <c r="W34" s="482"/>
      <c r="X34" s="482"/>
      <c r="Y34" s="482"/>
      <c r="Z34" s="482"/>
      <c r="AA34" s="482"/>
    </row>
    <row r="35" spans="4:27">
      <c r="D35" s="7" t="s">
        <v>1</v>
      </c>
      <c r="E35" s="8" t="s">
        <v>32</v>
      </c>
      <c r="F35" s="8"/>
      <c r="G35" s="11" t="s">
        <v>3</v>
      </c>
      <c r="H35" s="11" t="s">
        <v>33</v>
      </c>
      <c r="I35" s="11"/>
      <c r="J35" s="11"/>
      <c r="K35" s="11"/>
      <c r="L35" s="11"/>
      <c r="M35" s="11"/>
      <c r="N35" s="11"/>
      <c r="O35" s="11"/>
      <c r="P35" s="11"/>
      <c r="Q35" s="11"/>
      <c r="R35" s="11"/>
      <c r="S35" s="12"/>
      <c r="U35" s="482"/>
      <c r="V35" s="482"/>
      <c r="W35" s="482"/>
      <c r="X35" s="406"/>
      <c r="Y35" s="482"/>
      <c r="Z35" s="482"/>
      <c r="AA35" s="482"/>
    </row>
    <row r="36" spans="4:27">
      <c r="D36" s="7"/>
      <c r="E36" s="8"/>
      <c r="F36" s="8"/>
      <c r="G36" s="11"/>
      <c r="H36" s="11"/>
      <c r="I36" s="11"/>
      <c r="J36" s="11"/>
      <c r="K36" s="11"/>
      <c r="L36" s="11"/>
      <c r="M36" s="11"/>
      <c r="N36" s="11"/>
      <c r="O36" s="11"/>
      <c r="P36" s="11"/>
      <c r="Q36" s="11"/>
      <c r="R36" s="11"/>
      <c r="S36" s="12"/>
      <c r="U36" s="482"/>
      <c r="V36" s="482"/>
      <c r="W36" s="482"/>
      <c r="X36" s="406"/>
      <c r="Y36" s="482"/>
      <c r="Z36" s="482"/>
      <c r="AA36" s="482"/>
    </row>
    <row r="37" spans="4:27" ht="39" customHeight="1">
      <c r="D37" s="7"/>
      <c r="E37" s="8"/>
      <c r="F37" s="8"/>
      <c r="G37" s="11"/>
      <c r="H37" s="11"/>
      <c r="I37" s="11"/>
      <c r="J37" s="521" t="s">
        <v>34</v>
      </c>
      <c r="K37" s="522"/>
      <c r="L37" s="796" t="s">
        <v>35</v>
      </c>
      <c r="M37" s="797"/>
      <c r="N37" s="797"/>
      <c r="O37" s="797"/>
      <c r="P37" s="797"/>
      <c r="Q37" s="797"/>
      <c r="R37" s="798"/>
      <c r="S37" s="12"/>
      <c r="U37" s="482"/>
      <c r="V37" s="482"/>
      <c r="W37" s="482"/>
      <c r="X37" s="406" t="str">
        <f t="shared" ref="X37:X43" si="0">J37</f>
        <v>Fixed Rate</v>
      </c>
      <c r="Y37" s="482"/>
      <c r="Z37" s="482"/>
      <c r="AA37" s="482"/>
    </row>
    <row r="38" spans="4:27" ht="50.25" customHeight="1">
      <c r="D38" s="7"/>
      <c r="E38" s="8"/>
      <c r="F38" s="8"/>
      <c r="G38" s="11"/>
      <c r="H38" s="11"/>
      <c r="I38" s="11"/>
      <c r="J38" s="790" t="s">
        <v>36</v>
      </c>
      <c r="K38" s="791"/>
      <c r="L38" s="785" t="s">
        <v>37</v>
      </c>
      <c r="M38" s="774"/>
      <c r="N38" s="774"/>
      <c r="O38" s="774"/>
      <c r="P38" s="774"/>
      <c r="Q38" s="774"/>
      <c r="R38" s="775"/>
      <c r="S38" s="12"/>
      <c r="U38" s="482"/>
      <c r="V38" s="482"/>
      <c r="W38" s="482"/>
      <c r="X38" s="406" t="str">
        <f t="shared" si="0"/>
        <v>Blended Rate</v>
      </c>
      <c r="Y38" s="482"/>
      <c r="Z38" s="482"/>
      <c r="AA38" s="482"/>
    </row>
    <row r="39" spans="4:27" ht="51" customHeight="1">
      <c r="D39" s="7"/>
      <c r="E39" s="8"/>
      <c r="F39" s="8"/>
      <c r="G39" s="11"/>
      <c r="H39" s="11"/>
      <c r="I39" s="11"/>
      <c r="J39" s="792" t="s">
        <v>38</v>
      </c>
      <c r="K39" s="793"/>
      <c r="L39" s="780" t="s">
        <v>39</v>
      </c>
      <c r="M39" s="786"/>
      <c r="N39" s="786"/>
      <c r="O39" s="786"/>
      <c r="P39" s="786"/>
      <c r="Q39" s="786"/>
      <c r="R39" s="787"/>
      <c r="S39" s="12"/>
      <c r="U39" s="482"/>
      <c r="V39" s="482"/>
      <c r="W39" s="482"/>
      <c r="X39" s="406" t="str">
        <f t="shared" si="0"/>
        <v>Fixed Fee</v>
      </c>
      <c r="Y39" s="482"/>
      <c r="Z39" s="482"/>
      <c r="AA39" s="482"/>
    </row>
    <row r="40" spans="4:27" ht="39" customHeight="1">
      <c r="D40" s="7"/>
      <c r="E40" s="8"/>
      <c r="F40" s="8"/>
      <c r="G40" s="11"/>
      <c r="H40" s="11"/>
      <c r="I40" s="11"/>
      <c r="J40" s="792" t="s">
        <v>40</v>
      </c>
      <c r="K40" s="793"/>
      <c r="L40" s="785" t="s">
        <v>41</v>
      </c>
      <c r="M40" s="774"/>
      <c r="N40" s="774"/>
      <c r="O40" s="774"/>
      <c r="P40" s="774"/>
      <c r="Q40" s="774"/>
      <c r="R40" s="775"/>
      <c r="S40" s="12"/>
      <c r="U40" s="482"/>
      <c r="V40" s="482"/>
      <c r="W40" s="482"/>
      <c r="X40" s="406" t="str">
        <f t="shared" si="0"/>
        <v xml:space="preserve">Secondment </v>
      </c>
      <c r="Y40" s="482"/>
      <c r="Z40" s="482"/>
      <c r="AA40" s="482"/>
    </row>
    <row r="41" spans="4:27" ht="36" customHeight="1">
      <c r="D41" s="7"/>
      <c r="E41" s="8"/>
      <c r="F41" s="8"/>
      <c r="G41" s="11"/>
      <c r="H41" s="11"/>
      <c r="I41" s="11"/>
      <c r="J41" s="792" t="s">
        <v>42</v>
      </c>
      <c r="K41" s="793"/>
      <c r="L41" s="770" t="s">
        <v>43</v>
      </c>
      <c r="M41" s="771"/>
      <c r="N41" s="771"/>
      <c r="O41" s="771"/>
      <c r="P41" s="771"/>
      <c r="Q41" s="771"/>
      <c r="R41" s="772"/>
      <c r="S41" s="12"/>
      <c r="U41" s="482"/>
      <c r="V41" s="482"/>
      <c r="W41" s="482"/>
      <c r="X41" s="406" t="str">
        <f t="shared" si="0"/>
        <v>Recurring</v>
      </c>
      <c r="Y41" s="482"/>
      <c r="Z41" s="482"/>
      <c r="AA41" s="482"/>
    </row>
    <row r="42" spans="4:27" ht="36" customHeight="1">
      <c r="D42" s="7"/>
      <c r="E42" s="8"/>
      <c r="F42" s="8"/>
      <c r="G42" s="11"/>
      <c r="H42" s="11"/>
      <c r="I42" s="11"/>
      <c r="J42" s="792" t="s">
        <v>44</v>
      </c>
      <c r="K42" s="793"/>
      <c r="L42" s="785" t="s">
        <v>45</v>
      </c>
      <c r="M42" s="794"/>
      <c r="N42" s="794"/>
      <c r="O42" s="794"/>
      <c r="P42" s="794"/>
      <c r="Q42" s="794"/>
      <c r="R42" s="795"/>
      <c r="S42" s="12"/>
      <c r="U42" s="482"/>
      <c r="V42" s="482"/>
      <c r="W42" s="482"/>
      <c r="X42" s="406" t="str">
        <f t="shared" si="0"/>
        <v>Time &amp; Material on Actuals</v>
      </c>
      <c r="Y42" s="482"/>
      <c r="Z42" s="482"/>
      <c r="AA42" s="482"/>
    </row>
    <row r="43" spans="4:27" ht="31.5" customHeight="1">
      <c r="D43" s="7"/>
      <c r="E43" s="8"/>
      <c r="F43" s="8"/>
      <c r="G43" s="11"/>
      <c r="H43" s="11"/>
      <c r="I43" s="11"/>
      <c r="J43" s="792" t="s">
        <v>46</v>
      </c>
      <c r="K43" s="793"/>
      <c r="L43" s="780" t="s">
        <v>47</v>
      </c>
      <c r="M43" s="781"/>
      <c r="N43" s="781"/>
      <c r="O43" s="781"/>
      <c r="P43" s="781"/>
      <c r="Q43" s="781"/>
      <c r="R43" s="782"/>
      <c r="S43" s="12"/>
      <c r="U43" s="482"/>
      <c r="V43" s="482"/>
      <c r="W43" s="482"/>
      <c r="X43" s="406" t="str">
        <f t="shared" si="0"/>
        <v>Success Fee</v>
      </c>
      <c r="Y43" s="482"/>
      <c r="Z43" s="482"/>
      <c r="AA43" s="482"/>
    </row>
    <row r="44" spans="4:27">
      <c r="D44" s="7"/>
      <c r="E44" s="11"/>
      <c r="F44" s="11"/>
      <c r="G44" s="11"/>
      <c r="H44" s="11"/>
      <c r="I44" s="11"/>
      <c r="J44" s="11"/>
      <c r="K44" s="11"/>
      <c r="L44" s="11"/>
      <c r="M44" s="11"/>
      <c r="N44" s="11"/>
      <c r="O44" s="11"/>
      <c r="P44" s="11"/>
      <c r="Q44" s="11"/>
      <c r="R44" s="11"/>
      <c r="S44" s="12"/>
      <c r="U44" s="482"/>
      <c r="V44" s="482"/>
      <c r="W44" s="482"/>
      <c r="X44" s="406"/>
      <c r="Y44" s="482"/>
      <c r="Z44" s="482"/>
      <c r="AA44" s="482"/>
    </row>
    <row r="45" spans="4:27">
      <c r="D45" s="7" t="s">
        <v>1</v>
      </c>
      <c r="E45" s="8" t="s">
        <v>48</v>
      </c>
      <c r="F45" s="8"/>
      <c r="G45" s="9" t="s">
        <v>3</v>
      </c>
      <c r="H45" s="11" t="s">
        <v>49</v>
      </c>
      <c r="I45" s="11"/>
      <c r="J45" s="11"/>
      <c r="K45" s="11"/>
      <c r="L45" s="11"/>
      <c r="M45" s="11"/>
      <c r="N45" s="11"/>
      <c r="O45" s="11"/>
      <c r="P45" s="11"/>
      <c r="Q45" s="11"/>
      <c r="R45" s="11"/>
      <c r="S45" s="12"/>
      <c r="U45" s="482"/>
      <c r="V45" s="482"/>
      <c r="W45" s="482"/>
      <c r="X45" s="406"/>
      <c r="Y45" s="482"/>
      <c r="Z45" s="482"/>
      <c r="AA45" s="482"/>
    </row>
    <row r="46" spans="4:27">
      <c r="D46" s="7"/>
      <c r="E46" s="11"/>
      <c r="F46" s="11"/>
      <c r="G46" s="11"/>
      <c r="H46" s="11"/>
      <c r="I46" s="11"/>
      <c r="J46" s="11"/>
      <c r="K46" s="11"/>
      <c r="L46" s="11"/>
      <c r="M46" s="11"/>
      <c r="N46" s="11"/>
      <c r="O46" s="11"/>
      <c r="P46" s="11"/>
      <c r="Q46" s="11"/>
      <c r="R46" s="11"/>
      <c r="S46" s="12"/>
      <c r="U46" s="482"/>
      <c r="V46" s="482"/>
      <c r="W46" s="482"/>
      <c r="X46" s="406"/>
      <c r="Y46" s="482"/>
      <c r="Z46" s="482"/>
      <c r="AA46" s="482"/>
    </row>
    <row r="47" spans="4:27">
      <c r="D47" s="7"/>
      <c r="E47" s="11"/>
      <c r="F47" s="11"/>
      <c r="G47" s="11"/>
      <c r="H47" s="11"/>
      <c r="I47" s="11"/>
      <c r="J47" s="11"/>
      <c r="K47" s="11"/>
      <c r="L47" s="11"/>
      <c r="M47" s="11"/>
      <c r="N47" s="11"/>
      <c r="O47" s="11"/>
      <c r="P47" s="11"/>
      <c r="Q47" s="11"/>
      <c r="R47" s="11"/>
      <c r="S47" s="12"/>
      <c r="X47" s="406"/>
    </row>
    <row r="48" spans="4:27">
      <c r="D48" s="7" t="s">
        <v>1</v>
      </c>
      <c r="E48" s="8" t="s">
        <v>50</v>
      </c>
      <c r="F48" s="8"/>
      <c r="G48" s="9" t="s">
        <v>3</v>
      </c>
      <c r="H48" s="11" t="s">
        <v>51</v>
      </c>
      <c r="I48" s="11"/>
      <c r="J48" s="11"/>
      <c r="K48" s="11"/>
      <c r="L48" s="11"/>
      <c r="M48" s="11"/>
      <c r="N48" s="11"/>
      <c r="O48" s="11"/>
      <c r="P48" s="11"/>
      <c r="Q48" s="11"/>
      <c r="R48" s="11"/>
      <c r="S48" s="12"/>
    </row>
    <row r="49" spans="4:19">
      <c r="D49" s="7"/>
      <c r="E49" s="11"/>
      <c r="F49" s="11"/>
      <c r="G49" s="11"/>
      <c r="H49" s="11"/>
      <c r="I49" s="11"/>
      <c r="J49" s="11"/>
      <c r="K49" s="11"/>
      <c r="L49" s="11"/>
      <c r="M49" s="11"/>
      <c r="N49" s="11"/>
      <c r="O49" s="11"/>
      <c r="P49" s="11"/>
      <c r="Q49" s="11"/>
      <c r="R49" s="11"/>
      <c r="S49" s="12"/>
    </row>
    <row r="50" spans="4:19" ht="30" customHeight="1">
      <c r="D50" s="7" t="s">
        <v>1</v>
      </c>
      <c r="E50" s="8" t="s">
        <v>52</v>
      </c>
      <c r="F50" s="8"/>
      <c r="G50" s="9" t="s">
        <v>3</v>
      </c>
      <c r="H50" s="9" t="s">
        <v>24</v>
      </c>
      <c r="I50" s="9"/>
      <c r="J50" s="439" t="s">
        <v>53</v>
      </c>
      <c r="K50" s="788" t="s">
        <v>54</v>
      </c>
      <c r="L50" s="788"/>
      <c r="M50" s="788"/>
      <c r="N50" s="788"/>
      <c r="O50" s="788"/>
      <c r="P50" s="788"/>
      <c r="Q50" s="788"/>
      <c r="R50" s="788"/>
      <c r="S50" s="789"/>
    </row>
    <row r="51" spans="4:19" ht="39.75" customHeight="1">
      <c r="D51" s="7"/>
      <c r="E51" s="11"/>
      <c r="F51" s="11"/>
      <c r="G51" s="9" t="s">
        <v>3</v>
      </c>
      <c r="H51" s="9" t="s">
        <v>29</v>
      </c>
      <c r="I51" s="9"/>
      <c r="J51" s="439" t="s">
        <v>55</v>
      </c>
      <c r="K51" s="783" t="s">
        <v>56</v>
      </c>
      <c r="L51" s="783"/>
      <c r="M51" s="783"/>
      <c r="N51" s="783"/>
      <c r="O51" s="783"/>
      <c r="P51" s="783"/>
      <c r="Q51" s="783"/>
      <c r="R51" s="783"/>
      <c r="S51" s="784"/>
    </row>
    <row r="52" spans="4:19" ht="31.5" customHeight="1">
      <c r="D52" s="7"/>
      <c r="E52" s="11"/>
      <c r="F52" s="11"/>
      <c r="G52" s="9" t="s">
        <v>3</v>
      </c>
      <c r="H52" s="9" t="s">
        <v>57</v>
      </c>
      <c r="I52" s="9"/>
      <c r="J52" s="439" t="s">
        <v>58</v>
      </c>
      <c r="K52" s="783" t="s">
        <v>59</v>
      </c>
      <c r="L52" s="783"/>
      <c r="M52" s="783"/>
      <c r="N52" s="783"/>
      <c r="O52" s="783"/>
      <c r="P52" s="783"/>
      <c r="Q52" s="783"/>
      <c r="R52" s="783"/>
      <c r="S52" s="784"/>
    </row>
    <row r="53" spans="4:19" ht="8.25" customHeight="1">
      <c r="D53" s="7"/>
      <c r="E53" s="11"/>
      <c r="F53" s="11"/>
      <c r="G53" s="11"/>
      <c r="H53" s="11"/>
      <c r="I53" s="11"/>
      <c r="J53" s="11"/>
      <c r="K53" s="11"/>
      <c r="L53" s="11"/>
      <c r="M53" s="11"/>
      <c r="N53" s="11"/>
      <c r="O53" s="11"/>
      <c r="P53" s="11"/>
      <c r="Q53" s="11"/>
      <c r="R53" s="11"/>
      <c r="S53" s="12"/>
    </row>
    <row r="54" spans="4:19">
      <c r="D54" s="7" t="s">
        <v>1</v>
      </c>
      <c r="E54" s="8" t="s">
        <v>60</v>
      </c>
      <c r="F54" s="8"/>
      <c r="G54" s="9" t="s">
        <v>3</v>
      </c>
      <c r="H54" s="11" t="s">
        <v>61</v>
      </c>
      <c r="I54" s="11"/>
      <c r="J54" s="11"/>
      <c r="K54" s="11"/>
      <c r="L54" s="11"/>
      <c r="M54" s="11"/>
      <c r="N54" s="11"/>
      <c r="O54" s="11"/>
      <c r="P54" s="11"/>
      <c r="Q54" s="11"/>
      <c r="R54" s="11"/>
      <c r="S54" s="12"/>
    </row>
    <row r="55" spans="4:19">
      <c r="D55" s="7"/>
      <c r="E55" s="11"/>
      <c r="F55" s="11"/>
      <c r="G55" s="11"/>
      <c r="H55" s="11"/>
      <c r="I55" s="11"/>
      <c r="J55" s="11"/>
      <c r="K55" s="11"/>
      <c r="L55" s="11"/>
      <c r="M55" s="11"/>
      <c r="N55" s="11"/>
      <c r="O55" s="11"/>
      <c r="P55" s="11"/>
      <c r="Q55" s="11"/>
      <c r="R55" s="11"/>
      <c r="S55" s="12"/>
    </row>
    <row r="56" spans="4:19">
      <c r="D56" s="7" t="s">
        <v>1</v>
      </c>
      <c r="E56" s="779" t="s">
        <v>62</v>
      </c>
      <c r="F56" s="363"/>
      <c r="G56" s="9" t="s">
        <v>3</v>
      </c>
      <c r="H56" s="11" t="s">
        <v>63</v>
      </c>
      <c r="I56" s="11"/>
      <c r="J56" s="11"/>
      <c r="K56" s="11"/>
      <c r="L56" s="11"/>
      <c r="M56" s="11"/>
      <c r="N56" s="11"/>
      <c r="O56" s="11"/>
      <c r="P56" s="11"/>
      <c r="Q56" s="11"/>
      <c r="R56" s="11"/>
      <c r="S56" s="12"/>
    </row>
    <row r="57" spans="4:19">
      <c r="D57" s="7"/>
      <c r="E57" s="779"/>
      <c r="F57" s="363"/>
      <c r="G57" s="9" t="s">
        <v>3</v>
      </c>
      <c r="H57" s="11" t="s">
        <v>64</v>
      </c>
      <c r="I57" s="11"/>
      <c r="J57" s="11"/>
      <c r="K57" s="11"/>
      <c r="L57" s="11"/>
      <c r="M57" s="11"/>
      <c r="N57" s="11"/>
      <c r="O57" s="11"/>
      <c r="P57" s="11"/>
      <c r="Q57" s="11"/>
      <c r="R57" s="11"/>
      <c r="S57" s="12"/>
    </row>
    <row r="58" spans="4:19">
      <c r="D58" s="7"/>
      <c r="E58" s="11"/>
      <c r="F58" s="11"/>
      <c r="G58" s="11"/>
      <c r="H58" s="11"/>
      <c r="I58" s="11"/>
      <c r="J58" s="11"/>
      <c r="K58" s="11"/>
      <c r="L58" s="11"/>
      <c r="M58" s="11"/>
      <c r="N58" s="11"/>
      <c r="O58" s="11"/>
      <c r="P58" s="11"/>
      <c r="Q58" s="11"/>
      <c r="R58" s="11"/>
      <c r="S58" s="12"/>
    </row>
    <row r="59" spans="4:19">
      <c r="D59" s="7"/>
      <c r="E59" s="11"/>
      <c r="F59" s="11"/>
      <c r="G59" s="11"/>
      <c r="H59" s="11"/>
      <c r="I59" s="11"/>
      <c r="J59" s="11"/>
      <c r="K59" s="11"/>
      <c r="L59" s="11"/>
      <c r="M59" s="11"/>
      <c r="N59" s="11"/>
      <c r="O59" s="11"/>
      <c r="P59" s="11"/>
      <c r="Q59" s="11"/>
      <c r="R59" s="11"/>
      <c r="S59" s="12"/>
    </row>
    <row r="60" spans="4:19">
      <c r="D60" s="7" t="s">
        <v>1</v>
      </c>
      <c r="E60" s="8" t="s">
        <v>65</v>
      </c>
      <c r="F60" s="8"/>
      <c r="G60" s="9" t="s">
        <v>3</v>
      </c>
      <c r="H60" s="11" t="s">
        <v>66</v>
      </c>
      <c r="I60" s="11"/>
      <c r="J60" s="11"/>
      <c r="K60" s="11"/>
      <c r="L60" s="11"/>
      <c r="M60" s="11"/>
      <c r="N60" s="11"/>
      <c r="O60" s="11"/>
      <c r="P60" s="11"/>
      <c r="Q60" s="11"/>
      <c r="R60" s="11"/>
      <c r="S60" s="12"/>
    </row>
    <row r="61" spans="4:19">
      <c r="D61" s="7"/>
      <c r="E61" s="8"/>
      <c r="F61" s="8"/>
      <c r="G61" s="11"/>
      <c r="H61" s="11"/>
      <c r="I61" s="11"/>
      <c r="J61" s="11"/>
      <c r="K61" s="11"/>
      <c r="L61" s="11"/>
      <c r="M61" s="11"/>
      <c r="N61" s="11"/>
      <c r="O61" s="11"/>
      <c r="P61" s="11"/>
      <c r="Q61" s="11"/>
      <c r="R61" s="11"/>
      <c r="S61" s="12"/>
    </row>
    <row r="62" spans="4:19" ht="26.25" customHeight="1">
      <c r="D62" s="7"/>
      <c r="E62" s="8"/>
      <c r="F62" s="8"/>
      <c r="G62" s="11"/>
      <c r="H62" s="11"/>
      <c r="I62" s="11"/>
      <c r="J62" s="14" t="s">
        <v>67</v>
      </c>
      <c r="K62" s="13"/>
      <c r="L62" s="780" t="s">
        <v>68</v>
      </c>
      <c r="M62" s="781"/>
      <c r="N62" s="781"/>
      <c r="O62" s="781"/>
      <c r="P62" s="781"/>
      <c r="Q62" s="781"/>
      <c r="R62" s="782"/>
      <c r="S62" s="12"/>
    </row>
    <row r="63" spans="4:19" ht="26.25" customHeight="1">
      <c r="D63" s="7"/>
      <c r="E63" s="8"/>
      <c r="F63" s="8"/>
      <c r="G63" s="11"/>
      <c r="H63" s="11"/>
      <c r="I63" s="11"/>
      <c r="J63" s="14" t="s">
        <v>69</v>
      </c>
      <c r="K63" s="13"/>
      <c r="L63" s="780" t="s">
        <v>70</v>
      </c>
      <c r="M63" s="781"/>
      <c r="N63" s="781"/>
      <c r="O63" s="781"/>
      <c r="P63" s="781"/>
      <c r="Q63" s="781"/>
      <c r="R63" s="782"/>
      <c r="S63" s="12"/>
    </row>
    <row r="64" spans="4:19" ht="26.25" customHeight="1">
      <c r="D64" s="7"/>
      <c r="E64" s="8"/>
      <c r="F64" s="8"/>
      <c r="G64" s="11"/>
      <c r="H64" s="11"/>
      <c r="I64" s="11"/>
      <c r="J64" s="14" t="s">
        <v>71</v>
      </c>
      <c r="K64" s="13"/>
      <c r="L64" s="780" t="s">
        <v>72</v>
      </c>
      <c r="M64" s="781"/>
      <c r="N64" s="781"/>
      <c r="O64" s="781"/>
      <c r="P64" s="781"/>
      <c r="Q64" s="781"/>
      <c r="R64" s="782"/>
      <c r="S64" s="12"/>
    </row>
    <row r="65" spans="4:19">
      <c r="D65" s="7"/>
      <c r="E65" s="11"/>
      <c r="F65" s="11"/>
      <c r="G65" s="11"/>
      <c r="H65" s="11"/>
      <c r="I65" s="11"/>
      <c r="J65" s="11"/>
      <c r="K65" s="11"/>
      <c r="L65" s="11"/>
      <c r="M65" s="11"/>
      <c r="N65" s="11"/>
      <c r="O65" s="11"/>
      <c r="P65" s="11"/>
      <c r="Q65" s="11"/>
      <c r="R65" s="11"/>
      <c r="S65" s="12"/>
    </row>
    <row r="66" spans="4:19">
      <c r="D66" s="7" t="s">
        <v>1</v>
      </c>
      <c r="E66" s="8" t="s">
        <v>73</v>
      </c>
      <c r="F66" s="8"/>
      <c r="G66" s="9" t="s">
        <v>3</v>
      </c>
      <c r="H66" s="11" t="s">
        <v>74</v>
      </c>
      <c r="I66" s="11"/>
      <c r="J66" s="11"/>
      <c r="K66" s="11"/>
      <c r="L66" s="11"/>
      <c r="M66" s="11"/>
      <c r="N66" s="11"/>
      <c r="O66" s="11"/>
      <c r="P66" s="11"/>
      <c r="Q66" s="11"/>
      <c r="R66" s="11"/>
      <c r="S66" s="12"/>
    </row>
    <row r="67" spans="4:19">
      <c r="D67" s="7"/>
      <c r="E67" s="11"/>
      <c r="F67" s="11"/>
      <c r="G67" s="11"/>
      <c r="H67" s="11"/>
      <c r="I67" s="11"/>
      <c r="J67" s="11"/>
      <c r="K67" s="11"/>
      <c r="L67" s="11"/>
      <c r="M67" s="11"/>
      <c r="N67" s="11"/>
      <c r="O67" s="11"/>
      <c r="P67" s="11"/>
      <c r="Q67" s="11"/>
      <c r="R67" s="11"/>
      <c r="S67" s="12"/>
    </row>
    <row r="68" spans="4:19">
      <c r="D68" s="7" t="s">
        <v>1</v>
      </c>
      <c r="E68" s="8" t="s">
        <v>75</v>
      </c>
      <c r="F68" s="8"/>
      <c r="G68" s="9" t="s">
        <v>3</v>
      </c>
      <c r="H68" s="11" t="s">
        <v>76</v>
      </c>
      <c r="I68" s="11"/>
      <c r="J68" s="11"/>
      <c r="K68" s="11"/>
      <c r="L68" s="11"/>
      <c r="M68" s="11"/>
      <c r="N68" s="11"/>
      <c r="O68" s="11"/>
      <c r="P68" s="11"/>
      <c r="Q68" s="11"/>
      <c r="R68" s="11"/>
      <c r="S68" s="12"/>
    </row>
    <row r="69" spans="4:19">
      <c r="D69" s="7"/>
      <c r="E69" s="11"/>
      <c r="F69" s="11"/>
      <c r="G69" s="11"/>
      <c r="H69" s="11"/>
      <c r="I69" s="11"/>
      <c r="J69" s="11"/>
      <c r="K69" s="11"/>
      <c r="L69" s="11"/>
      <c r="M69" s="11"/>
      <c r="N69" s="11"/>
      <c r="O69" s="11"/>
      <c r="P69" s="11"/>
      <c r="Q69" s="11"/>
      <c r="R69" s="11"/>
      <c r="S69" s="12"/>
    </row>
    <row r="70" spans="4:19">
      <c r="D70" s="7" t="s">
        <v>1</v>
      </c>
      <c r="E70" s="8" t="s">
        <v>77</v>
      </c>
      <c r="F70" s="8"/>
      <c r="G70" s="9" t="s">
        <v>3</v>
      </c>
      <c r="H70" s="11" t="s">
        <v>78</v>
      </c>
      <c r="I70" s="11"/>
      <c r="J70" s="11"/>
      <c r="K70" s="11"/>
      <c r="L70" s="11"/>
      <c r="M70" s="11"/>
      <c r="N70" s="11"/>
      <c r="O70" s="11"/>
      <c r="P70" s="11"/>
      <c r="Q70" s="11"/>
      <c r="R70" s="11"/>
      <c r="S70" s="12"/>
    </row>
    <row r="71" spans="4:19">
      <c r="D71" s="7"/>
      <c r="E71" s="11"/>
      <c r="F71" s="11"/>
      <c r="G71" s="11"/>
      <c r="H71" s="11"/>
      <c r="I71" s="11"/>
      <c r="J71" s="11"/>
      <c r="K71" s="11"/>
      <c r="L71" s="11"/>
      <c r="M71" s="11"/>
      <c r="N71" s="11"/>
      <c r="O71" s="11"/>
      <c r="P71" s="11"/>
      <c r="Q71" s="11"/>
      <c r="R71" s="11"/>
      <c r="S71" s="12"/>
    </row>
    <row r="72" spans="4:19">
      <c r="D72" s="7" t="s">
        <v>1</v>
      </c>
      <c r="E72" s="8" t="s">
        <v>79</v>
      </c>
      <c r="F72" s="8"/>
      <c r="G72" s="9" t="s">
        <v>3</v>
      </c>
      <c r="H72" s="11" t="s">
        <v>80</v>
      </c>
      <c r="I72" s="11"/>
      <c r="J72" s="11"/>
      <c r="K72" s="11"/>
      <c r="L72" s="11"/>
      <c r="M72" s="11"/>
      <c r="N72" s="11"/>
      <c r="O72" s="11"/>
      <c r="P72" s="11"/>
      <c r="Q72" s="11"/>
      <c r="R72" s="11"/>
      <c r="S72" s="12"/>
    </row>
    <row r="73" spans="4:19">
      <c r="D73" s="7"/>
      <c r="E73" s="11"/>
      <c r="F73" s="11"/>
      <c r="G73" s="9" t="s">
        <v>3</v>
      </c>
      <c r="H73" s="11" t="s">
        <v>81</v>
      </c>
      <c r="I73" s="11"/>
      <c r="J73" s="11"/>
      <c r="K73" s="11"/>
      <c r="L73" s="11"/>
      <c r="M73" s="11"/>
      <c r="N73" s="11"/>
      <c r="O73" s="11"/>
      <c r="P73" s="11"/>
      <c r="Q73" s="11"/>
      <c r="R73" s="11"/>
      <c r="S73" s="12"/>
    </row>
    <row r="74" spans="4:19">
      <c r="D74" s="7"/>
      <c r="E74" s="11"/>
      <c r="F74" s="11"/>
      <c r="G74" s="9"/>
      <c r="H74" s="11"/>
      <c r="I74" s="11"/>
      <c r="J74" s="11"/>
      <c r="K74" s="11"/>
      <c r="L74" s="11"/>
      <c r="M74" s="11"/>
      <c r="N74" s="11"/>
      <c r="O74" s="11"/>
      <c r="P74" s="11"/>
      <c r="Q74" s="11"/>
      <c r="R74" s="11"/>
      <c r="S74" s="12"/>
    </row>
    <row r="75" spans="4:19">
      <c r="D75" s="7" t="s">
        <v>1</v>
      </c>
      <c r="E75" s="8" t="s">
        <v>82</v>
      </c>
      <c r="F75" s="8"/>
      <c r="G75" s="11" t="s">
        <v>3</v>
      </c>
      <c r="H75" s="11" t="s">
        <v>83</v>
      </c>
      <c r="I75" s="11"/>
      <c r="J75" s="11"/>
      <c r="K75" s="11"/>
      <c r="L75" s="11"/>
      <c r="M75" s="11"/>
      <c r="N75" s="11"/>
      <c r="O75" s="11"/>
      <c r="P75" s="11"/>
      <c r="Q75" s="11"/>
      <c r="R75" s="11"/>
      <c r="S75" s="12"/>
    </row>
    <row r="76" spans="4:19">
      <c r="D76" s="7"/>
      <c r="E76" s="8"/>
      <c r="F76" s="8"/>
      <c r="G76" s="11"/>
      <c r="H76" s="11"/>
      <c r="I76" s="11"/>
      <c r="J76" s="11"/>
      <c r="K76" s="11"/>
      <c r="L76" s="11"/>
      <c r="M76" s="11"/>
      <c r="N76" s="11"/>
      <c r="O76" s="11"/>
      <c r="P76" s="11"/>
      <c r="Q76" s="11"/>
      <c r="R76" s="11"/>
      <c r="S76" s="12"/>
    </row>
    <row r="77" spans="4:19" ht="26.25" customHeight="1">
      <c r="D77" s="7"/>
      <c r="E77" s="8"/>
      <c r="F77" s="8"/>
      <c r="G77" s="11"/>
      <c r="H77" s="11"/>
      <c r="I77" s="11"/>
      <c r="J77" s="15" t="s">
        <v>84</v>
      </c>
      <c r="K77" s="16"/>
      <c r="L77" s="780" t="s">
        <v>85</v>
      </c>
      <c r="M77" s="781"/>
      <c r="N77" s="781"/>
      <c r="O77" s="781"/>
      <c r="P77" s="781"/>
      <c r="Q77" s="781"/>
      <c r="R77" s="782"/>
      <c r="S77" s="12"/>
    </row>
    <row r="78" spans="4:19" s="21" customFormat="1" ht="24.75" customHeight="1">
      <c r="D78" s="18"/>
      <c r="E78" s="19"/>
      <c r="F78" s="19"/>
      <c r="G78" s="10"/>
      <c r="H78" s="10"/>
      <c r="I78" s="10"/>
      <c r="J78" s="15" t="s">
        <v>86</v>
      </c>
      <c r="K78" s="16"/>
      <c r="L78" s="770" t="s">
        <v>87</v>
      </c>
      <c r="M78" s="771"/>
      <c r="N78" s="771"/>
      <c r="O78" s="771"/>
      <c r="P78" s="771"/>
      <c r="Q78" s="771"/>
      <c r="R78" s="772"/>
      <c r="S78" s="20"/>
    </row>
    <row r="79" spans="4:19">
      <c r="D79" s="7"/>
      <c r="E79" s="8"/>
      <c r="F79" s="8"/>
      <c r="G79" s="11"/>
      <c r="H79" s="11"/>
      <c r="I79" s="11"/>
      <c r="J79" s="17" t="s">
        <v>88</v>
      </c>
      <c r="K79" s="13"/>
      <c r="L79" s="773" t="s">
        <v>89</v>
      </c>
      <c r="M79" s="774"/>
      <c r="N79" s="774"/>
      <c r="O79" s="774"/>
      <c r="P79" s="774"/>
      <c r="Q79" s="774"/>
      <c r="R79" s="775"/>
      <c r="S79" s="12"/>
    </row>
    <row r="80" spans="4:19">
      <c r="D80" s="7"/>
      <c r="E80" s="8"/>
      <c r="F80" s="8"/>
      <c r="G80" s="11"/>
      <c r="H80" s="11"/>
      <c r="I80" s="11"/>
      <c r="J80" s="17" t="s">
        <v>90</v>
      </c>
      <c r="K80" s="13"/>
      <c r="L80" s="360" t="s">
        <v>91</v>
      </c>
      <c r="M80" s="361"/>
      <c r="N80" s="361"/>
      <c r="O80" s="361"/>
      <c r="P80" s="361"/>
      <c r="Q80" s="361"/>
      <c r="R80" s="362"/>
      <c r="S80" s="12"/>
    </row>
    <row r="81" spans="4:19">
      <c r="D81" s="7"/>
      <c r="E81" s="8"/>
      <c r="F81" s="8"/>
      <c r="G81" s="11"/>
      <c r="H81" s="11"/>
      <c r="I81" s="11"/>
      <c r="J81" s="17" t="s">
        <v>92</v>
      </c>
      <c r="K81" s="13"/>
      <c r="L81" s="360" t="s">
        <v>93</v>
      </c>
      <c r="M81" s="361"/>
      <c r="N81" s="361"/>
      <c r="O81" s="361"/>
      <c r="P81" s="361"/>
      <c r="Q81" s="361"/>
      <c r="R81" s="362"/>
      <c r="S81" s="12"/>
    </row>
    <row r="82" spans="4:19">
      <c r="D82" s="7"/>
      <c r="E82" s="8"/>
      <c r="F82" s="8"/>
      <c r="G82" s="11"/>
      <c r="H82" s="11"/>
      <c r="I82" s="11"/>
      <c r="J82" s="17" t="s">
        <v>94</v>
      </c>
      <c r="K82" s="13"/>
      <c r="L82" s="360" t="s">
        <v>95</v>
      </c>
      <c r="M82" s="361"/>
      <c r="N82" s="361"/>
      <c r="O82" s="361"/>
      <c r="P82" s="361"/>
      <c r="Q82" s="361"/>
      <c r="R82" s="362"/>
      <c r="S82" s="12"/>
    </row>
    <row r="83" spans="4:19" s="21" customFormat="1" ht="39.75" customHeight="1">
      <c r="D83" s="18"/>
      <c r="E83" s="19"/>
      <c r="F83" s="19"/>
      <c r="G83" s="10"/>
      <c r="H83" s="10"/>
      <c r="I83" s="10"/>
      <c r="J83" s="22" t="s">
        <v>96</v>
      </c>
      <c r="K83" s="23"/>
      <c r="L83" s="776" t="s">
        <v>97</v>
      </c>
      <c r="M83" s="777"/>
      <c r="N83" s="777"/>
      <c r="O83" s="777"/>
      <c r="P83" s="777"/>
      <c r="Q83" s="777"/>
      <c r="R83" s="778"/>
      <c r="S83" s="20"/>
    </row>
    <row r="84" spans="4:19">
      <c r="D84" s="7"/>
      <c r="E84" s="11"/>
      <c r="F84" s="11"/>
      <c r="G84" s="11"/>
      <c r="H84" s="11"/>
      <c r="I84" s="11"/>
      <c r="J84" s="11"/>
      <c r="K84" s="11"/>
      <c r="L84" s="11"/>
      <c r="M84" s="11"/>
      <c r="N84" s="11"/>
      <c r="O84" s="11"/>
      <c r="P84" s="11"/>
      <c r="Q84" s="11"/>
      <c r="R84" s="11"/>
      <c r="S84" s="12"/>
    </row>
    <row r="85" spans="4:19">
      <c r="D85" s="7"/>
      <c r="E85" s="11"/>
      <c r="F85" s="11"/>
      <c r="G85" s="11"/>
      <c r="H85" s="11"/>
      <c r="I85" s="11"/>
      <c r="J85" s="11"/>
      <c r="K85" s="11"/>
      <c r="L85" s="11"/>
      <c r="M85" s="11"/>
      <c r="N85" s="11"/>
      <c r="O85" s="11"/>
      <c r="P85" s="11"/>
      <c r="Q85" s="11"/>
      <c r="R85" s="11"/>
      <c r="S85" s="12"/>
    </row>
    <row r="86" spans="4:19">
      <c r="D86" s="7"/>
      <c r="E86" s="11"/>
      <c r="F86" s="11"/>
      <c r="G86" s="9"/>
      <c r="H86" s="11"/>
      <c r="I86" s="11"/>
      <c r="J86" s="11"/>
      <c r="K86" s="11"/>
      <c r="L86" s="11"/>
      <c r="M86" s="11"/>
      <c r="N86" s="11"/>
      <c r="O86" s="11"/>
      <c r="P86" s="11"/>
      <c r="Q86" s="11"/>
      <c r="R86" s="11"/>
      <c r="S86" s="12"/>
    </row>
    <row r="87" spans="4:19">
      <c r="D87" s="7" t="s">
        <v>1</v>
      </c>
      <c r="E87" s="8" t="s">
        <v>98</v>
      </c>
      <c r="F87" s="8"/>
      <c r="G87" s="9" t="s">
        <v>3</v>
      </c>
      <c r="H87" s="11" t="s">
        <v>99</v>
      </c>
      <c r="I87" s="11"/>
      <c r="J87" s="11"/>
      <c r="K87" s="11"/>
      <c r="L87" s="11"/>
      <c r="M87" s="11"/>
      <c r="N87" s="11"/>
      <c r="O87" s="11"/>
      <c r="P87" s="11"/>
      <c r="Q87" s="11"/>
      <c r="R87" s="11"/>
      <c r="S87" s="12"/>
    </row>
    <row r="88" spans="4:19">
      <c r="D88" s="7"/>
      <c r="E88" s="11"/>
      <c r="F88" s="11"/>
      <c r="G88" s="9" t="s">
        <v>3</v>
      </c>
      <c r="H88" s="11" t="s">
        <v>100</v>
      </c>
      <c r="I88" s="11"/>
      <c r="J88" s="11"/>
      <c r="K88" s="11"/>
      <c r="L88" s="11"/>
      <c r="M88" s="11"/>
      <c r="N88" s="11"/>
      <c r="O88" s="11"/>
      <c r="P88" s="11"/>
      <c r="Q88" s="11"/>
      <c r="R88" s="11"/>
      <c r="S88" s="12"/>
    </row>
    <row r="89" spans="4:19">
      <c r="D89" s="7"/>
      <c r="E89" s="11"/>
      <c r="F89" s="11"/>
      <c r="G89" s="9" t="s">
        <v>3</v>
      </c>
      <c r="H89" s="11" t="s">
        <v>101</v>
      </c>
      <c r="I89" s="11"/>
      <c r="J89" s="11"/>
      <c r="K89" s="11"/>
      <c r="L89" s="11"/>
      <c r="M89" s="11"/>
      <c r="N89" s="11"/>
      <c r="O89" s="11"/>
      <c r="P89" s="11"/>
      <c r="Q89" s="11"/>
      <c r="R89" s="11"/>
      <c r="S89" s="12"/>
    </row>
    <row r="90" spans="4:19">
      <c r="D90" s="7"/>
      <c r="E90" s="11"/>
      <c r="F90" s="11"/>
      <c r="G90" s="9" t="s">
        <v>3</v>
      </c>
      <c r="H90" s="11" t="s">
        <v>102</v>
      </c>
      <c r="I90" s="11"/>
      <c r="J90" s="11"/>
      <c r="K90" s="11"/>
      <c r="L90" s="11"/>
      <c r="M90" s="11"/>
      <c r="N90" s="11"/>
      <c r="O90" s="11"/>
      <c r="P90" s="11"/>
      <c r="Q90" s="11"/>
      <c r="R90" s="11"/>
      <c r="S90" s="12"/>
    </row>
    <row r="91" spans="4:19" ht="15" thickBot="1">
      <c r="D91" s="24"/>
      <c r="E91" s="25"/>
      <c r="F91" s="25"/>
      <c r="G91" s="26"/>
      <c r="H91" s="25"/>
      <c r="I91" s="25"/>
      <c r="J91" s="25"/>
      <c r="K91" s="25"/>
      <c r="L91" s="25"/>
      <c r="M91" s="25"/>
      <c r="N91" s="25"/>
      <c r="O91" s="25"/>
      <c r="P91" s="25"/>
      <c r="Q91" s="25"/>
      <c r="R91" s="25"/>
      <c r="S91" s="27"/>
    </row>
  </sheetData>
  <sheetProtection algorithmName="SHA-512" hashValue="A++gyQWE223dotYTCX1EVwYT9lFnF0UcaWj1yFh8qsRuAJHv9gTzrAaSPSvc/AlIn5mUgOXE+LeG9jDKQqWnOA==" saltValue="BmQFG9PwWrlIyLxxdLWs1Q==" spinCount="100000" sheet="1" objects="1" scenarios="1"/>
  <mergeCells count="31">
    <mergeCell ref="L37:R37"/>
    <mergeCell ref="J31:S31"/>
    <mergeCell ref="D3:S4"/>
    <mergeCell ref="D6:S6"/>
    <mergeCell ref="H16:S16"/>
    <mergeCell ref="H17:S17"/>
    <mergeCell ref="J30:S30"/>
    <mergeCell ref="K52:S52"/>
    <mergeCell ref="J33:S33"/>
    <mergeCell ref="L38:R38"/>
    <mergeCell ref="L39:R39"/>
    <mergeCell ref="L40:R40"/>
    <mergeCell ref="L41:R41"/>
    <mergeCell ref="L43:R43"/>
    <mergeCell ref="K50:S50"/>
    <mergeCell ref="K51:S51"/>
    <mergeCell ref="J38:K38"/>
    <mergeCell ref="J39:K39"/>
    <mergeCell ref="J40:K40"/>
    <mergeCell ref="J41:K41"/>
    <mergeCell ref="J43:K43"/>
    <mergeCell ref="J42:K42"/>
    <mergeCell ref="L42:R42"/>
    <mergeCell ref="L78:R78"/>
    <mergeCell ref="L79:R79"/>
    <mergeCell ref="L83:R83"/>
    <mergeCell ref="E56:E57"/>
    <mergeCell ref="L62:R62"/>
    <mergeCell ref="L63:R63"/>
    <mergeCell ref="L64:R64"/>
    <mergeCell ref="L77:R77"/>
  </mergeCells>
  <pageMargins left="0.7" right="0.7" top="0.75" bottom="0.75" header="0.3" footer="0.3"/>
  <pageSetup scale="46"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H45"/>
  <sheetViews>
    <sheetView showGridLines="0" topLeftCell="A4" zoomScale="80" zoomScaleNormal="80" workbookViewId="0">
      <selection activeCell="C7" sqref="C7"/>
    </sheetView>
  </sheetViews>
  <sheetFormatPr defaultColWidth="0" defaultRowHeight="15" customHeight="1"/>
  <cols>
    <col min="1" max="1" width="8.109375" style="28" customWidth="1"/>
    <col min="2" max="2" width="44.5546875" style="28" customWidth="1"/>
    <col min="3" max="3" width="71.109375" style="28" customWidth="1"/>
    <col min="4" max="4" width="9.109375" style="28" hidden="1" customWidth="1"/>
    <col min="5" max="5" width="3.109375" style="28" customWidth="1"/>
    <col min="6" max="6" width="2" style="28" customWidth="1"/>
    <col min="7" max="7" width="9.109375" style="28" customWidth="1"/>
    <col min="8" max="8" width="7.109375" style="28" customWidth="1"/>
    <col min="9" max="16384" width="9.109375" style="28" hidden="1"/>
  </cols>
  <sheetData>
    <row r="1" spans="1:7" thickBot="1">
      <c r="B1" s="188" t="str">
        <f>Billing!A1</f>
        <v>Protiviti Member Firm (India)</v>
      </c>
      <c r="C1" s="816" t="str">
        <f>MainSheet!J1</f>
        <v>Project_Template_2023_Apr.23</v>
      </c>
      <c r="D1" s="816"/>
      <c r="E1" s="816"/>
      <c r="F1" s="816"/>
      <c r="G1" s="816"/>
    </row>
    <row r="2" spans="1:7" ht="21.75" customHeight="1" thickBot="1">
      <c r="B2" s="440" t="s">
        <v>103</v>
      </c>
      <c r="C2" s="541" t="s">
        <v>104</v>
      </c>
    </row>
    <row r="3" spans="1:7" ht="5.25" customHeight="1" thickBot="1"/>
    <row r="4" spans="1:7" ht="14.4">
      <c r="B4" s="806" t="s">
        <v>105</v>
      </c>
      <c r="C4" s="807"/>
      <c r="G4" s="3"/>
    </row>
    <row r="5" spans="1:7" s="31" customFormat="1" ht="26.25" customHeight="1">
      <c r="A5" s="28"/>
      <c r="B5" s="29" t="s">
        <v>106</v>
      </c>
      <c r="C5" s="535">
        <v>46068</v>
      </c>
      <c r="D5" s="30"/>
    </row>
    <row r="6" spans="1:7" s="31" customFormat="1" ht="26.25" customHeight="1">
      <c r="A6" s="28"/>
      <c r="B6" s="29" t="s">
        <v>107</v>
      </c>
      <c r="C6" s="536" t="s">
        <v>672</v>
      </c>
      <c r="D6" s="30" t="s">
        <v>109</v>
      </c>
    </row>
    <row r="7" spans="1:7" s="31" customFormat="1" ht="26.25" customHeight="1">
      <c r="A7" s="28"/>
      <c r="B7" s="29" t="s">
        <v>110</v>
      </c>
      <c r="C7" s="536" t="s">
        <v>111</v>
      </c>
      <c r="D7" s="30"/>
    </row>
    <row r="8" spans="1:7" s="31" customFormat="1" ht="26.25" customHeight="1">
      <c r="A8" s="28"/>
      <c r="B8" s="29" t="s">
        <v>112</v>
      </c>
      <c r="C8" s="539" t="s">
        <v>113</v>
      </c>
      <c r="D8" s="30"/>
    </row>
    <row r="9" spans="1:7" s="31" customFormat="1" ht="26.25" customHeight="1">
      <c r="A9" s="28"/>
      <c r="B9" s="29" t="s">
        <v>114</v>
      </c>
      <c r="C9" s="537"/>
      <c r="D9" s="30"/>
    </row>
    <row r="10" spans="1:7" s="31" customFormat="1" ht="26.25" customHeight="1">
      <c r="A10" s="28"/>
      <c r="B10" s="29" t="s">
        <v>115</v>
      </c>
      <c r="C10" s="539" t="s">
        <v>116</v>
      </c>
      <c r="D10" s="30" t="s">
        <v>109</v>
      </c>
    </row>
    <row r="11" spans="1:7" s="31" customFormat="1" ht="26.25" customHeight="1">
      <c r="A11" s="28"/>
      <c r="B11" s="29" t="s">
        <v>117</v>
      </c>
      <c r="C11" s="540" t="s">
        <v>118</v>
      </c>
      <c r="D11" s="30" t="s">
        <v>109</v>
      </c>
    </row>
    <row r="12" spans="1:7" s="31" customFormat="1" ht="26.25" customHeight="1">
      <c r="A12" s="28"/>
      <c r="B12" s="29" t="s">
        <v>119</v>
      </c>
      <c r="C12" s="536"/>
      <c r="D12" s="30"/>
    </row>
    <row r="13" spans="1:7" s="31" customFormat="1" ht="26.25" customHeight="1" thickBot="1">
      <c r="A13" s="28"/>
      <c r="B13" s="32" t="s">
        <v>120</v>
      </c>
      <c r="C13" s="538"/>
      <c r="D13" s="30"/>
    </row>
    <row r="14" spans="1:7" s="34" customFormat="1" ht="22.5" customHeight="1" thickBot="1">
      <c r="A14" s="33"/>
      <c r="B14" s="808" t="s">
        <v>121</v>
      </c>
      <c r="C14" s="809"/>
      <c r="G14" s="30"/>
    </row>
    <row r="15" spans="1:7" ht="14.4">
      <c r="B15" s="810"/>
      <c r="C15" s="811"/>
    </row>
    <row r="16" spans="1:7" ht="14.4">
      <c r="B16" s="812"/>
      <c r="C16" s="813"/>
    </row>
    <row r="17" spans="2:7" ht="14.4">
      <c r="B17" s="812"/>
      <c r="C17" s="813"/>
      <c r="F17" s="329"/>
    </row>
    <row r="18" spans="2:7" ht="14.4">
      <c r="B18" s="812"/>
      <c r="C18" s="813"/>
    </row>
    <row r="19" spans="2:7" ht="14.4">
      <c r="B19" s="812"/>
      <c r="C19" s="813"/>
    </row>
    <row r="20" spans="2:7" ht="14.4">
      <c r="B20" s="812"/>
      <c r="C20" s="813"/>
    </row>
    <row r="21" spans="2:7" ht="14.4">
      <c r="B21" s="812"/>
      <c r="C21" s="813"/>
    </row>
    <row r="22" spans="2:7" ht="14.4">
      <c r="B22" s="812"/>
      <c r="C22" s="813"/>
    </row>
    <row r="23" spans="2:7" ht="14.4">
      <c r="B23" s="812"/>
      <c r="C23" s="813"/>
    </row>
    <row r="24" spans="2:7" ht="14.4">
      <c r="B24" s="812"/>
      <c r="C24" s="813"/>
      <c r="G24" s="325"/>
    </row>
    <row r="25" spans="2:7" thickBot="1">
      <c r="B25" s="814"/>
      <c r="C25" s="815"/>
    </row>
    <row r="26" spans="2:7" ht="6" customHeight="1" thickBot="1"/>
    <row r="27" spans="2:7" hidden="1" thickBot="1"/>
    <row r="28" spans="2:7" ht="15" customHeight="1">
      <c r="B28" s="817" t="s">
        <v>122</v>
      </c>
      <c r="C28" s="818"/>
    </row>
    <row r="29" spans="2:7" ht="15" customHeight="1">
      <c r="B29" s="819"/>
      <c r="C29" s="820"/>
    </row>
    <row r="30" spans="2:7" ht="15" customHeight="1">
      <c r="B30" s="819"/>
      <c r="C30" s="820"/>
    </row>
    <row r="31" spans="2:7" ht="15" customHeight="1">
      <c r="B31" s="819"/>
      <c r="C31" s="820"/>
    </row>
    <row r="32" spans="2:7" ht="15" customHeight="1">
      <c r="B32" s="819"/>
      <c r="C32" s="820"/>
    </row>
    <row r="33" spans="2:3" ht="15" customHeight="1">
      <c r="B33" s="819"/>
      <c r="C33" s="820"/>
    </row>
    <row r="34" spans="2:3" ht="15" customHeight="1">
      <c r="B34" s="819"/>
      <c r="C34" s="820"/>
    </row>
    <row r="35" spans="2:3" ht="15" customHeight="1">
      <c r="B35" s="819"/>
      <c r="C35" s="820"/>
    </row>
    <row r="36" spans="2:3" ht="15" customHeight="1">
      <c r="B36" s="819"/>
      <c r="C36" s="820"/>
    </row>
    <row r="37" spans="2:3" ht="15" customHeight="1">
      <c r="B37" s="819"/>
      <c r="C37" s="820"/>
    </row>
    <row r="38" spans="2:3" ht="15" customHeight="1">
      <c r="B38" s="819"/>
      <c r="C38" s="820"/>
    </row>
    <row r="39" spans="2:3" ht="15" customHeight="1">
      <c r="B39" s="819"/>
      <c r="C39" s="820"/>
    </row>
    <row r="40" spans="2:3" ht="15" customHeight="1">
      <c r="B40" s="819"/>
      <c r="C40" s="820"/>
    </row>
    <row r="41" spans="2:3" ht="15" customHeight="1">
      <c r="B41" s="819"/>
      <c r="C41" s="820"/>
    </row>
    <row r="42" spans="2:3" ht="15" hidden="1" customHeight="1">
      <c r="B42" s="819"/>
      <c r="C42" s="820"/>
    </row>
    <row r="43" spans="2:3" ht="15" hidden="1" customHeight="1">
      <c r="B43" s="819"/>
      <c r="C43" s="820"/>
    </row>
    <row r="44" spans="2:3" ht="15" hidden="1" customHeight="1">
      <c r="B44" s="819"/>
      <c r="C44" s="820"/>
    </row>
    <row r="45" spans="2:3" ht="6.75" customHeight="1" thickBot="1">
      <c r="B45" s="821"/>
      <c r="C45" s="822"/>
    </row>
  </sheetData>
  <sheetProtection algorithmName="SHA-512" hashValue="3n25IomXhapXsYqrjVI+r47Mg9s1kiQNTD29M3vAJdpJOayzxKsUFxnZhMU/1Q/bRUNKRjCRXFmJEAEJUjy3nQ==" saltValue="nvD8aMGLa+tV9gIe+Mr7zg==" spinCount="100000" sheet="1" objects="1" scenarios="1"/>
  <mergeCells count="5">
    <mergeCell ref="B4:C4"/>
    <mergeCell ref="B14:C14"/>
    <mergeCell ref="B15:C25"/>
    <mergeCell ref="C1:G1"/>
    <mergeCell ref="B28:C45"/>
  </mergeCells>
  <dataValidations count="2">
    <dataValidation type="list" allowBlank="1" showInputMessage="1" showErrorMessage="1" sqref="C2" xr:uid="{00000000-0002-0000-0100-000000000000}">
      <formula1>"YES,NO"</formula1>
    </dataValidation>
    <dataValidation type="list" allowBlank="1" showInputMessage="1" showErrorMessage="1" sqref="C8" xr:uid="{00000000-0002-0000-0100-000001000000}">
      <formula1>"Yes,No,Recurring"</formula1>
    </dataValidation>
  </dataValidations>
  <pageMargins left="0.7" right="0.7" top="0.75" bottom="0.75" header="0.3" footer="0.3"/>
  <pageSetup scale="99"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'Ref1'!$C$6:$C$87</xm:f>
          </x14:formula1>
          <xm:sqref>C11</xm:sqref>
        </x14:dataValidation>
        <x14:dataValidation type="list" allowBlank="1" showInputMessage="1" showErrorMessage="1" xr:uid="{00000000-0002-0000-0100-000003000000}">
          <x14:formula1>
            <xm:f>'Ref1'!$C$178:$C$216</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pageSetUpPr fitToPage="1"/>
  </sheetPr>
  <dimension ref="A1:XFC63"/>
  <sheetViews>
    <sheetView showGridLines="0" showZeros="0" tabSelected="1" zoomScale="70" zoomScaleNormal="70" zoomScaleSheetLayoutView="85" workbookViewId="0">
      <selection activeCell="R22" sqref="R22"/>
    </sheetView>
  </sheetViews>
  <sheetFormatPr defaultColWidth="0" defaultRowHeight="0" customHeight="1" zeroHeight="1"/>
  <cols>
    <col min="1" max="1" width="20.5546875" style="57" customWidth="1"/>
    <col min="2" max="2" width="10.33203125" style="65" customWidth="1"/>
    <col min="3" max="3" width="16" style="65" customWidth="1"/>
    <col min="4" max="4" width="12" style="65" customWidth="1"/>
    <col min="5" max="5" width="16.109375" style="65" customWidth="1"/>
    <col min="6" max="6" width="30.109375" style="65" customWidth="1"/>
    <col min="7" max="7" width="15.6640625" style="65" customWidth="1"/>
    <col min="8" max="8" width="15.6640625" style="65" bestFit="1" customWidth="1"/>
    <col min="9" max="9" width="10.6640625" style="65" customWidth="1"/>
    <col min="10" max="10" width="10.109375" style="57" customWidth="1"/>
    <col min="11" max="11" width="10.5546875" style="57" customWidth="1"/>
    <col min="12" max="15" width="11.5546875" style="57" customWidth="1"/>
    <col min="16" max="16" width="10.6640625" style="57" customWidth="1"/>
    <col min="17" max="18" width="10" style="57" customWidth="1"/>
    <col min="19" max="19" width="9.6640625" style="57" customWidth="1"/>
    <col min="20" max="20" width="11.6640625" style="57" bestFit="1" customWidth="1"/>
    <col min="21" max="21" width="9.6640625" style="57" customWidth="1"/>
    <col min="22" max="22" width="17.6640625" style="57" customWidth="1"/>
    <col min="23" max="23" width="22.6640625" style="57" customWidth="1"/>
    <col min="24" max="24" width="7.33203125" style="57" customWidth="1"/>
    <col min="25" max="33" width="4.33203125" style="57" hidden="1"/>
    <col min="34" max="48" width="8.109375" style="57" hidden="1"/>
    <col min="49" max="49" width="8.88671875" style="57" hidden="1"/>
    <col min="50" max="16383" width="8.109375" style="57" hidden="1"/>
    <col min="16384" max="16384" width="1.44140625" style="57" hidden="1"/>
  </cols>
  <sheetData>
    <row r="1" spans="1:64" ht="11.25" customHeight="1">
      <c r="A1" s="268" t="str">
        <f>MainSheet!A1</f>
        <v>Protiviti Member Firm (India)</v>
      </c>
      <c r="B1" s="269"/>
      <c r="C1" s="269"/>
      <c r="D1" s="269"/>
      <c r="E1" s="270"/>
      <c r="F1" s="270"/>
      <c r="G1" s="270"/>
      <c r="H1" s="270"/>
      <c r="I1" s="270"/>
      <c r="J1" s="270"/>
      <c r="K1" s="270"/>
      <c r="L1" s="270"/>
      <c r="M1" s="270"/>
      <c r="N1" s="270"/>
      <c r="O1" s="270"/>
      <c r="P1" s="271"/>
      <c r="Q1" s="272"/>
      <c r="R1" s="272"/>
      <c r="S1" s="272"/>
      <c r="T1" s="272"/>
      <c r="U1" s="272"/>
      <c r="V1" s="273" t="str">
        <f>MainSheet!J1</f>
        <v>Project_Template_2023_Apr.23</v>
      </c>
      <c r="AI1" s="76"/>
    </row>
    <row r="2" spans="1:64" ht="11.25" customHeight="1">
      <c r="A2" s="274" t="s">
        <v>123</v>
      </c>
      <c r="B2" s="59"/>
      <c r="C2" s="59"/>
      <c r="D2" s="59"/>
      <c r="E2" s="60"/>
      <c r="F2" s="60"/>
      <c r="G2" s="60"/>
      <c r="H2" s="60"/>
      <c r="I2" s="60"/>
      <c r="J2" s="61"/>
      <c r="K2" s="61"/>
      <c r="L2" s="61"/>
      <c r="M2" s="61"/>
      <c r="N2" s="61"/>
      <c r="O2" s="61"/>
      <c r="P2" s="62"/>
      <c r="Q2" s="62"/>
      <c r="R2" s="62"/>
      <c r="S2" s="62"/>
      <c r="T2" s="62"/>
      <c r="U2" s="62"/>
      <c r="V2" s="275"/>
      <c r="AI2" s="76"/>
    </row>
    <row r="3" spans="1:64" ht="11.25" customHeight="1">
      <c r="A3" s="276"/>
      <c r="B3" s="60"/>
      <c r="C3" s="60"/>
      <c r="D3" s="60"/>
      <c r="E3" s="60"/>
      <c r="F3" s="60"/>
      <c r="G3" s="60"/>
      <c r="H3" s="60"/>
      <c r="I3" s="60"/>
      <c r="J3" s="61"/>
      <c r="K3" s="61"/>
      <c r="L3" s="61"/>
      <c r="M3" s="61"/>
      <c r="N3" s="61"/>
      <c r="O3" s="61"/>
      <c r="P3" s="62"/>
      <c r="Q3" s="62"/>
      <c r="R3" s="62"/>
      <c r="S3" s="62"/>
      <c r="T3" s="62"/>
      <c r="U3" s="62"/>
      <c r="V3" s="275"/>
      <c r="W3" s="40"/>
      <c r="AI3" s="76"/>
    </row>
    <row r="4" spans="1:64" ht="11.25" customHeight="1">
      <c r="A4" s="623" t="str">
        <f>MainSheet!A6</f>
        <v>Organisation:</v>
      </c>
      <c r="B4" s="624"/>
      <c r="C4" s="685" t="str">
        <f>IF(MainSheet!B6="","",MainSheet!B6&amp;" - "&amp;MainSheet!D6)</f>
        <v>India - R&amp;C</v>
      </c>
      <c r="D4" s="686"/>
      <c r="E4" s="60"/>
      <c r="F4" s="60"/>
      <c r="G4" s="60"/>
      <c r="H4" s="60"/>
      <c r="I4" s="60"/>
      <c r="J4" s="61"/>
      <c r="K4" s="61"/>
      <c r="L4" s="61"/>
      <c r="M4" s="61"/>
      <c r="N4" s="61"/>
      <c r="O4" s="61"/>
      <c r="P4" s="62"/>
      <c r="Q4" s="62"/>
      <c r="R4" s="62"/>
      <c r="S4" s="62"/>
      <c r="T4" s="62"/>
      <c r="U4" s="62"/>
      <c r="V4" s="275"/>
      <c r="AI4" s="76"/>
    </row>
    <row r="5" spans="1:64" ht="13.5" customHeight="1" thickBot="1">
      <c r="A5" s="277" t="str">
        <f>MainSheet!A8</f>
        <v>Client Legal Name:</v>
      </c>
      <c r="B5" s="64"/>
      <c r="C5" s="687" t="str">
        <f>MainSheet!B8</f>
        <v>HSBC</v>
      </c>
      <c r="D5" s="688"/>
      <c r="E5" s="60"/>
      <c r="F5" s="135" t="s">
        <v>124</v>
      </c>
      <c r="P5" s="66"/>
      <c r="Q5" s="66"/>
      <c r="R5" s="66"/>
      <c r="S5" s="66"/>
      <c r="T5" s="66"/>
      <c r="U5" s="66"/>
      <c r="V5" s="278"/>
      <c r="W5" s="67"/>
      <c r="X5" s="67"/>
      <c r="Y5" s="66"/>
      <c r="Z5" s="66"/>
      <c r="AA5" s="66"/>
      <c r="AB5" s="66"/>
      <c r="AI5" s="76"/>
    </row>
    <row r="6" spans="1:64" ht="14.25" customHeight="1" thickBot="1">
      <c r="A6" s="277" t="str">
        <f>MainSheet!F8</f>
        <v>Project Description:</v>
      </c>
      <c r="B6" s="64"/>
      <c r="C6" s="687" t="str">
        <f>MainSheet!G8</f>
        <v>CCM Project</v>
      </c>
      <c r="D6" s="688"/>
      <c r="E6" s="68"/>
      <c r="F6" s="689" t="s">
        <v>125</v>
      </c>
      <c r="G6" s="690"/>
      <c r="H6" s="700" t="s">
        <v>126</v>
      </c>
      <c r="I6" s="701"/>
      <c r="J6" s="705" t="s">
        <v>127</v>
      </c>
      <c r="K6" s="695" t="s">
        <v>128</v>
      </c>
      <c r="L6" s="695" t="s">
        <v>129</v>
      </c>
      <c r="M6" s="695" t="s">
        <v>130</v>
      </c>
      <c r="N6" s="695" t="s">
        <v>131</v>
      </c>
      <c r="O6" s="695" t="s">
        <v>132</v>
      </c>
      <c r="P6" s="695" t="s">
        <v>133</v>
      </c>
      <c r="Q6" s="695" t="s">
        <v>134</v>
      </c>
      <c r="R6" s="695" t="s">
        <v>135</v>
      </c>
      <c r="S6" s="695" t="s">
        <v>136</v>
      </c>
      <c r="T6" s="695" t="s">
        <v>137</v>
      </c>
      <c r="U6" s="706" t="s">
        <v>138</v>
      </c>
      <c r="V6" s="697" t="s">
        <v>139</v>
      </c>
      <c r="W6" s="67"/>
      <c r="X6" s="67"/>
      <c r="Y6" s="66"/>
      <c r="Z6" s="66"/>
      <c r="AA6" s="66"/>
      <c r="AB6" s="66"/>
      <c r="AI6" s="76"/>
      <c r="AJ6" s="702" t="s">
        <v>140</v>
      </c>
      <c r="AK6" s="703"/>
      <c r="AL6" s="703"/>
      <c r="AM6" s="703"/>
      <c r="AN6" s="703"/>
      <c r="AO6" s="703"/>
      <c r="AP6" s="703"/>
      <c r="AQ6" s="703"/>
      <c r="AR6" s="703"/>
      <c r="AS6" s="703"/>
      <c r="AT6" s="703"/>
      <c r="AU6" s="703"/>
      <c r="AV6" s="703"/>
      <c r="AW6" s="704"/>
      <c r="AY6" s="702" t="s">
        <v>141</v>
      </c>
      <c r="AZ6" s="703"/>
      <c r="BA6" s="703"/>
      <c r="BB6" s="703"/>
      <c r="BC6" s="703"/>
      <c r="BD6" s="703"/>
      <c r="BE6" s="703"/>
      <c r="BF6" s="703"/>
      <c r="BG6" s="703"/>
      <c r="BH6" s="703"/>
      <c r="BI6" s="703"/>
      <c r="BJ6" s="703"/>
      <c r="BK6" s="703"/>
      <c r="BL6" s="704"/>
    </row>
    <row r="7" spans="1:64" s="66" customFormat="1" ht="15.75" customHeight="1">
      <c r="A7" s="277" t="str">
        <f>MainSheet!A9</f>
        <v>Billing Currency:</v>
      </c>
      <c r="B7" s="69"/>
      <c r="C7" s="687" t="str">
        <f>MainSheet!B9</f>
        <v>INR</v>
      </c>
      <c r="D7" s="688"/>
      <c r="E7" s="244"/>
      <c r="F7" s="691"/>
      <c r="G7" s="692"/>
      <c r="H7" s="436" t="s">
        <v>2</v>
      </c>
      <c r="I7" s="437" t="s">
        <v>142</v>
      </c>
      <c r="J7" s="699"/>
      <c r="K7" s="699"/>
      <c r="L7" s="699"/>
      <c r="M7" s="696"/>
      <c r="N7" s="696"/>
      <c r="O7" s="696"/>
      <c r="P7" s="696"/>
      <c r="Q7" s="696"/>
      <c r="R7" s="696"/>
      <c r="S7" s="696"/>
      <c r="T7" s="696"/>
      <c r="U7" s="707"/>
      <c r="V7" s="698"/>
      <c r="AI7" s="71"/>
      <c r="AV7" s="136" t="s">
        <v>143</v>
      </c>
      <c r="AW7" s="136" t="s">
        <v>144</v>
      </c>
      <c r="BK7" s="137" t="str">
        <f>AV7</f>
        <v>Sum USD</v>
      </c>
      <c r="BL7" s="137" t="str">
        <f>AW7</f>
        <v>SUM (BC)</v>
      </c>
    </row>
    <row r="8" spans="1:64" s="66" customFormat="1" ht="11.25" customHeight="1">
      <c r="A8" s="279" t="str">
        <f>MainSheet!A12</f>
        <v>Project Type:</v>
      </c>
      <c r="B8" s="70"/>
      <c r="C8" s="687" t="s">
        <v>145</v>
      </c>
      <c r="D8" s="688"/>
      <c r="E8" s="67"/>
      <c r="F8" s="693" t="s">
        <v>146</v>
      </c>
      <c r="G8" s="694"/>
      <c r="H8" s="551" t="s">
        <v>147</v>
      </c>
      <c r="I8" s="552" t="s">
        <v>148</v>
      </c>
      <c r="J8" s="625">
        <v>2</v>
      </c>
      <c r="K8" s="625"/>
      <c r="L8" s="625">
        <v>16</v>
      </c>
      <c r="M8" s="625">
        <v>16</v>
      </c>
      <c r="N8" s="625"/>
      <c r="O8" s="625"/>
      <c r="P8" s="625">
        <v>24</v>
      </c>
      <c r="Q8" s="625">
        <v>24</v>
      </c>
      <c r="R8" s="625">
        <v>40</v>
      </c>
      <c r="S8" s="625">
        <v>40</v>
      </c>
      <c r="T8" s="625">
        <v>0</v>
      </c>
      <c r="U8" s="625">
        <v>0</v>
      </c>
      <c r="V8" s="626">
        <f>SUM(J8:U8)</f>
        <v>162</v>
      </c>
      <c r="AH8" s="66" t="str">
        <f>AI8</f>
        <v>India - R&amp;C</v>
      </c>
      <c r="AI8" s="66" t="str">
        <f>H8&amp;" - "&amp;I8</f>
        <v>India - R&amp;C</v>
      </c>
      <c r="AJ8" s="138">
        <f>IF(I8="",0,MAX((IFERROR((VLOOKUP((AH8&amp;$J$6),Ratesheet!$F$5:$J$455,4,FALSE)*J8),0)),(IFERROR((VLOOKUP((AI8&amp;$J$6),Ratesheet!$F$5:$J$455,4,FALSE)*J8),0))))</f>
        <v>746.08695652173913</v>
      </c>
      <c r="AK8" s="138">
        <f>IF(I8="",0,MAX((IFERROR((VLOOKUP((AH8&amp;$K$6),Ratesheet!$F$5:$J$455,4,FALSE)*K8),0)),(IFERROR((VLOOKUP((AI8&amp;$K$6),Ratesheet!$F$5:$J$455,4,FALSE)*K8),0))))</f>
        <v>0</v>
      </c>
      <c r="AL8" s="138">
        <f>IF(I8="",0,MAX((IFERROR((VLOOKUP((AH8&amp;$L$6),Ratesheet!$F$5:$J$455,4,FALSE)*L8),0)),(IFERROR((VLOOKUP((AI8&amp;$L$6),Ratesheet!$F$5:$J$455,4,FALSE)*L8),0))))</f>
        <v>4388.5714285714284</v>
      </c>
      <c r="AM8" s="138">
        <f>IF(I8="",0,MAX((IFERROR((VLOOKUP((AH8&amp;$M$6),Ratesheet!$F$5:$J$455,4,FALSE)*M8),0)),(IFERROR((VLOOKUP((AI8&amp;$M$6),Ratesheet!$F$5:$J$455,4,FALSE)*M8),0))))</f>
        <v>3486.2111801242236</v>
      </c>
      <c r="AN8" s="138">
        <f>IF(I8="",0,MAX((IFERROR((VLOOKUP((AH8&amp;$N$6),Ratesheet!$F$5:$J$455,4,FALSE)*N8),0)),(IFERROR((VLOOKUP((AI8&amp;$N$6),Ratesheet!$F$5:$J$455,4,FALSE)*N8),0))))</f>
        <v>0</v>
      </c>
      <c r="AO8" s="138">
        <f>IF(I8="",0,MAX((IFERROR((VLOOKUP((AH8&amp;$O$6),Ratesheet!$F$5:$J$455,4,FALSE)*O8),0)),(IFERROR((VLOOKUP((AI8&amp;$O$6),Ratesheet!$F$5:$J$455,4,FALSE)*O8),0))))</f>
        <v>0</v>
      </c>
      <c r="AP8" s="138">
        <f>IF(I8="",0,MAX((IFERROR((VLOOKUP((AH8&amp;$P$6),Ratesheet!$F$5:$J$455,4,FALSE)*P8),0)),(IFERROR((VLOOKUP((AI8&amp;$P$6),Ratesheet!$F$5:$J$455,4,FALSE)*P8),0))))</f>
        <v>2244.9689440993789</v>
      </c>
      <c r="AQ8" s="138">
        <f>IF(I8="",0,MAX((IFERROR((VLOOKUP((AH8&amp;$Q$6),Ratesheet!$F$5:$J$455,4,FALSE)*Q8),0)),(IFERROR((VLOOKUP((AI8&amp;$Q$6),Ratesheet!$F$5:$J$455,4,FALSE)*Q8),0))))</f>
        <v>1502.608695652174</v>
      </c>
      <c r="AR8" s="138">
        <f>IF(I8="",0,MAX((IFERROR((VLOOKUP((AH8&amp;$R$6),Ratesheet!$F$5:$J$455,4,FALSE)*R8),0)),(IFERROR((VLOOKUP((AI8&amp;$R$6),Ratesheet!$F$5:$J$455,4,FALSE)*R8),0))))</f>
        <v>1977.6397515527949</v>
      </c>
      <c r="AS8" s="138">
        <f>IF(I8="",0,MAX((IFERROR((VLOOKUP((AH8&amp;$S$6),Ratesheet!$F$5:$J$455,4,FALSE)*S8),0)),(IFERROR((VLOOKUP((AI8&amp;$S$6),Ratesheet!$F$5:$J$455,4,FALSE)*S8),0))))</f>
        <v>1833.5403726708073</v>
      </c>
      <c r="AT8" s="139">
        <f>IF(H8="",0,MAX((IFERROR((VLOOKUP((AG8&amp;$T$6),Ratesheet!$F$5:$J$455,4,FALSE)*T8),0)),(IFERROR((VLOOKUP((AH8&amp;$T$6),Ratesheet!$F$5:$J$455,4,FALSE)*T8),0))))</f>
        <v>0</v>
      </c>
      <c r="AU8" s="139">
        <f>IF(I8="",0,MAX((IFERROR((VLOOKUP((AH8&amp;$U$6),Ratesheet!$F$5:$J$455,4,FALSE)*U8),0)),(IFERROR((VLOOKUP((AI8&amp;$U$6),Ratesheet!$F$5:$J$455,4,FALSE)*U8),0))))</f>
        <v>0</v>
      </c>
      <c r="AV8" s="138">
        <f t="shared" ref="AV8" si="0">SUM(AJ8:AU8)</f>
        <v>16179.627329192546</v>
      </c>
      <c r="AW8" s="295">
        <f>IFERROR(AV8*VLOOKUP($C$7,'Ref1'!$B$230:$C$236,2,FALSE),0)</f>
        <v>1302460</v>
      </c>
      <c r="AX8" s="66" t="str">
        <f>AI8</f>
        <v>India - R&amp;C</v>
      </c>
      <c r="AY8" s="138">
        <f>IF(I8="",0,MAX((IFERROR((VLOOKUP((AH8&amp;$J$6),Ratesheet!$F$5:$J$455,5,FALSE)*J8),0)),(IFERROR((VLOOKUP((AX8&amp;$J$6),Ratesheet!$F$5:$J$455,5,FALSE)*J8),0))))</f>
        <v>536.6459627329192</v>
      </c>
      <c r="AZ8" s="138">
        <f>IF(I8="",0,MAX((IFERROR((VLOOKUP((AH8&amp;$K$6),Ratesheet!$F$5:$J$455,5,FALSE)*K8),0)),(IFERROR((VLOOKUP((AX8&amp;$K$6),Ratesheet!$F$5:$J$455,5,FALSE)*K8),0))))</f>
        <v>0</v>
      </c>
      <c r="BA8" s="138">
        <f>IF(I8="",0,MAX((IFERROR((VLOOKUP((AH8&amp;$L$6),Ratesheet!$F$5:$J$455,5,FALSE)*L8),0)),(IFERROR((VLOOKUP((AX8&amp;$L$6),Ratesheet!$F$5:$J$455,5,FALSE)*L8),0))))</f>
        <v>1908.0745341614906</v>
      </c>
      <c r="BB8" s="138">
        <f>IF(I8="",0,MAX((IFERROR((VLOOKUP((AH8&amp;$M$6),Ratesheet!$F$5:$J$455,5,FALSE)*M8),0)),(IFERROR((VLOOKUP((AX8&amp;$M$6),Ratesheet!$F$5:$J$455,5,FALSE)*M8),0))))</f>
        <v>1097.1428571428571</v>
      </c>
      <c r="BC8" s="138">
        <f>IF(I8="",0,MAX((IFERROR((VLOOKUP((AH8&amp;$N$6),Ratesheet!$F$5:$J$455,5,FALSE)*N8),0)),(IFERROR((VLOOKUP((AX8&amp;$N$6),Ratesheet!$F$5:$J$455,5,FALSE)*N8),0))))</f>
        <v>0</v>
      </c>
      <c r="BD8" s="138">
        <f>IF(I8="",0,MAX((IFERROR((VLOOKUP((AH8&amp;$O$6),Ratesheet!$F$5:$J$455,5,FALSE)*O8),0)),(IFERROR((VLOOKUP((AX8&amp;$O$6),Ratesheet!$F$5:$J$455,5,FALSE)*O8),0))))</f>
        <v>0</v>
      </c>
      <c r="BE8" s="138">
        <f>IF(I8="",0,MAX((IFERROR((VLOOKUP((AH8&amp;$P$6),Ratesheet!$F$5:$J$455,5,FALSE)*P8),0)),(IFERROR((VLOOKUP((AX8&amp;$P$6),Ratesheet!$F$5:$J$455,5,FALSE)*P8),0))))</f>
        <v>482.98136645962734</v>
      </c>
      <c r="BF8" s="138">
        <f>IF(I8="",0,MAX((IFERROR((VLOOKUP((AH8&amp;$Q$6),Ratesheet!$F$5:$J$455,5,FALSE)*Q8),0)),(IFERROR((VLOOKUP((AX8&amp;$Q$6),Ratesheet!$F$5:$J$455,5,FALSE)*Q8),0))))</f>
        <v>330.93167701863354</v>
      </c>
      <c r="BG8" s="138">
        <f>IF(I8="",0,MAX((IFERROR((VLOOKUP((AH8&amp;$R$6),Ratesheet!$F$5:$J$455,5,FALSE)*R8),0)),(IFERROR((VLOOKUP((AX8&amp;$R$6),Ratesheet!$F$5:$J$455,5,FALSE)*R8),0))))</f>
        <v>429.31677018633542</v>
      </c>
      <c r="BH8" s="138">
        <f>IF(I8="",0,MAX((IFERROR((VLOOKUP((AH8&amp;$S$6),Ratesheet!$F$5:$J$455,5,FALSE)*S8),0)),(IFERROR((VLOOKUP((AX8&amp;$S$6),Ratesheet!$F$5:$J$455,5,FALSE)*S8),0))))</f>
        <v>327.9503105590062</v>
      </c>
      <c r="BI8" s="139">
        <f>IF(H8="",0,MAX((IFERROR((VLOOKUP((AH8&amp;$T$6),Ratesheet!$F$5:$J$455,5,FALSE)*T8),0)),(IFERROR((VLOOKUP((AW8&amp;$T$6),Ratesheet!$F$5:$J$455,5,FALSE)*T8),0))))</f>
        <v>0</v>
      </c>
      <c r="BJ8" s="139">
        <f>IF(I8="",0,MAX((IFERROR((VLOOKUP((AH8&amp;$U$6),Ratesheet!$F$5:$J$455,5,FALSE)*U8),0)),(IFERROR((VLOOKUP((AX8&amp;$U$6),Ratesheet!$F$5:$J$455,5,FALSE)*U8),0))))</f>
        <v>0</v>
      </c>
      <c r="BK8" s="138">
        <f>IFERROR(SUM(AY8:BJ8),0)</f>
        <v>5113.04347826087</v>
      </c>
      <c r="BL8" s="138">
        <f>IFERROR(BK8*VLOOKUP($C$7,'Ref1'!$B$230:$C$236,2,FALSE),0)</f>
        <v>411600.00000000006</v>
      </c>
    </row>
    <row r="9" spans="1:64" s="66" customFormat="1" ht="11.25" customHeight="1">
      <c r="A9" s="280"/>
      <c r="B9" s="74"/>
      <c r="C9" s="74"/>
      <c r="D9" s="74"/>
      <c r="E9" s="75"/>
      <c r="F9" s="693" t="s">
        <v>149</v>
      </c>
      <c r="G9" s="694"/>
      <c r="H9" s="551" t="s">
        <v>147</v>
      </c>
      <c r="I9" s="552" t="s">
        <v>148</v>
      </c>
      <c r="J9" s="605">
        <v>2</v>
      </c>
      <c r="K9" s="592"/>
      <c r="L9" s="592">
        <v>16</v>
      </c>
      <c r="M9" s="592">
        <v>16</v>
      </c>
      <c r="N9" s="592"/>
      <c r="O9" s="592"/>
      <c r="P9" s="592">
        <v>24</v>
      </c>
      <c r="Q9" s="592">
        <v>24</v>
      </c>
      <c r="R9" s="592">
        <v>32</v>
      </c>
      <c r="S9" s="592">
        <v>32</v>
      </c>
      <c r="T9" s="593"/>
      <c r="U9" s="593"/>
      <c r="V9" s="594">
        <f t="shared" ref="V9:V25" si="1">SUM(J9:U9)</f>
        <v>146</v>
      </c>
      <c r="AH9" s="66" t="str">
        <f t="shared" ref="AH9:AH25" si="2">AI9</f>
        <v>India - R&amp;C</v>
      </c>
      <c r="AI9" s="71" t="str">
        <f t="shared" ref="AI9:AI25" si="3">H9&amp;" - "&amp;I9</f>
        <v>India - R&amp;C</v>
      </c>
      <c r="AJ9" s="138">
        <f>IF(I9="",0,MAX((IFERROR((VLOOKUP((AH9&amp;$J$6),Ratesheet!$F$5:$J$455,4,FALSE)*J9),0)),(IFERROR((VLOOKUP((AI9&amp;$J$6),Ratesheet!$F$5:$J$455,4,FALSE)*J9),0))))</f>
        <v>746.08695652173913</v>
      </c>
      <c r="AK9" s="138">
        <f>IF(I9="",0,MAX((IFERROR((VLOOKUP((AH9&amp;$K$6),Ratesheet!$F$5:$J$455,4,FALSE)*K9),0)),(IFERROR((VLOOKUP((AI9&amp;$K$6),Ratesheet!$F$5:$J$455,4,FALSE)*K9),0))))</f>
        <v>0</v>
      </c>
      <c r="AL9" s="138">
        <f>IF(I9="",0,MAX((IFERROR((VLOOKUP((AH9&amp;$L$6),Ratesheet!$F$5:$J$455,4,FALSE)*L9),0)),(IFERROR((VLOOKUP((AI9&amp;$L$6),Ratesheet!$F$5:$J$455,4,FALSE)*L9),0))))</f>
        <v>4388.5714285714284</v>
      </c>
      <c r="AM9" s="138">
        <f>IF(I9="",0,MAX((IFERROR((VLOOKUP((AH9&amp;$M$6),Ratesheet!$F$5:$J$455,4,FALSE)*M9),0)),(IFERROR((VLOOKUP((AI9&amp;$M$6),Ratesheet!$F$5:$J$455,4,FALSE)*M9),0))))</f>
        <v>3486.2111801242236</v>
      </c>
      <c r="AN9" s="138">
        <f>IF(I9="",0,MAX((IFERROR((VLOOKUP((AH9&amp;$N$6),Ratesheet!$F$5:$J$455,4,FALSE)*N9),0)),(IFERROR((VLOOKUP((AI9&amp;$N$6),Ratesheet!$F$5:$J$455,4,FALSE)*N9),0))))</f>
        <v>0</v>
      </c>
      <c r="AO9" s="138">
        <f>IF(I9="",0,MAX((IFERROR((VLOOKUP((AH9&amp;$O$6),Ratesheet!$F$5:$J$455,4,FALSE)*O9),0)),(IFERROR((VLOOKUP((AI9&amp;$O$6),Ratesheet!$F$5:$J$455,4,FALSE)*O9),0))))</f>
        <v>0</v>
      </c>
      <c r="AP9" s="138">
        <f>IF(I9="",0,MAX((IFERROR((VLOOKUP((AH9&amp;$P$6),Ratesheet!$F$5:$J$455,4,FALSE)*P9),0)),(IFERROR((VLOOKUP((AI9&amp;$P$6),Ratesheet!$F$5:$J$455,4,FALSE)*P9),0))))</f>
        <v>2244.9689440993789</v>
      </c>
      <c r="AQ9" s="138">
        <f>IF(I9="",0,MAX((IFERROR((VLOOKUP((AH9&amp;$Q$6),Ratesheet!$F$5:$J$455,4,FALSE)*Q9),0)),(IFERROR((VLOOKUP((AI9&amp;$Q$6),Ratesheet!$F$5:$J$455,4,FALSE)*Q9),0))))</f>
        <v>1502.608695652174</v>
      </c>
      <c r="AR9" s="138">
        <f>IF(I9="",0,MAX((IFERROR((VLOOKUP((AH9&amp;$R$6),Ratesheet!$F$5:$J$455,4,FALSE)*R9),0)),(IFERROR((VLOOKUP((AI9&amp;$R$6),Ratesheet!$F$5:$J$455,4,FALSE)*R9),0))))</f>
        <v>1582.111801242236</v>
      </c>
      <c r="AS9" s="138">
        <f>IF(I9="",0,MAX((IFERROR((VLOOKUP((AH9&amp;$S$6),Ratesheet!$F$5:$J$455,4,FALSE)*S9),0)),(IFERROR((VLOOKUP((AI9&amp;$S$6),Ratesheet!$F$5:$J$455,4,FALSE)*S9),0))))</f>
        <v>1466.8322981366459</v>
      </c>
      <c r="AT9" s="139">
        <f>IF(H9="",0,MAX((IFERROR((VLOOKUP((AG9&amp;$T$6),Ratesheet!$F$5:$J$455,4,FALSE)*T9),0)),(IFERROR((VLOOKUP((AH9&amp;$T$6),Ratesheet!$F$5:$J$455,4,FALSE)*T9),0))))</f>
        <v>0</v>
      </c>
      <c r="AU9" s="139">
        <f>IF(I9="",0,MAX((IFERROR((VLOOKUP((AH9&amp;$U$6),Ratesheet!$F$5:$J$455,4,FALSE)*U9),0)),(IFERROR((VLOOKUP((AI9&amp;$U$6),Ratesheet!$F$5:$J$455,4,FALSE)*U9),0))))</f>
        <v>0</v>
      </c>
      <c r="AV9" s="138">
        <f t="shared" ref="AV9:AV25" si="4">SUM(AJ9:AU9)</f>
        <v>15417.391304347826</v>
      </c>
      <c r="AW9" s="295">
        <f>IFERROR(AV9*VLOOKUP($C$7,'Ref1'!$B$230:$C$236,2,FALSE),0)</f>
        <v>1241100</v>
      </c>
      <c r="AX9" s="66" t="str">
        <f t="shared" ref="AX9:AX25" si="5">AI9</f>
        <v>India - R&amp;C</v>
      </c>
      <c r="AY9" s="138">
        <f>IF(I9="",0,MAX((IFERROR((VLOOKUP((AH9&amp;$J$6),Ratesheet!$F$5:$J$455,5,FALSE)*J9),0)),(IFERROR((VLOOKUP((AX9&amp;$J$6),Ratesheet!$F$5:$J$455,5,FALSE)*J9),0))))</f>
        <v>536.6459627329192</v>
      </c>
      <c r="AZ9" s="138">
        <f>IF(I9="",0,MAX((IFERROR((VLOOKUP((AH9&amp;$K$6),Ratesheet!$F$5:$J$455,5,FALSE)*K9),0)),(IFERROR((VLOOKUP((AX9&amp;$K$6),Ratesheet!$F$5:$J$455,5,FALSE)*K9),0))))</f>
        <v>0</v>
      </c>
      <c r="BA9" s="138">
        <f>IF(I9="",0,MAX((IFERROR((VLOOKUP((AH9&amp;$L$6),Ratesheet!$F$5:$J$455,5,FALSE)*L9),0)),(IFERROR((VLOOKUP((AX9&amp;$L$6),Ratesheet!$F$5:$J$455,5,FALSE)*L9),0))))</f>
        <v>1908.0745341614906</v>
      </c>
      <c r="BB9" s="138">
        <f>IF(I9="",0,MAX((IFERROR((VLOOKUP((AH9&amp;$M$6),Ratesheet!$F$5:$J$455,5,FALSE)*M9),0)),(IFERROR((VLOOKUP((AX9&amp;$M$6),Ratesheet!$F$5:$J$455,5,FALSE)*M9),0))))</f>
        <v>1097.1428571428571</v>
      </c>
      <c r="BC9" s="138">
        <f>IF(I9="",0,MAX((IFERROR((VLOOKUP((AH9&amp;$N$6),Ratesheet!$F$5:$J$455,5,FALSE)*N9),0)),(IFERROR((VLOOKUP((AX9&amp;$N$6),Ratesheet!$F$5:$J$455,5,FALSE)*N9),0))))</f>
        <v>0</v>
      </c>
      <c r="BD9" s="138">
        <f>IF(I9="",0,MAX((IFERROR((VLOOKUP((AH9&amp;$O$6),Ratesheet!$F$5:$J$455,5,FALSE)*O9),0)),(IFERROR((VLOOKUP((AX9&amp;$O$6),Ratesheet!$F$5:$J$455,5,FALSE)*O9),0))))</f>
        <v>0</v>
      </c>
      <c r="BE9" s="138">
        <f>IF(I9="",0,MAX((IFERROR((VLOOKUP((AH9&amp;$P$6),Ratesheet!$F$5:$J$455,5,FALSE)*P9),0)),(IFERROR((VLOOKUP((AX9&amp;$P$6),Ratesheet!$F$5:$J$455,5,FALSE)*P9),0))))</f>
        <v>482.98136645962734</v>
      </c>
      <c r="BF9" s="138">
        <f>IF(I9="",0,MAX((IFERROR((VLOOKUP((AH9&amp;$Q$6),Ratesheet!$F$5:$J$455,5,FALSE)*Q9),0)),(IFERROR((VLOOKUP((AX9&amp;$Q$6),Ratesheet!$F$5:$J$455,5,FALSE)*Q9),0))))</f>
        <v>330.93167701863354</v>
      </c>
      <c r="BG9" s="138">
        <f>IF(I9="",0,MAX((IFERROR((VLOOKUP((AH9&amp;$R$6),Ratesheet!$F$5:$J$455,5,FALSE)*R9),0)),(IFERROR((VLOOKUP((AX9&amp;$R$6),Ratesheet!$F$5:$J$455,5,FALSE)*R9),0))))</f>
        <v>343.45341614906835</v>
      </c>
      <c r="BH9" s="138">
        <f>IF(I9="",0,MAX((IFERROR((VLOOKUP((AH9&amp;$S$6),Ratesheet!$F$5:$J$455,5,FALSE)*S9),0)),(IFERROR((VLOOKUP((AX9&amp;$S$6),Ratesheet!$F$5:$J$455,5,FALSE)*S9),0))))</f>
        <v>262.36024844720498</v>
      </c>
      <c r="BI9" s="139">
        <f>IF(H9="",0,MAX((IFERROR((VLOOKUP((AG9&amp;$T$6),Ratesheet!$F$5:$J$455,5,FALSE)*T9),0)),(IFERROR((VLOOKUP((AW9&amp;$T$6),Ratesheet!$F$5:$J$455,5,FALSE)*T9),0))))</f>
        <v>0</v>
      </c>
      <c r="BJ9" s="139">
        <f>IF(I9="",0,MAX((IFERROR((VLOOKUP((AH9&amp;$U$6),Ratesheet!$F$5:$J$455,5,FALSE)*U9),0)),(IFERROR((VLOOKUP((AX9&amp;$U$6),Ratesheet!$F$5:$J$455,5,FALSE)*U9),0))))</f>
        <v>0</v>
      </c>
      <c r="BK9" s="138">
        <f t="shared" ref="BK9:BK25" si="6">IFERROR(SUM(AY9:BJ9),0)</f>
        <v>4961.5900621118008</v>
      </c>
      <c r="BL9" s="138">
        <f>IFERROR(BK9*VLOOKUP($C$7,'Ref1'!$B$230:$C$236,2,FALSE),0)</f>
        <v>399407.99999999994</v>
      </c>
    </row>
    <row r="10" spans="1:64" s="66" customFormat="1" ht="11.25" customHeight="1">
      <c r="A10" s="281" t="str">
        <f>IF(C4="","Missing Business Unit - please enter data on 'Main Sheet'","")</f>
        <v/>
      </c>
      <c r="B10" s="74"/>
      <c r="C10" s="75"/>
      <c r="D10" s="74"/>
      <c r="E10" s="75"/>
      <c r="F10" s="693" t="s">
        <v>150</v>
      </c>
      <c r="G10" s="694"/>
      <c r="H10" s="551" t="s">
        <v>147</v>
      </c>
      <c r="I10" s="552" t="s">
        <v>148</v>
      </c>
      <c r="J10" s="605">
        <v>2</v>
      </c>
      <c r="K10" s="592"/>
      <c r="L10" s="592">
        <v>8</v>
      </c>
      <c r="M10" s="592">
        <v>10</v>
      </c>
      <c r="N10" s="592"/>
      <c r="O10" s="592"/>
      <c r="P10" s="592">
        <v>16</v>
      </c>
      <c r="Q10" s="592">
        <v>16</v>
      </c>
      <c r="R10" s="592">
        <v>24</v>
      </c>
      <c r="S10" s="592">
        <v>24</v>
      </c>
      <c r="T10" s="593"/>
      <c r="U10" s="593"/>
      <c r="V10" s="594">
        <f t="shared" si="1"/>
        <v>100</v>
      </c>
      <c r="AB10" s="57"/>
      <c r="AH10" s="66" t="str">
        <f t="shared" si="2"/>
        <v>India - R&amp;C</v>
      </c>
      <c r="AI10" s="71" t="str">
        <f t="shared" si="3"/>
        <v>India - R&amp;C</v>
      </c>
      <c r="AJ10" s="138">
        <f>IF(I10="",0,MAX((IFERROR((VLOOKUP((AH10&amp;$J$6),Ratesheet!$F$5:$J$455,4,FALSE)*J10),0)),(IFERROR((VLOOKUP((AI10&amp;$J$6),Ratesheet!$F$5:$J$455,4,FALSE)*J10),0))))</f>
        <v>746.08695652173913</v>
      </c>
      <c r="AK10" s="138">
        <f>IF(I10="",0,MAX((IFERROR((VLOOKUP((AH10&amp;$K$6),Ratesheet!$F$5:$J$455,4,FALSE)*K10),0)),(IFERROR((VLOOKUP((AI10&amp;$K$6),Ratesheet!$F$5:$J$455,4,FALSE)*K10),0))))</f>
        <v>0</v>
      </c>
      <c r="AL10" s="138">
        <f>IF(I10="",0,MAX((IFERROR((VLOOKUP((AH10&amp;$L$6),Ratesheet!$F$5:$J$455,4,FALSE)*L10),0)),(IFERROR((VLOOKUP((AI10&amp;$L$6),Ratesheet!$F$5:$J$455,4,FALSE)*L10),0))))</f>
        <v>2194.2857142857142</v>
      </c>
      <c r="AM10" s="138">
        <f>IF(I10="",0,MAX((IFERROR((VLOOKUP((AH10&amp;$M$6),Ratesheet!$F$5:$J$455,4,FALSE)*M10),0)),(IFERROR((VLOOKUP((AI10&amp;$M$6),Ratesheet!$F$5:$J$455,4,FALSE)*M10),0))))</f>
        <v>2178.8819875776398</v>
      </c>
      <c r="AN10" s="138">
        <f>IF(I10="",0,MAX((IFERROR((VLOOKUP((AH10&amp;$N$6),Ratesheet!$F$5:$J$455,4,FALSE)*N10),0)),(IFERROR((VLOOKUP((AI10&amp;$N$6),Ratesheet!$F$5:$J$455,4,FALSE)*N10),0))))</f>
        <v>0</v>
      </c>
      <c r="AO10" s="138">
        <f>IF(I10="",0,MAX((IFERROR((VLOOKUP((AH10&amp;$O$6),Ratesheet!$F$5:$J$455,4,FALSE)*O10),0)),(IFERROR((VLOOKUP((AI10&amp;$O$6),Ratesheet!$F$5:$J$455,4,FALSE)*O10),0))))</f>
        <v>0</v>
      </c>
      <c r="AP10" s="138">
        <f>IF(I10="",0,MAX((IFERROR((VLOOKUP((AH10&amp;$P$6),Ratesheet!$F$5:$J$455,4,FALSE)*P10),0)),(IFERROR((VLOOKUP((AI10&amp;$P$6),Ratesheet!$F$5:$J$455,4,FALSE)*P10),0))))</f>
        <v>1496.6459627329193</v>
      </c>
      <c r="AQ10" s="138">
        <f>IF(I10="",0,MAX((IFERROR((VLOOKUP((AH10&amp;$Q$6),Ratesheet!$F$5:$J$455,4,FALSE)*Q10),0)),(IFERROR((VLOOKUP((AI10&amp;$Q$6),Ratesheet!$F$5:$J$455,4,FALSE)*Q10),0))))</f>
        <v>1001.7391304347826</v>
      </c>
      <c r="AR10" s="138">
        <f>IF(I10="",0,MAX((IFERROR((VLOOKUP((AH10&amp;$R$6),Ratesheet!$F$5:$J$455,4,FALSE)*R10),0)),(IFERROR((VLOOKUP((AI10&amp;$R$6),Ratesheet!$F$5:$J$455,4,FALSE)*R10),0))))</f>
        <v>1186.583850931677</v>
      </c>
      <c r="AS10" s="138">
        <f>IF(I10="",0,MAX((IFERROR((VLOOKUP((AH10&amp;$S$6),Ratesheet!$F$5:$J$455,4,FALSE)*S10),0)),(IFERROR((VLOOKUP((AI10&amp;$S$6),Ratesheet!$F$5:$J$455,4,FALSE)*S10),0))))</f>
        <v>1100.1242236024846</v>
      </c>
      <c r="AT10" s="139">
        <f>IF(H10="",0,MAX((IFERROR((VLOOKUP((AG10&amp;$T$6),Ratesheet!$F$5:$J$455,4,FALSE)*T10),0)),(IFERROR((VLOOKUP((AH10&amp;$T$6),Ratesheet!$F$5:$J$455,4,FALSE)*T10),0))))</f>
        <v>0</v>
      </c>
      <c r="AU10" s="139">
        <f>IF(I10="",0,MAX((IFERROR((VLOOKUP((AH10&amp;$U$6),Ratesheet!$F$5:$J$455,4,FALSE)*U10),0)),(IFERROR((VLOOKUP((AI10&amp;$U$6),Ratesheet!$F$5:$J$455,4,FALSE)*U10),0))))</f>
        <v>0</v>
      </c>
      <c r="AV10" s="138">
        <f t="shared" si="4"/>
        <v>9904.347826086956</v>
      </c>
      <c r="AW10" s="295">
        <f>IFERROR(AV10*VLOOKUP($C$7,'Ref1'!$B$230:$C$236,2,FALSE),0)</f>
        <v>797300</v>
      </c>
      <c r="AX10" s="66" t="str">
        <f t="shared" si="5"/>
        <v>India - R&amp;C</v>
      </c>
      <c r="AY10" s="138">
        <f>IF(I10="",0,MAX((IFERROR((VLOOKUP((AH10&amp;$J$6),Ratesheet!$F$5:$J$455,5,FALSE)*J10),0)),(IFERROR((VLOOKUP((AX10&amp;$J$6),Ratesheet!$F$5:$J$455,5,FALSE)*J10),0))))</f>
        <v>536.6459627329192</v>
      </c>
      <c r="AZ10" s="138">
        <f>IF(I10="",0,MAX((IFERROR((VLOOKUP((AH10&amp;$K$6),Ratesheet!$F$5:$J$455,5,FALSE)*K10),0)),(IFERROR((VLOOKUP((AX10&amp;$K$6),Ratesheet!$F$5:$J$455,5,FALSE)*K10),0))))</f>
        <v>0</v>
      </c>
      <c r="BA10" s="138">
        <f>IF(I10="",0,MAX((IFERROR((VLOOKUP((AH10&amp;$L$6),Ratesheet!$F$5:$J$455,5,FALSE)*L10),0)),(IFERROR((VLOOKUP((AX10&amp;$L$6),Ratesheet!$F$5:$J$455,5,FALSE)*L10),0))))</f>
        <v>954.03726708074532</v>
      </c>
      <c r="BB10" s="138">
        <f>IF(I10="",0,MAX((IFERROR((VLOOKUP((AH10&amp;$M$6),Ratesheet!$F$5:$J$455,5,FALSE)*M10),0)),(IFERROR((VLOOKUP((AX10&amp;$M$6),Ratesheet!$F$5:$J$455,5,FALSE)*M10),0))))</f>
        <v>685.71428571428567</v>
      </c>
      <c r="BC10" s="138">
        <f>IF(I10="",0,MAX((IFERROR((VLOOKUP((AH10&amp;$N$6),Ratesheet!$F$5:$J$455,5,FALSE)*N10),0)),(IFERROR((VLOOKUP((AX10&amp;$N$6),Ratesheet!$F$5:$J$455,5,FALSE)*N10),0))))</f>
        <v>0</v>
      </c>
      <c r="BD10" s="138">
        <f>IF(I10="",0,MAX((IFERROR((VLOOKUP((AH10&amp;$O$6),Ratesheet!$F$5:$J$455,5,FALSE)*O10),0)),(IFERROR((VLOOKUP((AX10&amp;$O$6),Ratesheet!$F$5:$J$455,5,FALSE)*O10),0))))</f>
        <v>0</v>
      </c>
      <c r="BE10" s="138">
        <f>IF(I10="",0,MAX((IFERROR((VLOOKUP((AH10&amp;$P$6),Ratesheet!$F$5:$J$455,5,FALSE)*P10),0)),(IFERROR((VLOOKUP((AX10&amp;$P$6),Ratesheet!$F$5:$J$455,5,FALSE)*P10),0))))</f>
        <v>321.98757763975158</v>
      </c>
      <c r="BF10" s="138">
        <f>IF(I10="",0,MAX((IFERROR((VLOOKUP((AH10&amp;$Q$6),Ratesheet!$F$5:$J$455,5,FALSE)*Q10),0)),(IFERROR((VLOOKUP((AX10&amp;$Q$6),Ratesheet!$F$5:$J$455,5,FALSE)*Q10),0))))</f>
        <v>220.62111801242236</v>
      </c>
      <c r="BG10" s="138">
        <f>IF(I10="",0,MAX((IFERROR((VLOOKUP((AH10&amp;$R$6),Ratesheet!$F$5:$J$455,5,FALSE)*R10),0)),(IFERROR((VLOOKUP((AX10&amp;$R$6),Ratesheet!$F$5:$J$455,5,FALSE)*R10),0))))</f>
        <v>257.59006211180127</v>
      </c>
      <c r="BH10" s="138">
        <f>IF(I10="",0,MAX((IFERROR((VLOOKUP((AH10&amp;$S$6),Ratesheet!$F$5:$J$455,5,FALSE)*S10),0)),(IFERROR((VLOOKUP((AX10&amp;$S$6),Ratesheet!$F$5:$J$455,5,FALSE)*S10),0))))</f>
        <v>196.77018633540374</v>
      </c>
      <c r="BI10" s="139">
        <f>IF(H10="",0,MAX((IFERROR((VLOOKUP((AG10&amp;$T$6),Ratesheet!$F$5:$J$455,5,FALSE)*T10),0)),(IFERROR((VLOOKUP((AW10&amp;$T$6),Ratesheet!$F$5:$J$455,5,FALSE)*T10),0))))</f>
        <v>0</v>
      </c>
      <c r="BJ10" s="139">
        <f>IF(I10="",0,MAX((IFERROR((VLOOKUP((AH10&amp;$U$6),Ratesheet!$F$5:$J$455,5,FALSE)*U10),0)),(IFERROR((VLOOKUP((AX10&amp;$U$6),Ratesheet!$F$5:$J$455,5,FALSE)*U10),0))))</f>
        <v>0</v>
      </c>
      <c r="BK10" s="138">
        <f t="shared" si="6"/>
        <v>3173.3664596273293</v>
      </c>
      <c r="BL10" s="138">
        <f>IFERROR(BK10*VLOOKUP($C$7,'Ref1'!$B$230:$C$236,2,FALSE),0)</f>
        <v>255456</v>
      </c>
    </row>
    <row r="11" spans="1:64" s="66" customFormat="1" ht="11.25" customHeight="1">
      <c r="A11" s="281" t="str">
        <f>IF(OR(COUNTIF(Y8:Y25,"truefalse"),(COUNTIF(Y8:Y25,"falsetrue"))&gt;0),"Missing Business Unit / Hours - In Resource Plan","")</f>
        <v/>
      </c>
      <c r="B11" s="74"/>
      <c r="C11" s="75"/>
      <c r="D11" s="74"/>
      <c r="E11" s="140"/>
      <c r="F11" s="693" t="s">
        <v>151</v>
      </c>
      <c r="G11" s="694"/>
      <c r="H11" s="551" t="s">
        <v>147</v>
      </c>
      <c r="I11" s="552" t="s">
        <v>148</v>
      </c>
      <c r="J11" s="605">
        <v>2</v>
      </c>
      <c r="K11" s="592"/>
      <c r="L11" s="592">
        <v>8</v>
      </c>
      <c r="M11" s="592">
        <v>8</v>
      </c>
      <c r="N11" s="592"/>
      <c r="O11" s="592"/>
      <c r="P11" s="592">
        <v>40</v>
      </c>
      <c r="Q11" s="592">
        <v>40</v>
      </c>
      <c r="R11" s="592">
        <v>80</v>
      </c>
      <c r="S11" s="592">
        <v>80</v>
      </c>
      <c r="T11" s="593"/>
      <c r="U11" s="593"/>
      <c r="V11" s="594">
        <f t="shared" si="1"/>
        <v>258</v>
      </c>
      <c r="AB11" s="57"/>
      <c r="AH11" s="66" t="str">
        <f t="shared" si="2"/>
        <v>India - R&amp;C</v>
      </c>
      <c r="AI11" s="71" t="str">
        <f t="shared" si="3"/>
        <v>India - R&amp;C</v>
      </c>
      <c r="AJ11" s="138">
        <f>IF(I11="",0,MAX((IFERROR((VLOOKUP((AH11&amp;$J$6),Ratesheet!$F$5:$J$455,4,FALSE)*J11),0)),(IFERROR((VLOOKUP((AI11&amp;$J$6),Ratesheet!$F$5:$J$455,4,FALSE)*J11),0))))</f>
        <v>746.08695652173913</v>
      </c>
      <c r="AK11" s="138">
        <f>IF(I11="",0,MAX((IFERROR((VLOOKUP((AH11&amp;$K$6),Ratesheet!$F$5:$J$455,4,FALSE)*K11),0)),(IFERROR((VLOOKUP((AI11&amp;$K$6),Ratesheet!$F$5:$J$455,4,FALSE)*K11),0))))</f>
        <v>0</v>
      </c>
      <c r="AL11" s="138">
        <f>IF(I11="",0,MAX((IFERROR((VLOOKUP((AH11&amp;$L$6),Ratesheet!$F$5:$J$455,4,FALSE)*L11),0)),(IFERROR((VLOOKUP((AI11&amp;$L$6),Ratesheet!$F$5:$J$455,4,FALSE)*L11),0))))</f>
        <v>2194.2857142857142</v>
      </c>
      <c r="AM11" s="138">
        <f>IF(I11="",0,MAX((IFERROR((VLOOKUP((AH11&amp;$M$6),Ratesheet!$F$5:$J$455,4,FALSE)*M11),0)),(IFERROR((VLOOKUP((AI11&amp;$M$6),Ratesheet!$F$5:$J$455,4,FALSE)*M11),0))))</f>
        <v>1743.1055900621118</v>
      </c>
      <c r="AN11" s="138">
        <f>IF(I11="",0,MAX((IFERROR((VLOOKUP((AH11&amp;$N$6),Ratesheet!$F$5:$J$455,4,FALSE)*N11),0)),(IFERROR((VLOOKUP((AI11&amp;$N$6),Ratesheet!$F$5:$J$455,4,FALSE)*N11),0))))</f>
        <v>0</v>
      </c>
      <c r="AO11" s="138">
        <f>IF(I11="",0,MAX((IFERROR((VLOOKUP((AH11&amp;$O$6),Ratesheet!$F$5:$J$455,4,FALSE)*O11),0)),(IFERROR((VLOOKUP((AI11&amp;$O$6),Ratesheet!$F$5:$J$455,4,FALSE)*O11),0))))</f>
        <v>0</v>
      </c>
      <c r="AP11" s="138">
        <f>IF(I11="",0,MAX((IFERROR((VLOOKUP((AH11&amp;$P$6),Ratesheet!$F$5:$J$455,4,FALSE)*P11),0)),(IFERROR((VLOOKUP((AI11&amp;$P$6),Ratesheet!$F$5:$J$455,4,FALSE)*P11),0))))</f>
        <v>3741.6149068322984</v>
      </c>
      <c r="AQ11" s="138">
        <f>IF(I11="",0,MAX((IFERROR((VLOOKUP((AH11&amp;$Q$6),Ratesheet!$F$5:$J$455,4,FALSE)*Q11),0)),(IFERROR((VLOOKUP((AI11&amp;$Q$6),Ratesheet!$F$5:$J$455,4,FALSE)*Q11),0))))</f>
        <v>2504.3478260869565</v>
      </c>
      <c r="AR11" s="138">
        <f>IF(I11="",0,MAX((IFERROR((VLOOKUP((AH11&amp;$R$6),Ratesheet!$F$5:$J$455,4,FALSE)*R11),0)),(IFERROR((VLOOKUP((AI11&amp;$R$6),Ratesheet!$F$5:$J$455,4,FALSE)*R11),0))))</f>
        <v>3955.2795031055898</v>
      </c>
      <c r="AS11" s="138">
        <f>IF(I11="",0,MAX((IFERROR((VLOOKUP((AH11&amp;$S$6),Ratesheet!$F$5:$J$455,4,FALSE)*S11),0)),(IFERROR((VLOOKUP((AI11&amp;$S$6),Ratesheet!$F$5:$J$455,4,FALSE)*S11),0))))</f>
        <v>3667.0807453416146</v>
      </c>
      <c r="AT11" s="139">
        <f>IF(H11="",0,MAX((IFERROR((VLOOKUP((AG11&amp;$T$6),Ratesheet!$F$5:$J$455,4,FALSE)*T11),0)),(IFERROR((VLOOKUP((AH11&amp;$T$6),Ratesheet!$F$5:$J$455,4,FALSE)*T11),0))))</f>
        <v>0</v>
      </c>
      <c r="AU11" s="139">
        <f>IF(I11="",0,MAX((IFERROR((VLOOKUP((AH11&amp;$U$6),Ratesheet!$F$5:$J$455,4,FALSE)*U11),0)),(IFERROR((VLOOKUP((AI11&amp;$U$6),Ratesheet!$F$5:$J$455,4,FALSE)*U11),0))))</f>
        <v>0</v>
      </c>
      <c r="AV11" s="138">
        <f t="shared" si="4"/>
        <v>18551.801242236026</v>
      </c>
      <c r="AW11" s="295">
        <f>IFERROR(AV11*VLOOKUP($C$7,'Ref1'!$B$230:$C$236,2,FALSE),0)</f>
        <v>1493420</v>
      </c>
      <c r="AX11" s="66" t="str">
        <f t="shared" si="5"/>
        <v>India - R&amp;C</v>
      </c>
      <c r="AY11" s="138">
        <f>IF(I11="",0,MAX((IFERROR((VLOOKUP((AH11&amp;$J$6),Ratesheet!$F$5:$J$455,5,FALSE)*J11),0)),(IFERROR((VLOOKUP((AX11&amp;$J$6),Ratesheet!$F$5:$J$455,5,FALSE)*J11),0))))</f>
        <v>536.6459627329192</v>
      </c>
      <c r="AZ11" s="138">
        <f>IF(I11="",0,MAX((IFERROR((VLOOKUP((AH11&amp;$K$6),Ratesheet!$F$5:$J$455,5,FALSE)*K11),0)),(IFERROR((VLOOKUP((AX11&amp;$K$6),Ratesheet!$F$5:$J$455,5,FALSE)*K11),0))))</f>
        <v>0</v>
      </c>
      <c r="BA11" s="138">
        <f>IF(I11="",0,MAX((IFERROR((VLOOKUP((AH11&amp;$L$6),Ratesheet!$F$5:$J$455,5,FALSE)*L11),0)),(IFERROR((VLOOKUP((AX11&amp;$L$6),Ratesheet!$F$5:$J$455,5,FALSE)*L11),0))))</f>
        <v>954.03726708074532</v>
      </c>
      <c r="BB11" s="138">
        <f>IF(I11="",0,MAX((IFERROR((VLOOKUP((AH11&amp;$M$6),Ratesheet!$F$5:$J$455,5,FALSE)*M11),0)),(IFERROR((VLOOKUP((AX11&amp;$M$6),Ratesheet!$F$5:$J$455,5,FALSE)*M11),0))))</f>
        <v>548.57142857142856</v>
      </c>
      <c r="BC11" s="138">
        <f>IF(I11="",0,MAX((IFERROR((VLOOKUP((AH11&amp;$N$6),Ratesheet!$F$5:$J$455,5,FALSE)*N11),0)),(IFERROR((VLOOKUP((AX11&amp;$N$6),Ratesheet!$F$5:$J$455,5,FALSE)*N11),0))))</f>
        <v>0</v>
      </c>
      <c r="BD11" s="138">
        <f>IF(I11="",0,MAX((IFERROR((VLOOKUP((AH11&amp;$O$6),Ratesheet!$F$5:$J$455,5,FALSE)*O11),0)),(IFERROR((VLOOKUP((AX11&amp;$O$6),Ratesheet!$F$5:$J$455,5,FALSE)*O11),0))))</f>
        <v>0</v>
      </c>
      <c r="BE11" s="138">
        <f>IF(I11="",0,MAX((IFERROR((VLOOKUP((AH11&amp;$P$6),Ratesheet!$F$5:$J$455,5,FALSE)*P11),0)),(IFERROR((VLOOKUP((AX11&amp;$P$6),Ratesheet!$F$5:$J$455,5,FALSE)*P11),0))))</f>
        <v>804.96894409937897</v>
      </c>
      <c r="BF11" s="138">
        <f>IF(I11="",0,MAX((IFERROR((VLOOKUP((AH11&amp;$Q$6),Ratesheet!$F$5:$J$455,5,FALSE)*Q11),0)),(IFERROR((VLOOKUP((AX11&amp;$Q$6),Ratesheet!$F$5:$J$455,5,FALSE)*Q11),0))))</f>
        <v>551.55279503105589</v>
      </c>
      <c r="BG11" s="138">
        <f>IF(I11="",0,MAX((IFERROR((VLOOKUP((AH11&amp;$R$6),Ratesheet!$F$5:$J$455,5,FALSE)*R11),0)),(IFERROR((VLOOKUP((AX11&amp;$R$6),Ratesheet!$F$5:$J$455,5,FALSE)*R11),0))))</f>
        <v>858.63354037267084</v>
      </c>
      <c r="BH11" s="138">
        <f>IF(I11="",0,MAX((IFERROR((VLOOKUP((AH11&amp;$S$6),Ratesheet!$F$5:$J$455,5,FALSE)*S11),0)),(IFERROR((VLOOKUP((AX11&amp;$S$6),Ratesheet!$F$5:$J$455,5,FALSE)*S11),0))))</f>
        <v>655.9006211180124</v>
      </c>
      <c r="BI11" s="139">
        <f>IF(H11="",0,MAX((IFERROR((VLOOKUP((AG11&amp;$T$6),Ratesheet!$F$5:$J$455,5,FALSE)*T11),0)),(IFERROR((VLOOKUP((AW11&amp;$T$6),Ratesheet!$F$5:$J$455,5,FALSE)*T11),0))))</f>
        <v>0</v>
      </c>
      <c r="BJ11" s="139">
        <f>IF(I11="",0,MAX((IFERROR((VLOOKUP((AH11&amp;$U$6),Ratesheet!$F$5:$J$455,5,FALSE)*U11),0)),(IFERROR((VLOOKUP((AX11&amp;$U$6),Ratesheet!$F$5:$J$455,5,FALSE)*U11),0))))</f>
        <v>0</v>
      </c>
      <c r="BK11" s="138">
        <f t="shared" si="6"/>
        <v>4910.3105590062105</v>
      </c>
      <c r="BL11" s="138">
        <f>IFERROR(BK11*VLOOKUP($C$7,'Ref1'!$B$230:$C$236,2,FALSE),0)</f>
        <v>395279.99999999994</v>
      </c>
    </row>
    <row r="12" spans="1:64" ht="11.25" customHeight="1">
      <c r="A12" s="274" t="str">
        <f>IF(C7="","Missing Billing Currency - please enter data on 'Main Sheet'","")</f>
        <v/>
      </c>
      <c r="B12" s="243"/>
      <c r="C12" s="243"/>
      <c r="D12" s="243"/>
      <c r="E12" s="90"/>
      <c r="F12" s="693" t="s">
        <v>152</v>
      </c>
      <c r="G12" s="694"/>
      <c r="H12" s="551" t="s">
        <v>147</v>
      </c>
      <c r="I12" s="552" t="s">
        <v>148</v>
      </c>
      <c r="J12" s="605"/>
      <c r="K12" s="592"/>
      <c r="L12" s="592"/>
      <c r="M12" s="592">
        <v>8</v>
      </c>
      <c r="N12" s="592"/>
      <c r="O12" s="592"/>
      <c r="P12" s="592">
        <v>24</v>
      </c>
      <c r="Q12" s="592">
        <v>24</v>
      </c>
      <c r="R12" s="592">
        <v>48</v>
      </c>
      <c r="S12" s="592">
        <v>48</v>
      </c>
      <c r="T12" s="593"/>
      <c r="U12" s="593"/>
      <c r="V12" s="594">
        <f t="shared" si="1"/>
        <v>152</v>
      </c>
      <c r="W12" s="66"/>
      <c r="X12" s="66"/>
      <c r="Y12" s="66"/>
      <c r="AH12" s="66" t="str">
        <f t="shared" si="2"/>
        <v>India - R&amp;C</v>
      </c>
      <c r="AI12" s="71" t="str">
        <f t="shared" si="3"/>
        <v>India - R&amp;C</v>
      </c>
      <c r="AJ12" s="138">
        <f>IF(I12="",0,MAX((IFERROR((VLOOKUP((AH12&amp;$J$6),Ratesheet!$F$5:$J$455,4,FALSE)*J12),0)),(IFERROR((VLOOKUP((AI12&amp;$J$6),Ratesheet!$F$5:$J$455,4,FALSE)*J12),0))))</f>
        <v>0</v>
      </c>
      <c r="AK12" s="138">
        <f>IF(I12="",0,MAX((IFERROR((VLOOKUP((AH12&amp;$K$6),Ratesheet!$F$5:$J$455,4,FALSE)*K12),0)),(IFERROR((VLOOKUP((AI12&amp;$K$6),Ratesheet!$F$5:$J$455,4,FALSE)*K12),0))))</f>
        <v>0</v>
      </c>
      <c r="AL12" s="138">
        <f>IF(I12="",0,MAX((IFERROR((VLOOKUP((AH12&amp;$L$6),Ratesheet!$F$5:$J$455,4,FALSE)*L12),0)),(IFERROR((VLOOKUP((AI12&amp;$L$6),Ratesheet!$F$5:$J$455,4,FALSE)*L12),0))))</f>
        <v>0</v>
      </c>
      <c r="AM12" s="138">
        <f>IF(I12="",0,MAX((IFERROR((VLOOKUP((AH12&amp;$M$6),Ratesheet!$F$5:$J$455,4,FALSE)*M12),0)),(IFERROR((VLOOKUP((AI12&amp;$M$6),Ratesheet!$F$5:$J$455,4,FALSE)*M12),0))))</f>
        <v>1743.1055900621118</v>
      </c>
      <c r="AN12" s="138">
        <f>IF(I12="",0,MAX((IFERROR((VLOOKUP((AH12&amp;$N$6),Ratesheet!$F$5:$J$455,4,FALSE)*N12),0)),(IFERROR((VLOOKUP((AI12&amp;$N$6),Ratesheet!$F$5:$J$455,4,FALSE)*N12),0))))</f>
        <v>0</v>
      </c>
      <c r="AO12" s="138">
        <f>IF(I12="",0,MAX((IFERROR((VLOOKUP((AH12&amp;$O$6),Ratesheet!$F$5:$J$455,4,FALSE)*O12),0)),(IFERROR((VLOOKUP((AI12&amp;$O$6),Ratesheet!$F$5:$J$455,4,FALSE)*O12),0))))</f>
        <v>0</v>
      </c>
      <c r="AP12" s="138">
        <f>IF(I12="",0,MAX((IFERROR((VLOOKUP((AH12&amp;$P$6),Ratesheet!$F$5:$J$455,4,FALSE)*P12),0)),(IFERROR((VLOOKUP((AI12&amp;$P$6),Ratesheet!$F$5:$J$455,4,FALSE)*P12),0))))</f>
        <v>2244.9689440993789</v>
      </c>
      <c r="AQ12" s="138">
        <f>IF(I12="",0,MAX((IFERROR((VLOOKUP((AH12&amp;$Q$6),Ratesheet!$F$5:$J$455,4,FALSE)*Q12),0)),(IFERROR((VLOOKUP((AI12&amp;$Q$6),Ratesheet!$F$5:$J$455,4,FALSE)*Q12),0))))</f>
        <v>1502.608695652174</v>
      </c>
      <c r="AR12" s="138">
        <f>IF(I12="",0,MAX((IFERROR((VLOOKUP((AH12&amp;$R$6),Ratesheet!$F$5:$J$455,4,FALSE)*R12),0)),(IFERROR((VLOOKUP((AI12&amp;$R$6),Ratesheet!$F$5:$J$455,4,FALSE)*R12),0))))</f>
        <v>2373.1677018633541</v>
      </c>
      <c r="AS12" s="138">
        <f>IF(I12="",0,MAX((IFERROR((VLOOKUP((AH12&amp;$S$6),Ratesheet!$F$5:$J$455,4,FALSE)*S12),0)),(IFERROR((VLOOKUP((AI12&amp;$S$6),Ratesheet!$F$5:$J$455,4,FALSE)*S12),0))))</f>
        <v>2200.2484472049691</v>
      </c>
      <c r="AT12" s="139">
        <f>IF(H12="",0,MAX((IFERROR((VLOOKUP((AG12&amp;$T$6),Ratesheet!$F$5:$J$455,4,FALSE)*T12),0)),(IFERROR((VLOOKUP((AH12&amp;$T$6),Ratesheet!$F$5:$J$455,4,FALSE)*T12),0))))</f>
        <v>0</v>
      </c>
      <c r="AU12" s="139">
        <f>IF(I12="",0,MAX((IFERROR((VLOOKUP((AH12&amp;$U$6),Ratesheet!$F$5:$J$455,4,FALSE)*U12),0)),(IFERROR((VLOOKUP((AI12&amp;$U$6),Ratesheet!$F$5:$J$455,4,FALSE)*U12),0))))</f>
        <v>0</v>
      </c>
      <c r="AV12" s="138">
        <f t="shared" si="4"/>
        <v>10064.099378881989</v>
      </c>
      <c r="AW12" s="295">
        <f>IFERROR(AV12*VLOOKUP($C$7,'Ref1'!$B$230:$C$236,2,FALSE),0)</f>
        <v>810160.00000000012</v>
      </c>
      <c r="AX12" s="66" t="str">
        <f t="shared" si="5"/>
        <v>India - R&amp;C</v>
      </c>
      <c r="AY12" s="138">
        <f>IF(I12="",0,MAX((IFERROR((VLOOKUP((AH12&amp;$J$6),Ratesheet!$F$5:$J$455,5,FALSE)*J12),0)),(IFERROR((VLOOKUP((AX12&amp;$J$6),Ratesheet!$F$5:$J$455,5,FALSE)*J12),0))))</f>
        <v>0</v>
      </c>
      <c r="AZ12" s="138">
        <f>IF(I12="",0,MAX((IFERROR((VLOOKUP((AH12&amp;$K$6),Ratesheet!$F$5:$J$455,5,FALSE)*K12),0)),(IFERROR((VLOOKUP((AX12&amp;$K$6),Ratesheet!$F$5:$J$455,5,FALSE)*K12),0))))</f>
        <v>0</v>
      </c>
      <c r="BA12" s="138">
        <f>IF(I12="",0,MAX((IFERROR((VLOOKUP((AH12&amp;$L$6),Ratesheet!$F$5:$J$455,5,FALSE)*L12),0)),(IFERROR((VLOOKUP((AX12&amp;$L$6),Ratesheet!$F$5:$J$455,5,FALSE)*L12),0))))</f>
        <v>0</v>
      </c>
      <c r="BB12" s="138">
        <f>IF(I12="",0,MAX((IFERROR((VLOOKUP((AH12&amp;$M$6),Ratesheet!$F$5:$J$455,5,FALSE)*M12),0)),(IFERROR((VLOOKUP((AX12&amp;$M$6),Ratesheet!$F$5:$J$455,5,FALSE)*M12),0))))</f>
        <v>548.57142857142856</v>
      </c>
      <c r="BC12" s="138">
        <f>IF(I12="",0,MAX((IFERROR((VLOOKUP((AH12&amp;$N$6),Ratesheet!$F$5:$J$455,5,FALSE)*N12),0)),(IFERROR((VLOOKUP((AX12&amp;$N$6),Ratesheet!$F$5:$J$455,5,FALSE)*N12),0))))</f>
        <v>0</v>
      </c>
      <c r="BD12" s="138">
        <f>IF(I12="",0,MAX((IFERROR((VLOOKUP((AH12&amp;$O$6),Ratesheet!$F$5:$J$455,5,FALSE)*O12),0)),(IFERROR((VLOOKUP((AX12&amp;$O$6),Ratesheet!$F$5:$J$455,5,FALSE)*O12),0))))</f>
        <v>0</v>
      </c>
      <c r="BE12" s="138">
        <f>IF(I12="",0,MAX((IFERROR((VLOOKUP((AH12&amp;$P$6),Ratesheet!$F$5:$J$455,5,FALSE)*P12),0)),(IFERROR((VLOOKUP((AX12&amp;$P$6),Ratesheet!$F$5:$J$455,5,FALSE)*P12),0))))</f>
        <v>482.98136645962734</v>
      </c>
      <c r="BF12" s="138">
        <f>IF(I12="",0,MAX((IFERROR((VLOOKUP((AH12&amp;$Q$6),Ratesheet!$F$5:$J$455,5,FALSE)*Q12),0)),(IFERROR((VLOOKUP((AX12&amp;$Q$6),Ratesheet!$F$5:$J$455,5,FALSE)*Q12),0))))</f>
        <v>330.93167701863354</v>
      </c>
      <c r="BG12" s="138">
        <f>IF(I12="",0,MAX((IFERROR((VLOOKUP((AH12&amp;$R$6),Ratesheet!$F$5:$J$455,5,FALSE)*R12),0)),(IFERROR((VLOOKUP((AX12&amp;$R$6),Ratesheet!$F$5:$J$455,5,FALSE)*R12),0))))</f>
        <v>515.18012422360255</v>
      </c>
      <c r="BH12" s="138">
        <f>IF(I12="",0,MAX((IFERROR((VLOOKUP((AH12&amp;$S$6),Ratesheet!$F$5:$J$455,5,FALSE)*S12),0)),(IFERROR((VLOOKUP((AX12&amp;$S$6),Ratesheet!$F$5:$J$455,5,FALSE)*S12),0))))</f>
        <v>393.54037267080747</v>
      </c>
      <c r="BI12" s="139">
        <f>IF(H12="",0,MAX((IFERROR((VLOOKUP((AG12&amp;$T$6),Ratesheet!$F$5:$J$455,5,FALSE)*T12),0)),(IFERROR((VLOOKUP((AW12&amp;$T$6),Ratesheet!$F$5:$J$455,5,FALSE)*T12),0))))</f>
        <v>0</v>
      </c>
      <c r="BJ12" s="139">
        <f>IF(I12="",0,MAX((IFERROR((VLOOKUP((AH12&amp;$U$6),Ratesheet!$F$5:$J$455,5,FALSE)*U12),0)),(IFERROR((VLOOKUP((AX12&amp;$U$6),Ratesheet!$F$5:$J$455,5,FALSE)*U12),0))))</f>
        <v>0</v>
      </c>
      <c r="BK12" s="138">
        <f t="shared" si="6"/>
        <v>2271.2049689440992</v>
      </c>
      <c r="BL12" s="138">
        <f>IFERROR(BK12*VLOOKUP($C$7,'Ref1'!$B$230:$C$236,2,FALSE),0)</f>
        <v>182831.99999999997</v>
      </c>
    </row>
    <row r="13" spans="1:64" ht="11.25" customHeight="1">
      <c r="A13" s="428" t="str">
        <f>IF(V26&gt;0,(IF(J26=0,"Please consider budgeting hours for the MD","")),"")</f>
        <v/>
      </c>
      <c r="B13" s="243"/>
      <c r="C13" s="243"/>
      <c r="D13" s="243"/>
      <c r="E13" s="90"/>
      <c r="F13" s="693" t="s">
        <v>153</v>
      </c>
      <c r="G13" s="694"/>
      <c r="H13" s="551" t="str">
        <f>IF(F13="","",MainSheet!$B$6)</f>
        <v>India</v>
      </c>
      <c r="I13" s="552" t="str">
        <f>IF(F13="","",MainSheet!$D$6)</f>
        <v>R&amp;C</v>
      </c>
      <c r="J13" s="605"/>
      <c r="K13" s="592"/>
      <c r="L13" s="592">
        <v>4</v>
      </c>
      <c r="M13" s="592">
        <v>4</v>
      </c>
      <c r="N13" s="592"/>
      <c r="O13" s="592"/>
      <c r="P13" s="592">
        <v>24</v>
      </c>
      <c r="Q13" s="592">
        <v>24</v>
      </c>
      <c r="R13" s="592">
        <v>32</v>
      </c>
      <c r="S13" s="592">
        <v>32</v>
      </c>
      <c r="T13" s="593"/>
      <c r="U13" s="593"/>
      <c r="V13" s="594">
        <f t="shared" si="1"/>
        <v>120</v>
      </c>
      <c r="W13" s="66"/>
      <c r="X13" s="66"/>
      <c r="Y13" s="66"/>
      <c r="AH13" s="66" t="str">
        <f t="shared" si="2"/>
        <v>India - R&amp;C</v>
      </c>
      <c r="AI13" s="71" t="str">
        <f t="shared" si="3"/>
        <v>India - R&amp;C</v>
      </c>
      <c r="AJ13" s="138">
        <f>IF(I13="",0,MAX((IFERROR((VLOOKUP((AH13&amp;$J$6),Ratesheet!$F$5:$J$455,4,FALSE)*J13),0)),(IFERROR((VLOOKUP((AI13&amp;$J$6),Ratesheet!$F$5:$J$455,4,FALSE)*J13),0))))</f>
        <v>0</v>
      </c>
      <c r="AK13" s="138">
        <f>IF(I13="",0,MAX((IFERROR((VLOOKUP((AH13&amp;$K$6),Ratesheet!$F$5:$J$455,4,FALSE)*K13),0)),(IFERROR((VLOOKUP((AI13&amp;$K$6),Ratesheet!$F$5:$J$455,4,FALSE)*K13),0))))</f>
        <v>0</v>
      </c>
      <c r="AL13" s="138">
        <f>IF(I13="",0,MAX((IFERROR((VLOOKUP((AH13&amp;$L$6),Ratesheet!$F$5:$J$455,4,FALSE)*L13),0)),(IFERROR((VLOOKUP((AI13&amp;$L$6),Ratesheet!$F$5:$J$455,4,FALSE)*L13),0))))</f>
        <v>1097.1428571428571</v>
      </c>
      <c r="AM13" s="138">
        <f>IF(I13="",0,MAX((IFERROR((VLOOKUP((AH13&amp;$M$6),Ratesheet!$F$5:$J$455,4,FALSE)*M13),0)),(IFERROR((VLOOKUP((AI13&amp;$M$6),Ratesheet!$F$5:$J$455,4,FALSE)*M13),0))))</f>
        <v>871.55279503105589</v>
      </c>
      <c r="AN13" s="138">
        <f>IF(I13="",0,MAX((IFERROR((VLOOKUP((AH13&amp;$N$6),Ratesheet!$F$5:$J$455,4,FALSE)*N13),0)),(IFERROR((VLOOKUP((AI13&amp;$N$6),Ratesheet!$F$5:$J$455,4,FALSE)*N13),0))))</f>
        <v>0</v>
      </c>
      <c r="AO13" s="138">
        <f>IF(I13="",0,MAX((IFERROR((VLOOKUP((AH13&amp;$O$6),Ratesheet!$F$5:$J$455,4,FALSE)*O13),0)),(IFERROR((VLOOKUP((AI13&amp;$O$6),Ratesheet!$F$5:$J$455,4,FALSE)*O13),0))))</f>
        <v>0</v>
      </c>
      <c r="AP13" s="138">
        <f>IF(I13="",0,MAX((IFERROR((VLOOKUP((AH13&amp;$P$6),Ratesheet!$F$5:$J$455,4,FALSE)*P13),0)),(IFERROR((VLOOKUP((AI13&amp;$P$6),Ratesheet!$F$5:$J$455,4,FALSE)*P13),0))))</f>
        <v>2244.9689440993789</v>
      </c>
      <c r="AQ13" s="138">
        <f>IF(I13="",0,MAX((IFERROR((VLOOKUP((AH13&amp;$Q$6),Ratesheet!$F$5:$J$455,4,FALSE)*Q13),0)),(IFERROR((VLOOKUP((AI13&amp;$Q$6),Ratesheet!$F$5:$J$455,4,FALSE)*Q13),0))))</f>
        <v>1502.608695652174</v>
      </c>
      <c r="AR13" s="138">
        <f>IF(I13="",0,MAX((IFERROR((VLOOKUP((AH13&amp;$R$6),Ratesheet!$F$5:$J$455,4,FALSE)*R13),0)),(IFERROR((VLOOKUP((AI13&amp;$R$6),Ratesheet!$F$5:$J$455,4,FALSE)*R13),0))))</f>
        <v>1582.111801242236</v>
      </c>
      <c r="AS13" s="138">
        <f>IF(I13="",0,MAX((IFERROR((VLOOKUP((AH13&amp;$S$6),Ratesheet!$F$5:$J$455,4,FALSE)*S13),0)),(IFERROR((VLOOKUP((AI13&amp;$S$6),Ratesheet!$F$5:$J$455,4,FALSE)*S13),0))))</f>
        <v>1466.8322981366459</v>
      </c>
      <c r="AT13" s="139">
        <f>IF(H13="",0,MAX((IFERROR((VLOOKUP((AG13&amp;$T$6),Ratesheet!$F$5:$J$455,4,FALSE)*T13),0)),(IFERROR((VLOOKUP((AH13&amp;$T$6),Ratesheet!$F$5:$J$455,4,FALSE)*T13),0))))</f>
        <v>0</v>
      </c>
      <c r="AU13" s="139">
        <f>IF(I13="",0,MAX((IFERROR((VLOOKUP((AH13&amp;$U$6),Ratesheet!$F$5:$J$455,4,FALSE)*U13),0)),(IFERROR((VLOOKUP((AI13&amp;$U$6),Ratesheet!$F$5:$J$455,4,FALSE)*U13),0))))</f>
        <v>0</v>
      </c>
      <c r="AV13" s="138">
        <f t="shared" si="4"/>
        <v>8765.217391304348</v>
      </c>
      <c r="AW13" s="295">
        <f>IFERROR(AV13*VLOOKUP($C$7,'Ref1'!$B$230:$C$236,2,FALSE),0)</f>
        <v>705600</v>
      </c>
      <c r="AX13" s="66" t="str">
        <f t="shared" si="5"/>
        <v>India - R&amp;C</v>
      </c>
      <c r="AY13" s="138">
        <f>IF(I13="",0,MAX((IFERROR((VLOOKUP((AH13&amp;$J$6),Ratesheet!$F$5:$J$455,5,FALSE)*J13),0)),(IFERROR((VLOOKUP((AX13&amp;$J$6),Ratesheet!$F$5:$J$455,5,FALSE)*J13),0))))</f>
        <v>0</v>
      </c>
      <c r="AZ13" s="138">
        <f>IF(I13="",0,MAX((IFERROR((VLOOKUP((AH13&amp;$K$6),Ratesheet!$F$5:$J$455,5,FALSE)*K13),0)),(IFERROR((VLOOKUP((AX13&amp;$K$6),Ratesheet!$F$5:$J$455,5,FALSE)*K13),0))))</f>
        <v>0</v>
      </c>
      <c r="BA13" s="138">
        <f>IF(I13="",0,MAX((IFERROR((VLOOKUP((AH13&amp;$L$6),Ratesheet!$F$5:$J$455,5,FALSE)*L13),0)),(IFERROR((VLOOKUP((AX13&amp;$L$6),Ratesheet!$F$5:$J$455,5,FALSE)*L13),0))))</f>
        <v>477.01863354037266</v>
      </c>
      <c r="BB13" s="138">
        <f>IF(I13="",0,MAX((IFERROR((VLOOKUP((AH13&amp;$M$6),Ratesheet!$F$5:$J$455,5,FALSE)*M13),0)),(IFERROR((VLOOKUP((AX13&amp;$M$6),Ratesheet!$F$5:$J$455,5,FALSE)*M13),0))))</f>
        <v>274.28571428571428</v>
      </c>
      <c r="BC13" s="138">
        <f>IF(I13="",0,MAX((IFERROR((VLOOKUP((AH13&amp;$N$6),Ratesheet!$F$5:$J$455,5,FALSE)*N13),0)),(IFERROR((VLOOKUP((AX13&amp;$N$6),Ratesheet!$F$5:$J$455,5,FALSE)*N13),0))))</f>
        <v>0</v>
      </c>
      <c r="BD13" s="138">
        <f>IF(I13="",0,MAX((IFERROR((VLOOKUP((AH13&amp;$O$6),Ratesheet!$F$5:$J$455,5,FALSE)*O13),0)),(IFERROR((VLOOKUP((AX13&amp;$O$6),Ratesheet!$F$5:$J$455,5,FALSE)*O13),0))))</f>
        <v>0</v>
      </c>
      <c r="BE13" s="138">
        <f>IF(I13="",0,MAX((IFERROR((VLOOKUP((AH13&amp;$P$6),Ratesheet!$F$5:$J$455,5,FALSE)*P13),0)),(IFERROR((VLOOKUP((AX13&amp;$P$6),Ratesheet!$F$5:$J$455,5,FALSE)*P13),0))))</f>
        <v>482.98136645962734</v>
      </c>
      <c r="BF13" s="138">
        <f>IF(I13="",0,MAX((IFERROR((VLOOKUP((AH13&amp;$Q$6),Ratesheet!$F$5:$J$455,5,FALSE)*Q13),0)),(IFERROR((VLOOKUP((AX13&amp;$Q$6),Ratesheet!$F$5:$J$455,5,FALSE)*Q13),0))))</f>
        <v>330.93167701863354</v>
      </c>
      <c r="BG13" s="138">
        <f>IF(I13="",0,MAX((IFERROR((VLOOKUP((AH13&amp;$R$6),Ratesheet!$F$5:$J$455,5,FALSE)*R13),0)),(IFERROR((VLOOKUP((AX13&amp;$R$6),Ratesheet!$F$5:$J$455,5,FALSE)*R13),0))))</f>
        <v>343.45341614906835</v>
      </c>
      <c r="BH13" s="138">
        <f>IF(I13="",0,MAX((IFERROR((VLOOKUP((AH13&amp;$S$6),Ratesheet!$F$5:$J$455,5,FALSE)*S13),0)),(IFERROR((VLOOKUP((AX13&amp;$S$6),Ratesheet!$F$5:$J$455,5,FALSE)*S13),0))))</f>
        <v>262.36024844720498</v>
      </c>
      <c r="BI13" s="139">
        <f>IF(H13="",0,MAX((IFERROR((VLOOKUP((AG13&amp;$T$6),Ratesheet!$F$5:$J$455,5,FALSE)*T13),0)),(IFERROR((VLOOKUP((AW13&amp;$T$6),Ratesheet!$F$5:$J$455,5,FALSE)*T13),0))))</f>
        <v>0</v>
      </c>
      <c r="BJ13" s="139">
        <f>IF(I13="",0,MAX((IFERROR((VLOOKUP((AH13&amp;$U$6),Ratesheet!$F$5:$J$455,5,FALSE)*U13),0)),(IFERROR((VLOOKUP((AX13&amp;$U$6),Ratesheet!$F$5:$J$455,5,FALSE)*U13),0))))</f>
        <v>0</v>
      </c>
      <c r="BK13" s="138">
        <f t="shared" si="6"/>
        <v>2171.0310559006211</v>
      </c>
      <c r="BL13" s="138">
        <f>IFERROR(BK13*VLOOKUP($C$7,'Ref1'!$B$230:$C$236,2,FALSE),0)</f>
        <v>174768</v>
      </c>
    </row>
    <row r="14" spans="1:64" ht="12" customHeight="1">
      <c r="A14" s="274"/>
      <c r="B14" s="243"/>
      <c r="C14" s="243"/>
      <c r="D14" s="243"/>
      <c r="E14" s="90"/>
      <c r="F14" s="673" t="s">
        <v>154</v>
      </c>
      <c r="G14" s="674"/>
      <c r="H14" s="551" t="str">
        <f>IF(F14="","",MainSheet!$B$6)</f>
        <v>India</v>
      </c>
      <c r="I14" s="552" t="str">
        <f>IF(F14="","",MainSheet!$D$6)</f>
        <v>R&amp;C</v>
      </c>
      <c r="J14" s="605"/>
      <c r="K14" s="592"/>
      <c r="L14" s="592"/>
      <c r="M14" s="592">
        <v>8</v>
      </c>
      <c r="N14" s="592"/>
      <c r="O14" s="592"/>
      <c r="P14" s="592">
        <v>40</v>
      </c>
      <c r="Q14" s="592">
        <v>56</v>
      </c>
      <c r="R14" s="592">
        <v>80</v>
      </c>
      <c r="S14" s="592">
        <v>80</v>
      </c>
      <c r="T14" s="593"/>
      <c r="U14" s="593"/>
      <c r="V14" s="594">
        <f t="shared" si="1"/>
        <v>264</v>
      </c>
      <c r="W14" s="66"/>
      <c r="X14" s="66"/>
      <c r="Y14" s="66"/>
      <c r="AH14" s="66" t="str">
        <f t="shared" si="2"/>
        <v>India - R&amp;C</v>
      </c>
      <c r="AI14" s="71" t="str">
        <f t="shared" si="3"/>
        <v>India - R&amp;C</v>
      </c>
      <c r="AJ14" s="138">
        <f>IF(I14="",0,MAX((IFERROR((VLOOKUP((AH14&amp;$J$6),Ratesheet!$F$5:$J$455,4,FALSE)*J14),0)),(IFERROR((VLOOKUP((AI14&amp;$J$6),Ratesheet!$F$5:$J$455,4,FALSE)*J14),0))))</f>
        <v>0</v>
      </c>
      <c r="AK14" s="138">
        <f>IF(I14="",0,MAX((IFERROR((VLOOKUP((AH14&amp;$K$6),Ratesheet!$F$5:$J$455,4,FALSE)*K14),0)),(IFERROR((VLOOKUP((AI14&amp;$K$6),Ratesheet!$F$5:$J$455,4,FALSE)*K14),0))))</f>
        <v>0</v>
      </c>
      <c r="AL14" s="138">
        <f>IF(I14="",0,MAX((IFERROR((VLOOKUP((AH14&amp;$L$6),Ratesheet!$F$5:$J$455,4,FALSE)*L14),0)),(IFERROR((VLOOKUP((AI14&amp;$L$6),Ratesheet!$F$5:$J$455,4,FALSE)*L14),0))))</f>
        <v>0</v>
      </c>
      <c r="AM14" s="138">
        <f>IF(I14="",0,MAX((IFERROR((VLOOKUP((AH14&amp;$M$6),Ratesheet!$F$5:$J$455,4,FALSE)*M14),0)),(IFERROR((VLOOKUP((AI14&amp;$M$6),Ratesheet!$F$5:$J$455,4,FALSE)*M14),0))))</f>
        <v>1743.1055900621118</v>
      </c>
      <c r="AN14" s="138">
        <f>IF(I14="",0,MAX((IFERROR((VLOOKUP((AH14&amp;$N$6),Ratesheet!$F$5:$J$455,4,FALSE)*N14),0)),(IFERROR((VLOOKUP((AI14&amp;$N$6),Ratesheet!$F$5:$J$455,4,FALSE)*N14),0))))</f>
        <v>0</v>
      </c>
      <c r="AO14" s="138">
        <f>IF(I14="",0,MAX((IFERROR((VLOOKUP((AH14&amp;$O$6),Ratesheet!$F$5:$J$455,4,FALSE)*O14),0)),(IFERROR((VLOOKUP((AI14&amp;$O$6),Ratesheet!$F$5:$J$455,4,FALSE)*O14),0))))</f>
        <v>0</v>
      </c>
      <c r="AP14" s="138">
        <f>IF(I14="",0,MAX((IFERROR((VLOOKUP((AH14&amp;$P$6),Ratesheet!$F$5:$J$455,4,FALSE)*P14),0)),(IFERROR((VLOOKUP((AI14&amp;$P$6),Ratesheet!$F$5:$J$455,4,FALSE)*P14),0))))</f>
        <v>3741.6149068322984</v>
      </c>
      <c r="AQ14" s="138">
        <f>IF(I14="",0,MAX((IFERROR((VLOOKUP((AH14&amp;$Q$6),Ratesheet!$F$5:$J$455,4,FALSE)*Q14),0)),(IFERROR((VLOOKUP((AI14&amp;$Q$6),Ratesheet!$F$5:$J$455,4,FALSE)*Q14),0))))</f>
        <v>3506.086956521739</v>
      </c>
      <c r="AR14" s="138">
        <f>IF(I14="",0,MAX((IFERROR((VLOOKUP((AH14&amp;$R$6),Ratesheet!$F$5:$J$455,4,FALSE)*R14),0)),(IFERROR((VLOOKUP((AI14&amp;$R$6),Ratesheet!$F$5:$J$455,4,FALSE)*R14),0))))</f>
        <v>3955.2795031055898</v>
      </c>
      <c r="AS14" s="138">
        <f>IF(I14="",0,MAX((IFERROR((VLOOKUP((AH14&amp;$S$6),Ratesheet!$F$5:$J$455,4,FALSE)*S14),0)),(IFERROR((VLOOKUP((AI14&amp;$S$6),Ratesheet!$F$5:$J$455,4,FALSE)*S14),0))))</f>
        <v>3667.0807453416146</v>
      </c>
      <c r="AT14" s="139">
        <f>IF(H14="",0,MAX((IFERROR((VLOOKUP((AG14&amp;$T$6),Ratesheet!$F$5:$J$455,4,FALSE)*T14),0)),(IFERROR((VLOOKUP((AH14&amp;$T$6),Ratesheet!$F$5:$J$455,4,FALSE)*T14),0))))</f>
        <v>0</v>
      </c>
      <c r="AU14" s="139">
        <f>IF(I14="",0,MAX((IFERROR((VLOOKUP((AH14&amp;$U$6),Ratesheet!$F$5:$J$455,4,FALSE)*U14),0)),(IFERROR((VLOOKUP((AI14&amp;$U$6),Ratesheet!$F$5:$J$455,4,FALSE)*U14),0))))</f>
        <v>0</v>
      </c>
      <c r="AV14" s="138">
        <f t="shared" si="4"/>
        <v>16613.167701863356</v>
      </c>
      <c r="AW14" s="295">
        <f>IFERROR(AV14*VLOOKUP($C$7,'Ref1'!$B$230:$C$236,2,FALSE),0)</f>
        <v>1337360.0000000002</v>
      </c>
      <c r="AX14" s="66" t="str">
        <f t="shared" si="5"/>
        <v>India - R&amp;C</v>
      </c>
      <c r="AY14" s="138">
        <f>IF(I14="",0,MAX((IFERROR((VLOOKUP((AH14&amp;$J$6),Ratesheet!$F$5:$J$455,5,FALSE)*J14),0)),(IFERROR((VLOOKUP((AX14&amp;$J$6),Ratesheet!$F$5:$J$455,5,FALSE)*J14),0))))</f>
        <v>0</v>
      </c>
      <c r="AZ14" s="138">
        <f>IF(I14="",0,MAX((IFERROR((VLOOKUP((AH14&amp;$K$6),Ratesheet!$F$5:$J$455,5,FALSE)*K14),0)),(IFERROR((VLOOKUP((AX14&amp;$K$6),Ratesheet!$F$5:$J$455,5,FALSE)*K14),0))))</f>
        <v>0</v>
      </c>
      <c r="BA14" s="138">
        <f>IF(I14="",0,MAX((IFERROR((VLOOKUP((AH14&amp;$L$6),Ratesheet!$F$5:$J$455,5,FALSE)*L14),0)),(IFERROR((VLOOKUP((AX14&amp;$L$6),Ratesheet!$F$5:$J$455,5,FALSE)*L14),0))))</f>
        <v>0</v>
      </c>
      <c r="BB14" s="138">
        <f>IF(I14="",0,MAX((IFERROR((VLOOKUP((AH14&amp;$M$6),Ratesheet!$F$5:$J$455,5,FALSE)*M14),0)),(IFERROR((VLOOKUP((AX14&amp;$M$6),Ratesheet!$F$5:$J$455,5,FALSE)*M14),0))))</f>
        <v>548.57142857142856</v>
      </c>
      <c r="BC14" s="138">
        <f>IF(I14="",0,MAX((IFERROR((VLOOKUP((AH14&amp;$N$6),Ratesheet!$F$5:$J$455,5,FALSE)*N14),0)),(IFERROR((VLOOKUP((AX14&amp;$N$6),Ratesheet!$F$5:$J$455,5,FALSE)*N14),0))))</f>
        <v>0</v>
      </c>
      <c r="BD14" s="138">
        <f>IF(I14="",0,MAX((IFERROR((VLOOKUP((AH14&amp;$O$6),Ratesheet!$F$5:$J$455,5,FALSE)*O14),0)),(IFERROR((VLOOKUP((AX14&amp;$O$6),Ratesheet!$F$5:$J$455,5,FALSE)*O14),0))))</f>
        <v>0</v>
      </c>
      <c r="BE14" s="138">
        <f>IF(I14="",0,MAX((IFERROR((VLOOKUP((AH14&amp;$P$6),Ratesheet!$F$5:$J$455,5,FALSE)*P14),0)),(IFERROR((VLOOKUP((AX14&amp;$P$6),Ratesheet!$F$5:$J$455,5,FALSE)*P14),0))))</f>
        <v>804.96894409937897</v>
      </c>
      <c r="BF14" s="138">
        <f>IF(I14="",0,MAX((IFERROR((VLOOKUP((AH14&amp;$Q$6),Ratesheet!$F$5:$J$455,5,FALSE)*Q14),0)),(IFERROR((VLOOKUP((AX14&amp;$Q$6),Ratesheet!$F$5:$J$455,5,FALSE)*Q14),0))))</f>
        <v>772.17391304347825</v>
      </c>
      <c r="BG14" s="138">
        <f>IF(I14="",0,MAX((IFERROR((VLOOKUP((AH14&amp;$R$6),Ratesheet!$F$5:$J$455,5,FALSE)*R14),0)),(IFERROR((VLOOKUP((AX14&amp;$R$6),Ratesheet!$F$5:$J$455,5,FALSE)*R14),0))))</f>
        <v>858.63354037267084</v>
      </c>
      <c r="BH14" s="138">
        <f>IF(I14="",0,MAX((IFERROR((VLOOKUP((AH14&amp;$S$6),Ratesheet!$F$5:$J$455,5,FALSE)*S14),0)),(IFERROR((VLOOKUP((AX14&amp;$S$6),Ratesheet!$F$5:$J$455,5,FALSE)*S14),0))))</f>
        <v>655.9006211180124</v>
      </c>
      <c r="BI14" s="139">
        <f>IF(H14="",0,MAX((IFERROR((VLOOKUP((AG14&amp;$T$6),Ratesheet!$F$5:$J$455,5,FALSE)*T14),0)),(IFERROR((VLOOKUP((AW14&amp;$T$6),Ratesheet!$F$5:$J$455,5,FALSE)*T14),0))))</f>
        <v>0</v>
      </c>
      <c r="BJ14" s="139">
        <f>IF(I14="",0,MAX((IFERROR((VLOOKUP((AH14&amp;$U$6),Ratesheet!$F$5:$J$455,5,FALSE)*U14),0)),(IFERROR((VLOOKUP((AX14&amp;$U$6),Ratesheet!$F$5:$J$455,5,FALSE)*U14),0))))</f>
        <v>0</v>
      </c>
      <c r="BK14" s="138">
        <f t="shared" si="6"/>
        <v>3640.2484472049691</v>
      </c>
      <c r="BL14" s="138">
        <f>IFERROR(BK14*VLOOKUP($C$7,'Ref1'!$B$230:$C$236,2,FALSE),0)</f>
        <v>293040</v>
      </c>
    </row>
    <row r="15" spans="1:64" ht="11.25" customHeight="1">
      <c r="A15" s="274"/>
      <c r="B15" s="243"/>
      <c r="C15" s="243"/>
      <c r="D15" s="243"/>
      <c r="E15" s="90"/>
      <c r="F15" s="673" t="s">
        <v>155</v>
      </c>
      <c r="G15" s="674"/>
      <c r="H15" s="551" t="str">
        <f>IF(F15="","",MainSheet!$B$6)</f>
        <v>India</v>
      </c>
      <c r="I15" s="552" t="str">
        <f>IF(F15="","",MainSheet!$D$6)</f>
        <v>R&amp;C</v>
      </c>
      <c r="J15" s="605"/>
      <c r="K15" s="592"/>
      <c r="L15" s="592"/>
      <c r="M15" s="592">
        <v>12</v>
      </c>
      <c r="N15" s="592"/>
      <c r="O15" s="592"/>
      <c r="P15" s="592">
        <v>32</v>
      </c>
      <c r="Q15" s="592">
        <v>48</v>
      </c>
      <c r="R15" s="592">
        <v>56</v>
      </c>
      <c r="S15" s="592">
        <v>56</v>
      </c>
      <c r="T15" s="593"/>
      <c r="U15" s="593"/>
      <c r="V15" s="594">
        <f t="shared" si="1"/>
        <v>204</v>
      </c>
      <c r="W15" s="66"/>
      <c r="X15" s="66"/>
      <c r="Y15" s="66"/>
      <c r="AH15" s="66" t="str">
        <f t="shared" si="2"/>
        <v>India - R&amp;C</v>
      </c>
      <c r="AI15" s="71" t="str">
        <f t="shared" si="3"/>
        <v>India - R&amp;C</v>
      </c>
      <c r="AJ15" s="138">
        <f>IF(I15="",0,MAX((IFERROR((VLOOKUP((AH15&amp;$J$6),Ratesheet!$F$5:$J$455,4,FALSE)*J15),0)),(IFERROR((VLOOKUP((AI15&amp;$J$6),Ratesheet!$F$5:$J$455,4,FALSE)*J15),0))))</f>
        <v>0</v>
      </c>
      <c r="AK15" s="138">
        <f>IF(I15="",0,MAX((IFERROR((VLOOKUP((AH15&amp;$K$6),Ratesheet!$F$5:$J$455,4,FALSE)*K15),0)),(IFERROR((VLOOKUP((AI15&amp;$K$6),Ratesheet!$F$5:$J$455,4,FALSE)*K15),0))))</f>
        <v>0</v>
      </c>
      <c r="AL15" s="138">
        <f>IF(I15="",0,MAX((IFERROR((VLOOKUP((AH15&amp;$L$6),Ratesheet!$F$5:$J$455,4,FALSE)*L15),0)),(IFERROR((VLOOKUP((AI15&amp;$L$6),Ratesheet!$F$5:$J$455,4,FALSE)*L15),0))))</f>
        <v>0</v>
      </c>
      <c r="AM15" s="138">
        <f>IF(I15="",0,MAX((IFERROR((VLOOKUP((AH15&amp;$M$6),Ratesheet!$F$5:$J$455,4,FALSE)*M15),0)),(IFERROR((VLOOKUP((AI15&amp;$M$6),Ratesheet!$F$5:$J$455,4,FALSE)*M15),0))))</f>
        <v>2614.6583850931675</v>
      </c>
      <c r="AN15" s="138">
        <f>IF(I15="",0,MAX((IFERROR((VLOOKUP((AH15&amp;$N$6),Ratesheet!$F$5:$J$455,4,FALSE)*N15),0)),(IFERROR((VLOOKUP((AI15&amp;$N$6),Ratesheet!$F$5:$J$455,4,FALSE)*N15),0))))</f>
        <v>0</v>
      </c>
      <c r="AO15" s="138">
        <f>IF(I15="",0,MAX((IFERROR((VLOOKUP((AH15&amp;$O$6),Ratesheet!$F$5:$J$455,4,FALSE)*O15),0)),(IFERROR((VLOOKUP((AI15&amp;$O$6),Ratesheet!$F$5:$J$455,4,FALSE)*O15),0))))</f>
        <v>0</v>
      </c>
      <c r="AP15" s="138">
        <f>IF(I15="",0,MAX((IFERROR((VLOOKUP((AH15&amp;$P$6),Ratesheet!$F$5:$J$455,4,FALSE)*P15),0)),(IFERROR((VLOOKUP((AI15&amp;$P$6),Ratesheet!$F$5:$J$455,4,FALSE)*P15),0))))</f>
        <v>2993.2919254658386</v>
      </c>
      <c r="AQ15" s="138">
        <f>IF(I15="",0,MAX((IFERROR((VLOOKUP((AH15&amp;$Q$6),Ratesheet!$F$5:$J$455,4,FALSE)*Q15),0)),(IFERROR((VLOOKUP((AI15&amp;$Q$6),Ratesheet!$F$5:$J$455,4,FALSE)*Q15),0))))</f>
        <v>3005.217391304348</v>
      </c>
      <c r="AR15" s="138">
        <f>IF(I15="",0,MAX((IFERROR((VLOOKUP((AH15&amp;$R$6),Ratesheet!$F$5:$J$455,4,FALSE)*R15),0)),(IFERROR((VLOOKUP((AI15&amp;$R$6),Ratesheet!$F$5:$J$455,4,FALSE)*R15),0))))</f>
        <v>2768.695652173913</v>
      </c>
      <c r="AS15" s="138">
        <f>IF(I15="",0,MAX((IFERROR((VLOOKUP((AH15&amp;$S$6),Ratesheet!$F$5:$J$455,4,FALSE)*S15),0)),(IFERROR((VLOOKUP((AI15&amp;$S$6),Ratesheet!$F$5:$J$455,4,FALSE)*S15),0))))</f>
        <v>2566.9565217391305</v>
      </c>
      <c r="AT15" s="139">
        <f>IF(H15="",0,MAX((IFERROR((VLOOKUP((AG15&amp;$T$6),Ratesheet!$F$5:$J$455,4,FALSE)*T15),0)),(IFERROR((VLOOKUP((AH15&amp;$T$6),Ratesheet!$F$5:$J$455,4,FALSE)*T15),0))))</f>
        <v>0</v>
      </c>
      <c r="AU15" s="139">
        <f>IF(I15="",0,MAX((IFERROR((VLOOKUP((AH15&amp;$U$6),Ratesheet!$F$5:$J$455,4,FALSE)*U15),0)),(IFERROR((VLOOKUP((AI15&amp;$U$6),Ratesheet!$F$5:$J$455,4,FALSE)*U15),0))))</f>
        <v>0</v>
      </c>
      <c r="AV15" s="138">
        <f t="shared" si="4"/>
        <v>13948.819875776398</v>
      </c>
      <c r="AW15" s="295">
        <f>IFERROR(AV15*VLOOKUP($C$7,'Ref1'!$B$230:$C$236,2,FALSE),0)</f>
        <v>1122880</v>
      </c>
      <c r="AX15" s="66" t="str">
        <f t="shared" si="5"/>
        <v>India - R&amp;C</v>
      </c>
      <c r="AY15" s="138">
        <f>IF(I15="",0,MAX((IFERROR((VLOOKUP((AH15&amp;$J$6),Ratesheet!$F$5:$J$455,5,FALSE)*J15),0)),(IFERROR((VLOOKUP((AX15&amp;$J$6),Ratesheet!$F$5:$J$455,5,FALSE)*J15),0))))</f>
        <v>0</v>
      </c>
      <c r="AZ15" s="138">
        <f>IF(I15="",0,MAX((IFERROR((VLOOKUP((AH15&amp;$K$6),Ratesheet!$F$5:$J$455,5,FALSE)*K15),0)),(IFERROR((VLOOKUP((AX15&amp;$K$6),Ratesheet!$F$5:$J$455,5,FALSE)*K15),0))))</f>
        <v>0</v>
      </c>
      <c r="BA15" s="138">
        <f>IF(I15="",0,MAX((IFERROR((VLOOKUP((AH15&amp;$L$6),Ratesheet!$F$5:$J$455,5,FALSE)*L15),0)),(IFERROR((VLOOKUP((AX15&amp;$L$6),Ratesheet!$F$5:$J$455,5,FALSE)*L15),0))))</f>
        <v>0</v>
      </c>
      <c r="BB15" s="138">
        <f>IF(I15="",0,MAX((IFERROR((VLOOKUP((AH15&amp;$M$6),Ratesheet!$F$5:$J$455,5,FALSE)*M15),0)),(IFERROR((VLOOKUP((AX15&amp;$M$6),Ratesheet!$F$5:$J$455,5,FALSE)*M15),0))))</f>
        <v>822.85714285714289</v>
      </c>
      <c r="BC15" s="138">
        <f>IF(I15="",0,MAX((IFERROR((VLOOKUP((AH15&amp;$N$6),Ratesheet!$F$5:$J$455,5,FALSE)*N15),0)),(IFERROR((VLOOKUP((AX15&amp;$N$6),Ratesheet!$F$5:$J$455,5,FALSE)*N15),0))))</f>
        <v>0</v>
      </c>
      <c r="BD15" s="138">
        <f>IF(I15="",0,MAX((IFERROR((VLOOKUP((AH15&amp;$O$6),Ratesheet!$F$5:$J$455,5,FALSE)*O15),0)),(IFERROR((VLOOKUP((AX15&amp;$O$6),Ratesheet!$F$5:$J$455,5,FALSE)*O15),0))))</f>
        <v>0</v>
      </c>
      <c r="BE15" s="138">
        <f>IF(I15="",0,MAX((IFERROR((VLOOKUP((AH15&amp;$P$6),Ratesheet!$F$5:$J$455,5,FALSE)*P15),0)),(IFERROR((VLOOKUP((AX15&amp;$P$6),Ratesheet!$F$5:$J$455,5,FALSE)*P15),0))))</f>
        <v>643.97515527950316</v>
      </c>
      <c r="BF15" s="138">
        <f>IF(I15="",0,MAX((IFERROR((VLOOKUP((AH15&amp;$Q$6),Ratesheet!$F$5:$J$455,5,FALSE)*Q15),0)),(IFERROR((VLOOKUP((AX15&amp;$Q$6),Ratesheet!$F$5:$J$455,5,FALSE)*Q15),0))))</f>
        <v>661.86335403726707</v>
      </c>
      <c r="BG15" s="138">
        <f>IF(I15="",0,MAX((IFERROR((VLOOKUP((AH15&amp;$R$6),Ratesheet!$F$5:$J$455,5,FALSE)*R15),0)),(IFERROR((VLOOKUP((AX15&amp;$R$6),Ratesheet!$F$5:$J$455,5,FALSE)*R15),0))))</f>
        <v>601.04347826086962</v>
      </c>
      <c r="BH15" s="138">
        <f>IF(I15="",0,MAX((IFERROR((VLOOKUP((AH15&amp;$S$6),Ratesheet!$F$5:$J$455,5,FALSE)*S15),0)),(IFERROR((VLOOKUP((AX15&amp;$S$6),Ratesheet!$F$5:$J$455,5,FALSE)*S15),0))))</f>
        <v>459.13043478260875</v>
      </c>
      <c r="BI15" s="139">
        <f>IF(H15="",0,MAX((IFERROR((VLOOKUP((AG15&amp;$T$6),Ratesheet!$F$5:$J$455,5,FALSE)*T15),0)),(IFERROR((VLOOKUP((AW15&amp;$T$6),Ratesheet!$F$5:$J$455,5,FALSE)*T15),0))))</f>
        <v>0</v>
      </c>
      <c r="BJ15" s="139">
        <f>IF(I15="",0,MAX((IFERROR((VLOOKUP((AH15&amp;$U$6),Ratesheet!$F$5:$J$455,5,FALSE)*U15),0)),(IFERROR((VLOOKUP((AX15&amp;$U$6),Ratesheet!$F$5:$J$455,5,FALSE)*U15),0))))</f>
        <v>0</v>
      </c>
      <c r="BK15" s="138">
        <f t="shared" si="6"/>
        <v>3188.869565217391</v>
      </c>
      <c r="BL15" s="138">
        <f>IFERROR(BK15*VLOOKUP($C$7,'Ref1'!$B$230:$C$236,2,FALSE),0)</f>
        <v>256703.99999999997</v>
      </c>
    </row>
    <row r="16" spans="1:64" ht="11.25" customHeight="1">
      <c r="A16" s="274"/>
      <c r="B16" s="243"/>
      <c r="C16" s="243"/>
      <c r="D16" s="243"/>
      <c r="E16" s="90"/>
      <c r="F16" s="673" t="s">
        <v>156</v>
      </c>
      <c r="G16" s="674"/>
      <c r="H16" s="551" t="str">
        <f>IF(F16="","",MainSheet!$B$6)</f>
        <v>India</v>
      </c>
      <c r="I16" s="552" t="str">
        <f>IF(F16="","",MainSheet!$D$6)</f>
        <v>R&amp;C</v>
      </c>
      <c r="J16" s="605"/>
      <c r="K16" s="592"/>
      <c r="L16" s="592"/>
      <c r="M16" s="592">
        <v>8</v>
      </c>
      <c r="N16" s="592"/>
      <c r="O16" s="592"/>
      <c r="P16" s="592">
        <v>24</v>
      </c>
      <c r="Q16" s="592">
        <v>32</v>
      </c>
      <c r="R16" s="592">
        <v>40</v>
      </c>
      <c r="S16" s="592">
        <v>40</v>
      </c>
      <c r="T16" s="593"/>
      <c r="U16" s="593"/>
      <c r="V16" s="594">
        <f t="shared" si="1"/>
        <v>144</v>
      </c>
      <c r="W16" s="66"/>
      <c r="X16" s="66"/>
      <c r="Y16" s="66"/>
      <c r="AH16" s="66" t="str">
        <f t="shared" si="2"/>
        <v>India - R&amp;C</v>
      </c>
      <c r="AI16" s="71" t="str">
        <f t="shared" si="3"/>
        <v>India - R&amp;C</v>
      </c>
      <c r="AJ16" s="138">
        <f>IF(I16="",0,MAX((IFERROR((VLOOKUP((AH16&amp;$J$6),Ratesheet!$F$5:$J$455,4,FALSE)*J16),0)),(IFERROR((VLOOKUP((AI16&amp;$J$6),Ratesheet!$F$5:$J$455,4,FALSE)*J16),0))))</f>
        <v>0</v>
      </c>
      <c r="AK16" s="138">
        <f>IF(I16="",0,MAX((IFERROR((VLOOKUP((AH16&amp;$K$6),Ratesheet!$F$5:$J$455,4,FALSE)*K16),0)),(IFERROR((VLOOKUP((AI16&amp;$K$6),Ratesheet!$F$5:$J$455,4,FALSE)*K16),0))))</f>
        <v>0</v>
      </c>
      <c r="AL16" s="138">
        <f>IF(I16="",0,MAX((IFERROR((VLOOKUP((AH16&amp;$L$6),Ratesheet!$F$5:$J$455,4,FALSE)*L16),0)),(IFERROR((VLOOKUP((AI16&amp;$L$6),Ratesheet!$F$5:$J$455,4,FALSE)*L16),0))))</f>
        <v>0</v>
      </c>
      <c r="AM16" s="138">
        <f>IF(I16="",0,MAX((IFERROR((VLOOKUP((AH16&amp;$M$6),Ratesheet!$F$5:$J$455,4,FALSE)*M16),0)),(IFERROR((VLOOKUP((AI16&amp;$M$6),Ratesheet!$F$5:$J$455,4,FALSE)*M16),0))))</f>
        <v>1743.1055900621118</v>
      </c>
      <c r="AN16" s="138">
        <f>IF(I16="",0,MAX((IFERROR((VLOOKUP((AH16&amp;$N$6),Ratesheet!$F$5:$J$455,4,FALSE)*N16),0)),(IFERROR((VLOOKUP((AI16&amp;$N$6),Ratesheet!$F$5:$J$455,4,FALSE)*N16),0))))</f>
        <v>0</v>
      </c>
      <c r="AO16" s="138">
        <f>IF(I16="",0,MAX((IFERROR((VLOOKUP((AH16&amp;$O$6),Ratesheet!$F$5:$J$455,4,FALSE)*O16),0)),(IFERROR((VLOOKUP((AI16&amp;$O$6),Ratesheet!$F$5:$J$455,4,FALSE)*O16),0))))</f>
        <v>0</v>
      </c>
      <c r="AP16" s="138">
        <f>IF(I16="",0,MAX((IFERROR((VLOOKUP((AH16&amp;$P$6),Ratesheet!$F$5:$J$455,4,FALSE)*P16),0)),(IFERROR((VLOOKUP((AI16&amp;$P$6),Ratesheet!$F$5:$J$455,4,FALSE)*P16),0))))</f>
        <v>2244.9689440993789</v>
      </c>
      <c r="AQ16" s="138">
        <f>IF(I16="",0,MAX((IFERROR((VLOOKUP((AH16&amp;$Q$6),Ratesheet!$F$5:$J$455,4,FALSE)*Q16),0)),(IFERROR((VLOOKUP((AI16&amp;$Q$6),Ratesheet!$F$5:$J$455,4,FALSE)*Q16),0))))</f>
        <v>2003.4782608695652</v>
      </c>
      <c r="AR16" s="138">
        <f>IF(I16="",0,MAX((IFERROR((VLOOKUP((AH16&amp;$R$6),Ratesheet!$F$5:$J$455,4,FALSE)*R16),0)),(IFERROR((VLOOKUP((AI16&amp;$R$6),Ratesheet!$F$5:$J$455,4,FALSE)*R16),0))))</f>
        <v>1977.6397515527949</v>
      </c>
      <c r="AS16" s="138">
        <f>IF(I16="",0,MAX((IFERROR((VLOOKUP((AH16&amp;$S$6),Ratesheet!$F$5:$J$455,4,FALSE)*S16),0)),(IFERROR((VLOOKUP((AI16&amp;$S$6),Ratesheet!$F$5:$J$455,4,FALSE)*S16),0))))</f>
        <v>1833.5403726708073</v>
      </c>
      <c r="AT16" s="139">
        <f>IF(H16="",0,MAX((IFERROR((VLOOKUP((AG16&amp;$T$6),Ratesheet!$F$5:$J$455,4,FALSE)*T16),0)),(IFERROR((VLOOKUP((AH16&amp;$T$6),Ratesheet!$F$5:$J$455,4,FALSE)*T16),0))))</f>
        <v>0</v>
      </c>
      <c r="AU16" s="139">
        <f>IF(I16="",0,MAX((IFERROR((VLOOKUP((AH16&amp;$U$6),Ratesheet!$F$5:$J$455,4,FALSE)*U16),0)),(IFERROR((VLOOKUP((AI16&amp;$U$6),Ratesheet!$F$5:$J$455,4,FALSE)*U16),0))))</f>
        <v>0</v>
      </c>
      <c r="AV16" s="138">
        <f t="shared" si="4"/>
        <v>9802.7329192546586</v>
      </c>
      <c r="AW16" s="295">
        <f>IFERROR(AV16*VLOOKUP($C$7,'Ref1'!$B$230:$C$236,2,FALSE),0)</f>
        <v>789120</v>
      </c>
      <c r="AX16" s="66" t="str">
        <f t="shared" si="5"/>
        <v>India - R&amp;C</v>
      </c>
      <c r="AY16" s="138">
        <f>IF(I16="",0,MAX((IFERROR((VLOOKUP((AH16&amp;$J$6),Ratesheet!$F$5:$J$455,5,FALSE)*J16),0)),(IFERROR((VLOOKUP((AX16&amp;$J$6),Ratesheet!$F$5:$J$455,5,FALSE)*J16),0))))</f>
        <v>0</v>
      </c>
      <c r="AZ16" s="138">
        <f>IF(I16="",0,MAX((IFERROR((VLOOKUP((AH16&amp;$K$6),Ratesheet!$F$5:$J$455,5,FALSE)*K16),0)),(IFERROR((VLOOKUP((AX16&amp;$K$6),Ratesheet!$F$5:$J$455,5,FALSE)*K16),0))))</f>
        <v>0</v>
      </c>
      <c r="BA16" s="138">
        <f>IF(I16="",0,MAX((IFERROR((VLOOKUP((AH16&amp;$L$6),Ratesheet!$F$5:$J$455,5,FALSE)*L16),0)),(IFERROR((VLOOKUP((AX16&amp;$L$6),Ratesheet!$F$5:$J$455,5,FALSE)*L16),0))))</f>
        <v>0</v>
      </c>
      <c r="BB16" s="138">
        <f>IF(I16="",0,MAX((IFERROR((VLOOKUP((AH16&amp;$M$6),Ratesheet!$F$5:$J$455,5,FALSE)*M16),0)),(IFERROR((VLOOKUP((AX16&amp;$M$6),Ratesheet!$F$5:$J$455,5,FALSE)*M16),0))))</f>
        <v>548.57142857142856</v>
      </c>
      <c r="BC16" s="138">
        <f>IF(I16="",0,MAX((IFERROR((VLOOKUP((AH16&amp;$N$6),Ratesheet!$F$5:$J$455,5,FALSE)*N16),0)),(IFERROR((VLOOKUP((AX16&amp;$N$6),Ratesheet!$F$5:$J$455,5,FALSE)*N16),0))))</f>
        <v>0</v>
      </c>
      <c r="BD16" s="138">
        <f>IF(I16="",0,MAX((IFERROR((VLOOKUP((AH16&amp;$O$6),Ratesheet!$F$5:$J$455,5,FALSE)*O16),0)),(IFERROR((VLOOKUP((AX16&amp;$O$6),Ratesheet!$F$5:$J$455,5,FALSE)*O16),0))))</f>
        <v>0</v>
      </c>
      <c r="BE16" s="138">
        <f>IF(I16="",0,MAX((IFERROR((VLOOKUP((AH16&amp;$P$6),Ratesheet!$F$5:$J$455,5,FALSE)*P16),0)),(IFERROR((VLOOKUP((AX16&amp;$P$6),Ratesheet!$F$5:$J$455,5,FALSE)*P16),0))))</f>
        <v>482.98136645962734</v>
      </c>
      <c r="BF16" s="138">
        <f>IF(I16="",0,MAX((IFERROR((VLOOKUP((AH16&amp;$Q$6),Ratesheet!$F$5:$J$455,5,FALSE)*Q16),0)),(IFERROR((VLOOKUP((AX16&amp;$Q$6),Ratesheet!$F$5:$J$455,5,FALSE)*Q16),0))))</f>
        <v>441.24223602484471</v>
      </c>
      <c r="BG16" s="138">
        <f>IF(I16="",0,MAX((IFERROR((VLOOKUP((AH16&amp;$R$6),Ratesheet!$F$5:$J$455,5,FALSE)*R16),0)),(IFERROR((VLOOKUP((AX16&amp;$R$6),Ratesheet!$F$5:$J$455,5,FALSE)*R16),0))))</f>
        <v>429.31677018633542</v>
      </c>
      <c r="BH16" s="138">
        <f>IF(I16="",0,MAX((IFERROR((VLOOKUP((AH16&amp;$S$6),Ratesheet!$F$5:$J$455,5,FALSE)*S16),0)),(IFERROR((VLOOKUP((AX16&amp;$S$6),Ratesheet!$F$5:$J$455,5,FALSE)*S16),0))))</f>
        <v>327.9503105590062</v>
      </c>
      <c r="BI16" s="139">
        <f>IF(H16="",0,MAX((IFERROR((VLOOKUP((AG16&amp;$T$6),Ratesheet!$F$5:$J$455,5,FALSE)*T16),0)),(IFERROR((VLOOKUP((AW16&amp;$T$6),Ratesheet!$F$5:$J$455,5,FALSE)*T16),0))))</f>
        <v>0</v>
      </c>
      <c r="BJ16" s="139">
        <f>IF(I16="",0,MAX((IFERROR((VLOOKUP((AH16&amp;$U$6),Ratesheet!$F$5:$J$455,5,FALSE)*U16),0)),(IFERROR((VLOOKUP((AX16&amp;$U$6),Ratesheet!$F$5:$J$455,5,FALSE)*U16),0))))</f>
        <v>0</v>
      </c>
      <c r="BK16" s="138">
        <f t="shared" si="6"/>
        <v>2230.0621118012423</v>
      </c>
      <c r="BL16" s="138">
        <f>IFERROR(BK16*VLOOKUP($C$7,'Ref1'!$B$230:$C$236,2,FALSE),0)</f>
        <v>179520</v>
      </c>
    </row>
    <row r="17" spans="1:64" ht="11.25" customHeight="1">
      <c r="A17" s="274"/>
      <c r="B17" s="243"/>
      <c r="C17" s="243"/>
      <c r="D17" s="243"/>
      <c r="E17" s="90"/>
      <c r="F17" s="673" t="s">
        <v>157</v>
      </c>
      <c r="G17" s="674"/>
      <c r="H17" s="551" t="str">
        <f>IF(F17="","",MainSheet!$B$6)</f>
        <v>India</v>
      </c>
      <c r="I17" s="552" t="str">
        <f>IF(F17="","",MainSheet!$D$6)</f>
        <v>R&amp;C</v>
      </c>
      <c r="J17" s="605"/>
      <c r="K17" s="592"/>
      <c r="L17" s="592"/>
      <c r="M17" s="592">
        <v>16</v>
      </c>
      <c r="N17" s="592"/>
      <c r="O17" s="592"/>
      <c r="P17" s="592">
        <v>24</v>
      </c>
      <c r="Q17" s="592">
        <v>32</v>
      </c>
      <c r="R17" s="592">
        <v>40</v>
      </c>
      <c r="S17" s="592">
        <v>40</v>
      </c>
      <c r="T17" s="593"/>
      <c r="U17" s="593"/>
      <c r="V17" s="594">
        <f t="shared" si="1"/>
        <v>152</v>
      </c>
      <c r="W17" s="66"/>
      <c r="X17" s="66"/>
      <c r="Y17" s="66"/>
      <c r="AH17" s="66" t="str">
        <f t="shared" si="2"/>
        <v>India - R&amp;C</v>
      </c>
      <c r="AI17" s="71" t="str">
        <f t="shared" si="3"/>
        <v>India - R&amp;C</v>
      </c>
      <c r="AJ17" s="138">
        <f>IF(I17="",0,MAX((IFERROR((VLOOKUP((AH17&amp;$J$6),Ratesheet!$F$5:$J$455,4,FALSE)*J17),0)),(IFERROR((VLOOKUP((AI17&amp;$J$6),Ratesheet!$F$5:$J$455,4,FALSE)*J17),0))))</f>
        <v>0</v>
      </c>
      <c r="AK17" s="138">
        <f>IF(I17="",0,MAX((IFERROR((VLOOKUP((AH17&amp;$K$6),Ratesheet!$F$5:$J$455,4,FALSE)*K17),0)),(IFERROR((VLOOKUP((AI17&amp;$K$6),Ratesheet!$F$5:$J$455,4,FALSE)*K17),0))))</f>
        <v>0</v>
      </c>
      <c r="AL17" s="138">
        <f>IF(I17="",0,MAX((IFERROR((VLOOKUP((AH17&amp;$L$6),Ratesheet!$F$5:$J$455,4,FALSE)*L17),0)),(IFERROR((VLOOKUP((AI17&amp;$L$6),Ratesheet!$F$5:$J$455,4,FALSE)*L17),0))))</f>
        <v>0</v>
      </c>
      <c r="AM17" s="138">
        <f>IF(I17="",0,MAX((IFERROR((VLOOKUP((AH17&amp;$M$6),Ratesheet!$F$5:$J$455,4,FALSE)*M17),0)),(IFERROR((VLOOKUP((AI17&amp;$M$6),Ratesheet!$F$5:$J$455,4,FALSE)*M17),0))))</f>
        <v>3486.2111801242236</v>
      </c>
      <c r="AN17" s="138">
        <f>IF(I17="",0,MAX((IFERROR((VLOOKUP((AH17&amp;$N$6),Ratesheet!$F$5:$J$455,4,FALSE)*N17),0)),(IFERROR((VLOOKUP((AI17&amp;$N$6),Ratesheet!$F$5:$J$455,4,FALSE)*N17),0))))</f>
        <v>0</v>
      </c>
      <c r="AO17" s="138">
        <f>IF(I17="",0,MAX((IFERROR((VLOOKUP((AH17&amp;$O$6),Ratesheet!$F$5:$J$455,4,FALSE)*O17),0)),(IFERROR((VLOOKUP((AI17&amp;$O$6),Ratesheet!$F$5:$J$455,4,FALSE)*O17),0))))</f>
        <v>0</v>
      </c>
      <c r="AP17" s="138">
        <f>IF(I17="",0,MAX((IFERROR((VLOOKUP((AH17&amp;$P$6),Ratesheet!$F$5:$J$455,4,FALSE)*P17),0)),(IFERROR((VLOOKUP((AI17&amp;$P$6),Ratesheet!$F$5:$J$455,4,FALSE)*P17),0))))</f>
        <v>2244.9689440993789</v>
      </c>
      <c r="AQ17" s="138">
        <f>IF(I17="",0,MAX((IFERROR((VLOOKUP((AH17&amp;$Q$6),Ratesheet!$F$5:$J$455,4,FALSE)*Q17),0)),(IFERROR((VLOOKUP((AI17&amp;$Q$6),Ratesheet!$F$5:$J$455,4,FALSE)*Q17),0))))</f>
        <v>2003.4782608695652</v>
      </c>
      <c r="AR17" s="138">
        <f>IF(I17="",0,MAX((IFERROR((VLOOKUP((AH17&amp;$R$6),Ratesheet!$F$5:$J$455,4,FALSE)*R17),0)),(IFERROR((VLOOKUP((AI17&amp;$R$6),Ratesheet!$F$5:$J$455,4,FALSE)*R17),0))))</f>
        <v>1977.6397515527949</v>
      </c>
      <c r="AS17" s="138">
        <f>IF(I17="",0,MAX((IFERROR((VLOOKUP((AH17&amp;$S$6),Ratesheet!$F$5:$J$455,4,FALSE)*S17),0)),(IFERROR((VLOOKUP((AI17&amp;$S$6),Ratesheet!$F$5:$J$455,4,FALSE)*S17),0))))</f>
        <v>1833.5403726708073</v>
      </c>
      <c r="AT17" s="139">
        <f>IF(H17="",0,MAX((IFERROR((VLOOKUP((AG17&amp;$T$6),Ratesheet!$F$5:$J$455,4,FALSE)*T17),0)),(IFERROR((VLOOKUP((AH17&amp;$T$6),Ratesheet!$F$5:$J$455,4,FALSE)*T17),0))))</f>
        <v>0</v>
      </c>
      <c r="AU17" s="139">
        <f>IF(I17="",0,MAX((IFERROR((VLOOKUP((AH17&amp;$U$6),Ratesheet!$F$5:$J$455,4,FALSE)*U17),0)),(IFERROR((VLOOKUP((AI17&amp;$U$6),Ratesheet!$F$5:$J$455,4,FALSE)*U17),0))))</f>
        <v>0</v>
      </c>
      <c r="AV17" s="138">
        <f t="shared" si="4"/>
        <v>11545.838509316771</v>
      </c>
      <c r="AW17" s="295">
        <f>IFERROR(AV17*VLOOKUP($C$7,'Ref1'!$B$230:$C$236,2,FALSE),0)</f>
        <v>929440</v>
      </c>
      <c r="AX17" s="66" t="str">
        <f t="shared" si="5"/>
        <v>India - R&amp;C</v>
      </c>
      <c r="AY17" s="138">
        <f>IF(I17="",0,MAX((IFERROR((VLOOKUP((AH17&amp;$J$6),Ratesheet!$F$5:$J$455,5,FALSE)*J17),0)),(IFERROR((VLOOKUP((AX17&amp;$J$6),Ratesheet!$F$5:$J$455,5,FALSE)*J17),0))))</f>
        <v>0</v>
      </c>
      <c r="AZ17" s="138">
        <f>IF(I17="",0,MAX((IFERROR((VLOOKUP((AH17&amp;$K$6),Ratesheet!$F$5:$J$455,5,FALSE)*K17),0)),(IFERROR((VLOOKUP((AX17&amp;$K$6),Ratesheet!$F$5:$J$455,5,FALSE)*K17),0))))</f>
        <v>0</v>
      </c>
      <c r="BA17" s="138">
        <f>IF(I17="",0,MAX((IFERROR((VLOOKUP((AH17&amp;$L$6),Ratesheet!$F$5:$J$455,5,FALSE)*L17),0)),(IFERROR((VLOOKUP((AX17&amp;$L$6),Ratesheet!$F$5:$J$455,5,FALSE)*L17),0))))</f>
        <v>0</v>
      </c>
      <c r="BB17" s="138">
        <f>IF(I17="",0,MAX((IFERROR((VLOOKUP((AH17&amp;$M$6),Ratesheet!$F$5:$J$455,5,FALSE)*M17),0)),(IFERROR((VLOOKUP((AX17&amp;$M$6),Ratesheet!$F$5:$J$455,5,FALSE)*M17),0))))</f>
        <v>1097.1428571428571</v>
      </c>
      <c r="BC17" s="138">
        <f>IF(I17="",0,MAX((IFERROR((VLOOKUP((AH17&amp;$N$6),Ratesheet!$F$5:$J$455,5,FALSE)*N17),0)),(IFERROR((VLOOKUP((AX17&amp;$N$6),Ratesheet!$F$5:$J$455,5,FALSE)*N17),0))))</f>
        <v>0</v>
      </c>
      <c r="BD17" s="138">
        <f>IF(I17="",0,MAX((IFERROR((VLOOKUP((AH17&amp;$O$6),Ratesheet!$F$5:$J$455,5,FALSE)*O17),0)),(IFERROR((VLOOKUP((AX17&amp;$O$6),Ratesheet!$F$5:$J$455,5,FALSE)*O17),0))))</f>
        <v>0</v>
      </c>
      <c r="BE17" s="138">
        <f>IF(I17="",0,MAX((IFERROR((VLOOKUP((AH17&amp;$P$6),Ratesheet!$F$5:$J$455,5,FALSE)*P17),0)),(IFERROR((VLOOKUP((AX17&amp;$P$6),Ratesheet!$F$5:$J$455,5,FALSE)*P17),0))))</f>
        <v>482.98136645962734</v>
      </c>
      <c r="BF17" s="138">
        <f>IF(I17="",0,MAX((IFERROR((VLOOKUP((AH17&amp;$Q$6),Ratesheet!$F$5:$J$455,5,FALSE)*Q17),0)),(IFERROR((VLOOKUP((AX17&amp;$Q$6),Ratesheet!$F$5:$J$455,5,FALSE)*Q17),0))))</f>
        <v>441.24223602484471</v>
      </c>
      <c r="BG17" s="138">
        <f>IF(I17="",0,MAX((IFERROR((VLOOKUP((AH17&amp;$R$6),Ratesheet!$F$5:$J$455,5,FALSE)*R17),0)),(IFERROR((VLOOKUP((AX17&amp;$R$6),Ratesheet!$F$5:$J$455,5,FALSE)*R17),0))))</f>
        <v>429.31677018633542</v>
      </c>
      <c r="BH17" s="138">
        <f>IF(I17="",0,MAX((IFERROR((VLOOKUP((AH17&amp;$S$6),Ratesheet!$F$5:$J$455,5,FALSE)*S17),0)),(IFERROR((VLOOKUP((AX17&amp;$S$6),Ratesheet!$F$5:$J$455,5,FALSE)*S17),0))))</f>
        <v>327.9503105590062</v>
      </c>
      <c r="BI17" s="139">
        <f>IF(H17="",0,MAX((IFERROR((VLOOKUP((AG17&amp;$T$6),Ratesheet!$F$5:$J$455,5,FALSE)*T17),0)),(IFERROR((VLOOKUP((AW17&amp;$T$6),Ratesheet!$F$5:$J$455,5,FALSE)*T17),0))))</f>
        <v>0</v>
      </c>
      <c r="BJ17" s="139">
        <f>IF(I17="",0,MAX((IFERROR((VLOOKUP((AH17&amp;$U$6),Ratesheet!$F$5:$J$455,5,FALSE)*U17),0)),(IFERROR((VLOOKUP((AX17&amp;$U$6),Ratesheet!$F$5:$J$455,5,FALSE)*U17),0))))</f>
        <v>0</v>
      </c>
      <c r="BK17" s="138">
        <f t="shared" si="6"/>
        <v>2778.6335403726707</v>
      </c>
      <c r="BL17" s="138">
        <f>IFERROR(BK17*VLOOKUP($C$7,'Ref1'!$B$230:$C$236,2,FALSE),0)</f>
        <v>223680</v>
      </c>
    </row>
    <row r="18" spans="1:64" ht="11.25" customHeight="1">
      <c r="A18" s="282"/>
      <c r="B18" s="243"/>
      <c r="C18" s="243"/>
      <c r="D18" s="243"/>
      <c r="E18" s="142"/>
      <c r="F18" s="673" t="s">
        <v>158</v>
      </c>
      <c r="G18" s="674"/>
      <c r="H18" s="551" t="str">
        <f>IF(F18="","",MainSheet!$B$6)</f>
        <v>India</v>
      </c>
      <c r="I18" s="552" t="str">
        <f>IF(F18="","",MainSheet!$D$6)</f>
        <v>R&amp;C</v>
      </c>
      <c r="J18" s="605"/>
      <c r="K18" s="592"/>
      <c r="L18" s="592">
        <v>4</v>
      </c>
      <c r="M18" s="592">
        <v>16</v>
      </c>
      <c r="N18" s="592"/>
      <c r="O18" s="592"/>
      <c r="P18" s="592">
        <v>32</v>
      </c>
      <c r="Q18" s="592">
        <v>48</v>
      </c>
      <c r="R18" s="592">
        <v>56</v>
      </c>
      <c r="S18" s="592">
        <v>56</v>
      </c>
      <c r="T18" s="593"/>
      <c r="U18" s="593"/>
      <c r="V18" s="594">
        <f t="shared" si="1"/>
        <v>212</v>
      </c>
      <c r="W18" s="66"/>
      <c r="X18" s="66"/>
      <c r="Y18" s="66"/>
      <c r="AH18" s="66" t="str">
        <f t="shared" si="2"/>
        <v>India - R&amp;C</v>
      </c>
      <c r="AI18" s="71" t="str">
        <f t="shared" si="3"/>
        <v>India - R&amp;C</v>
      </c>
      <c r="AJ18" s="138">
        <f>IF(I18="",0,MAX((IFERROR((VLOOKUP((AH18&amp;$J$6),Ratesheet!$F$5:$J$455,4,FALSE)*J18),0)),(IFERROR((VLOOKUP((AI18&amp;$J$6),Ratesheet!$F$5:$J$455,4,FALSE)*J18),0))))</f>
        <v>0</v>
      </c>
      <c r="AK18" s="138">
        <f>IF(I18="",0,MAX((IFERROR((VLOOKUP((AH18&amp;$K$6),Ratesheet!$F$5:$J$455,4,FALSE)*K18),0)),(IFERROR((VLOOKUP((AI18&amp;$K$6),Ratesheet!$F$5:$J$455,4,FALSE)*K18),0))))</f>
        <v>0</v>
      </c>
      <c r="AL18" s="138">
        <f>IF(I18="",0,MAX((IFERROR((VLOOKUP((AH18&amp;$L$6),Ratesheet!$F$5:$J$455,4,FALSE)*L18),0)),(IFERROR((VLOOKUP((AI18&amp;$L$6),Ratesheet!$F$5:$J$455,4,FALSE)*L18),0))))</f>
        <v>1097.1428571428571</v>
      </c>
      <c r="AM18" s="138">
        <f>IF(I18="",0,MAX((IFERROR((VLOOKUP((AH18&amp;$M$6),Ratesheet!$F$5:$J$455,4,FALSE)*M18),0)),(IFERROR((VLOOKUP((AI18&amp;$M$6),Ratesheet!$F$5:$J$455,4,FALSE)*M18),0))))</f>
        <v>3486.2111801242236</v>
      </c>
      <c r="AN18" s="138">
        <f>IF(I18="",0,MAX((IFERROR((VLOOKUP((AH18&amp;$N$6),Ratesheet!$F$5:$J$455,4,FALSE)*N18),0)),(IFERROR((VLOOKUP((AI18&amp;$N$6),Ratesheet!$F$5:$J$455,4,FALSE)*N18),0))))</f>
        <v>0</v>
      </c>
      <c r="AO18" s="138">
        <f>IF(I18="",0,MAX((IFERROR((VLOOKUP((AH18&amp;$O$6),Ratesheet!$F$5:$J$455,4,FALSE)*O18),0)),(IFERROR((VLOOKUP((AI18&amp;$O$6),Ratesheet!$F$5:$J$455,4,FALSE)*O18),0))))</f>
        <v>0</v>
      </c>
      <c r="AP18" s="138">
        <f>IF(I18="",0,MAX((IFERROR((VLOOKUP((AH18&amp;$P$6),Ratesheet!$F$5:$J$455,4,FALSE)*P18),0)),(IFERROR((VLOOKUP((AI18&amp;$P$6),Ratesheet!$F$5:$J$455,4,FALSE)*P18),0))))</f>
        <v>2993.2919254658386</v>
      </c>
      <c r="AQ18" s="138">
        <f>IF(I18="",0,MAX((IFERROR((VLOOKUP((AH18&amp;$Q$6),Ratesheet!$F$5:$J$455,4,FALSE)*Q18),0)),(IFERROR((VLOOKUP((AI18&amp;$Q$6),Ratesheet!$F$5:$J$455,4,FALSE)*Q18),0))))</f>
        <v>3005.217391304348</v>
      </c>
      <c r="AR18" s="138">
        <f>IF(I18="",0,MAX((IFERROR((VLOOKUP((AH18&amp;$R$6),Ratesheet!$F$5:$J$455,4,FALSE)*R18),0)),(IFERROR((VLOOKUP((AI18&amp;$R$6),Ratesheet!$F$5:$J$455,4,FALSE)*R18),0))))</f>
        <v>2768.695652173913</v>
      </c>
      <c r="AS18" s="138">
        <f>IF(I18="",0,MAX((IFERROR((VLOOKUP((AH18&amp;$S$6),Ratesheet!$F$5:$J$455,4,FALSE)*S18),0)),(IFERROR((VLOOKUP((AI18&amp;$S$6),Ratesheet!$F$5:$J$455,4,FALSE)*S18),0))))</f>
        <v>2566.9565217391305</v>
      </c>
      <c r="AT18" s="139">
        <f>IF(H18="",0,MAX((IFERROR((VLOOKUP((AG18&amp;$T$6),Ratesheet!$F$5:$J$455,4,FALSE)*T18),0)),(IFERROR((VLOOKUP((AH18&amp;$T$6),Ratesheet!$F$5:$J$455,4,FALSE)*T18),0))))</f>
        <v>0</v>
      </c>
      <c r="AU18" s="139">
        <f>IF(I18="",0,MAX((IFERROR((VLOOKUP((AH18&amp;$U$6),Ratesheet!$F$5:$J$455,4,FALSE)*U18),0)),(IFERROR((VLOOKUP((AI18&amp;$U$6),Ratesheet!$F$5:$J$455,4,FALSE)*U18),0))))</f>
        <v>0</v>
      </c>
      <c r="AV18" s="138">
        <f t="shared" si="4"/>
        <v>15917.515527950311</v>
      </c>
      <c r="AW18" s="295">
        <f>IFERROR(AV18*VLOOKUP($C$7,'Ref1'!$B$230:$C$236,2,FALSE),0)</f>
        <v>1281360</v>
      </c>
      <c r="AX18" s="66" t="str">
        <f t="shared" si="5"/>
        <v>India - R&amp;C</v>
      </c>
      <c r="AY18" s="138">
        <f>IF(I18="",0,MAX((IFERROR((VLOOKUP((AH18&amp;$J$6),Ratesheet!$F$5:$J$455,5,FALSE)*J18),0)),(IFERROR((VLOOKUP((AX18&amp;$J$6),Ratesheet!$F$5:$J$455,5,FALSE)*J18),0))))</f>
        <v>0</v>
      </c>
      <c r="AZ18" s="138">
        <f>IF(I18="",0,MAX((IFERROR((VLOOKUP((AH18&amp;$K$6),Ratesheet!$F$5:$J$455,5,FALSE)*K18),0)),(IFERROR((VLOOKUP((AX18&amp;$K$6),Ratesheet!$F$5:$J$455,5,FALSE)*K18),0))))</f>
        <v>0</v>
      </c>
      <c r="BA18" s="138">
        <f>IF(I18="",0,MAX((IFERROR((VLOOKUP((AH18&amp;$L$6),Ratesheet!$F$5:$J$455,5,FALSE)*L18),0)),(IFERROR((VLOOKUP((AX18&amp;$L$6),Ratesheet!$F$5:$J$455,5,FALSE)*L18),0))))</f>
        <v>477.01863354037266</v>
      </c>
      <c r="BB18" s="138">
        <f>IF(I18="",0,MAX((IFERROR((VLOOKUP((AH18&amp;$M$6),Ratesheet!$F$5:$J$455,5,FALSE)*M18),0)),(IFERROR((VLOOKUP((AX18&amp;$M$6),Ratesheet!$F$5:$J$455,5,FALSE)*M18),0))))</f>
        <v>1097.1428571428571</v>
      </c>
      <c r="BC18" s="138">
        <f>IF(I18="",0,MAX((IFERROR((VLOOKUP((AH18&amp;$N$6),Ratesheet!$F$5:$J$455,5,FALSE)*N18),0)),(IFERROR((VLOOKUP((AX18&amp;$N$6),Ratesheet!$F$5:$J$455,5,FALSE)*N18),0))))</f>
        <v>0</v>
      </c>
      <c r="BD18" s="138">
        <f>IF(I18="",0,MAX((IFERROR((VLOOKUP((AH18&amp;$O$6),Ratesheet!$F$5:$J$455,5,FALSE)*O18),0)),(IFERROR((VLOOKUP((AX18&amp;$O$6),Ratesheet!$F$5:$J$455,5,FALSE)*O18),0))))</f>
        <v>0</v>
      </c>
      <c r="BE18" s="138">
        <f>IF(I18="",0,MAX((IFERROR((VLOOKUP((AH18&amp;$P$6),Ratesheet!$F$5:$J$455,5,FALSE)*P18),0)),(IFERROR((VLOOKUP((AX18&amp;$P$6),Ratesheet!$F$5:$J$455,5,FALSE)*P18),0))))</f>
        <v>643.97515527950316</v>
      </c>
      <c r="BF18" s="138">
        <f>IF(I18="",0,MAX((IFERROR((VLOOKUP((AH18&amp;$Q$6),Ratesheet!$F$5:$J$455,5,FALSE)*Q18),0)),(IFERROR((VLOOKUP((AX18&amp;$Q$6),Ratesheet!$F$5:$J$455,5,FALSE)*Q18),0))))</f>
        <v>661.86335403726707</v>
      </c>
      <c r="BG18" s="138">
        <f>IF(I18="",0,MAX((IFERROR((VLOOKUP((AH18&amp;$R$6),Ratesheet!$F$5:$J$455,5,FALSE)*R18),0)),(IFERROR((VLOOKUP((AX18&amp;$R$6),Ratesheet!$F$5:$J$455,5,FALSE)*R18),0))))</f>
        <v>601.04347826086962</v>
      </c>
      <c r="BH18" s="138">
        <f>IF(I18="",0,MAX((IFERROR((VLOOKUP((AH18&amp;$S$6),Ratesheet!$F$5:$J$455,5,FALSE)*S18),0)),(IFERROR((VLOOKUP((AX18&amp;$S$6),Ratesheet!$F$5:$J$455,5,FALSE)*S18),0))))</f>
        <v>459.13043478260875</v>
      </c>
      <c r="BI18" s="139">
        <f>IF(H18="",0,MAX((IFERROR((VLOOKUP((AG18&amp;$T$6),Ratesheet!$F$5:$J$455,5,FALSE)*T18),0)),(IFERROR((VLOOKUP((AW18&amp;$T$6),Ratesheet!$F$5:$J$455,5,FALSE)*T18),0))))</f>
        <v>0</v>
      </c>
      <c r="BJ18" s="139">
        <f>IF(I18="",0,MAX((IFERROR((VLOOKUP((AH18&amp;$U$6),Ratesheet!$F$5:$J$455,5,FALSE)*U18),0)),(IFERROR((VLOOKUP((AX18&amp;$U$6),Ratesheet!$F$5:$J$455,5,FALSE)*U18),0))))</f>
        <v>0</v>
      </c>
      <c r="BK18" s="138">
        <f t="shared" si="6"/>
        <v>3940.173913043478</v>
      </c>
      <c r="BL18" s="138">
        <f>IFERROR(BK18*VLOOKUP($C$7,'Ref1'!$B$230:$C$236,2,FALSE),0)</f>
        <v>317184</v>
      </c>
    </row>
    <row r="19" spans="1:64" ht="11.25" customHeight="1">
      <c r="A19" s="283"/>
      <c r="B19" s="117"/>
      <c r="C19" s="117"/>
      <c r="D19" s="117"/>
      <c r="E19" s="142"/>
      <c r="F19" s="673" t="s">
        <v>159</v>
      </c>
      <c r="G19" s="674"/>
      <c r="H19" s="551" t="str">
        <f>IF(F19="","",MainSheet!$B$6)</f>
        <v>India</v>
      </c>
      <c r="I19" s="552" t="str">
        <f>IF(F19="","",MainSheet!$D$6)</f>
        <v>R&amp;C</v>
      </c>
      <c r="J19" s="605"/>
      <c r="K19" s="592"/>
      <c r="L19" s="592">
        <v>1</v>
      </c>
      <c r="M19" s="595">
        <v>8</v>
      </c>
      <c r="N19" s="592"/>
      <c r="O19" s="592"/>
      <c r="P19" s="592">
        <v>16</v>
      </c>
      <c r="Q19" s="592">
        <v>32</v>
      </c>
      <c r="R19" s="592">
        <v>40</v>
      </c>
      <c r="S19" s="596">
        <v>40</v>
      </c>
      <c r="T19" s="593"/>
      <c r="U19" s="593"/>
      <c r="V19" s="594">
        <f t="shared" si="1"/>
        <v>137</v>
      </c>
      <c r="W19" s="66"/>
      <c r="X19" s="66"/>
      <c r="Y19" s="66"/>
      <c r="AH19" s="66" t="str">
        <f t="shared" si="2"/>
        <v>India - R&amp;C</v>
      </c>
      <c r="AI19" s="71" t="str">
        <f t="shared" si="3"/>
        <v>India - R&amp;C</v>
      </c>
      <c r="AJ19" s="138">
        <f>IF(I19="",0,MAX((IFERROR((VLOOKUP((AH19&amp;$J$6),Ratesheet!$F$5:$J$455,4,FALSE)*J19),0)),(IFERROR((VLOOKUP((AI19&amp;$J$6),Ratesheet!$F$5:$J$455,4,FALSE)*J19),0))))</f>
        <v>0</v>
      </c>
      <c r="AK19" s="138">
        <f>IF(I19="",0,MAX((IFERROR((VLOOKUP((AH19&amp;$K$6),Ratesheet!$F$5:$J$455,4,FALSE)*K19),0)),(IFERROR((VLOOKUP((AI19&amp;$K$6),Ratesheet!$F$5:$J$455,4,FALSE)*K19),0))))</f>
        <v>0</v>
      </c>
      <c r="AL19" s="138">
        <f>IF(I19="",0,MAX((IFERROR((VLOOKUP((AH19&amp;$L$6),Ratesheet!$F$5:$J$455,4,FALSE)*L19),0)),(IFERROR((VLOOKUP((AI19&amp;$L$6),Ratesheet!$F$5:$J$455,4,FALSE)*L19),0))))</f>
        <v>274.28571428571428</v>
      </c>
      <c r="AM19" s="138">
        <f>IF(I19="",0,MAX((IFERROR((VLOOKUP((AH19&amp;$M$6),Ratesheet!$F$5:$J$455,4,FALSE)*M19),0)),(IFERROR((VLOOKUP((AI19&amp;$M$6),Ratesheet!$F$5:$J$455,4,FALSE)*M19),0))))</f>
        <v>1743.1055900621118</v>
      </c>
      <c r="AN19" s="138">
        <f>IF(I19="",0,MAX((IFERROR((VLOOKUP((AH19&amp;$N$6),Ratesheet!$F$5:$J$455,4,FALSE)*N19),0)),(IFERROR((VLOOKUP((AI19&amp;$N$6),Ratesheet!$F$5:$J$455,4,FALSE)*N19),0))))</f>
        <v>0</v>
      </c>
      <c r="AO19" s="138">
        <f>IF(I19="",0,MAX((IFERROR((VLOOKUP((AH19&amp;$O$6),Ratesheet!$F$5:$J$455,4,FALSE)*O19),0)),(IFERROR((VLOOKUP((AI19&amp;$O$6),Ratesheet!$F$5:$J$455,4,FALSE)*O19),0))))</f>
        <v>0</v>
      </c>
      <c r="AP19" s="138">
        <f>IF(I19="",0,MAX((IFERROR((VLOOKUP((AH19&amp;$P$6),Ratesheet!$F$5:$J$455,4,FALSE)*P19),0)),(IFERROR((VLOOKUP((AI19&amp;$P$6),Ratesheet!$F$5:$J$455,4,FALSE)*P19),0))))</f>
        <v>1496.6459627329193</v>
      </c>
      <c r="AQ19" s="138">
        <f>IF(I19="",0,MAX((IFERROR((VLOOKUP((AH19&amp;$Q$6),Ratesheet!$F$5:$J$455,4,FALSE)*Q19),0)),(IFERROR((VLOOKUP((AI19&amp;$Q$6),Ratesheet!$F$5:$J$455,4,FALSE)*Q19),0))))</f>
        <v>2003.4782608695652</v>
      </c>
      <c r="AR19" s="138">
        <f>IF(I19="",0,MAX((IFERROR((VLOOKUP((AH19&amp;$R$6),Ratesheet!$F$5:$J$455,4,FALSE)*R19),0)),(IFERROR((VLOOKUP((AI19&amp;$R$6),Ratesheet!$F$5:$J$455,4,FALSE)*R19),0))))</f>
        <v>1977.6397515527949</v>
      </c>
      <c r="AS19" s="138">
        <f>IF(I19="",0,MAX((IFERROR((VLOOKUP((AH19&amp;$S$6),Ratesheet!$F$5:$J$455,4,FALSE)*S19),0)),(IFERROR((VLOOKUP((AI19&amp;$S$6),Ratesheet!$F$5:$J$455,4,FALSE)*S19),0))))</f>
        <v>1833.5403726708073</v>
      </c>
      <c r="AT19" s="139">
        <f>IF(H19="",0,MAX((IFERROR((VLOOKUP((AG19&amp;$T$6),Ratesheet!$F$5:$J$455,4,FALSE)*T19),0)),(IFERROR((VLOOKUP((AH19&amp;$T$6),Ratesheet!$F$5:$J$455,4,FALSE)*T19),0))))</f>
        <v>0</v>
      </c>
      <c r="AU19" s="139">
        <f>IF(I19="",0,MAX((IFERROR((VLOOKUP((AH19&amp;$U$6),Ratesheet!$F$5:$J$455,4,FALSE)*U19),0)),(IFERROR((VLOOKUP((AI19&amp;$U$6),Ratesheet!$F$5:$J$455,4,FALSE)*U19),0))))</f>
        <v>0</v>
      </c>
      <c r="AV19" s="138">
        <f t="shared" si="4"/>
        <v>9328.6956521739121</v>
      </c>
      <c r="AW19" s="295">
        <f>IFERROR(AV19*VLOOKUP($C$7,'Ref1'!$B$230:$C$236,2,FALSE),0)</f>
        <v>750959.99999999988</v>
      </c>
      <c r="AX19" s="66" t="str">
        <f t="shared" si="5"/>
        <v>India - R&amp;C</v>
      </c>
      <c r="AY19" s="138">
        <f>IF(I19="",0,MAX((IFERROR((VLOOKUP((AH19&amp;$J$6),Ratesheet!$F$5:$J$455,5,FALSE)*J19),0)),(IFERROR((VLOOKUP((AX19&amp;$J$6),Ratesheet!$F$5:$J$455,5,FALSE)*J19),0))))</f>
        <v>0</v>
      </c>
      <c r="AZ19" s="138">
        <f>IF(I19="",0,MAX((IFERROR((VLOOKUP((AH19&amp;$K$6),Ratesheet!$F$5:$J$455,5,FALSE)*K19),0)),(IFERROR((VLOOKUP((AX19&amp;$K$6),Ratesheet!$F$5:$J$455,5,FALSE)*K19),0))))</f>
        <v>0</v>
      </c>
      <c r="BA19" s="138">
        <f>IF(I19="",0,MAX((IFERROR((VLOOKUP((AH19&amp;$L$6),Ratesheet!$F$5:$J$455,5,FALSE)*L19),0)),(IFERROR((VLOOKUP((AX19&amp;$L$6),Ratesheet!$F$5:$J$455,5,FALSE)*L19),0))))</f>
        <v>119.25465838509317</v>
      </c>
      <c r="BB19" s="138">
        <f>IF(I19="",0,MAX((IFERROR((VLOOKUP((AH19&amp;$M$6),Ratesheet!$F$5:$J$455,5,FALSE)*M19),0)),(IFERROR((VLOOKUP((AX19&amp;$M$6),Ratesheet!$F$5:$J$455,5,FALSE)*M19),0))))</f>
        <v>548.57142857142856</v>
      </c>
      <c r="BC19" s="138">
        <f>IF(I19="",0,MAX((IFERROR((VLOOKUP((AH19&amp;$N$6),Ratesheet!$F$5:$J$455,5,FALSE)*N19),0)),(IFERROR((VLOOKUP((AX19&amp;$N$6),Ratesheet!$F$5:$J$455,5,FALSE)*N19),0))))</f>
        <v>0</v>
      </c>
      <c r="BD19" s="138">
        <f>IF(I19="",0,MAX((IFERROR((VLOOKUP((AH19&amp;$O$6),Ratesheet!$F$5:$J$455,5,FALSE)*O19),0)),(IFERROR((VLOOKUP((AX19&amp;$O$6),Ratesheet!$F$5:$J$455,5,FALSE)*O19),0))))</f>
        <v>0</v>
      </c>
      <c r="BE19" s="138">
        <f>IF(I19="",0,MAX((IFERROR((VLOOKUP((AH19&amp;$P$6),Ratesheet!$F$5:$J$455,5,FALSE)*P19),0)),(IFERROR((VLOOKUP((AX19&amp;$P$6),Ratesheet!$F$5:$J$455,5,FALSE)*P19),0))))</f>
        <v>321.98757763975158</v>
      </c>
      <c r="BF19" s="138">
        <f>IF(I19="",0,MAX((IFERROR((VLOOKUP((AH19&amp;$Q$6),Ratesheet!$F$5:$J$455,5,FALSE)*Q19),0)),(IFERROR((VLOOKUP((AX19&amp;$Q$6),Ratesheet!$F$5:$J$455,5,FALSE)*Q19),0))))</f>
        <v>441.24223602484471</v>
      </c>
      <c r="BG19" s="138">
        <f>IF(I19="",0,MAX((IFERROR((VLOOKUP((AH19&amp;$R$6),Ratesheet!$F$5:$J$455,5,FALSE)*R19),0)),(IFERROR((VLOOKUP((AX19&amp;$R$6),Ratesheet!$F$5:$J$455,5,FALSE)*R19),0))))</f>
        <v>429.31677018633542</v>
      </c>
      <c r="BH19" s="138">
        <f>IF(I19="",0,MAX((IFERROR((VLOOKUP((AH19&amp;$S$6),Ratesheet!$F$5:$J$455,5,FALSE)*S19),0)),(IFERROR((VLOOKUP((AX19&amp;$S$6),Ratesheet!$F$5:$J$455,5,FALSE)*S19),0))))</f>
        <v>327.9503105590062</v>
      </c>
      <c r="BI19" s="139">
        <f>IF(H19="",0,MAX((IFERROR((VLOOKUP((AG19&amp;$T$6),Ratesheet!$F$5:$J$455,5,FALSE)*T19),0)),(IFERROR((VLOOKUP((AW19&amp;$T$6),Ratesheet!$F$5:$J$455,5,FALSE)*T19),0))))</f>
        <v>0</v>
      </c>
      <c r="BJ19" s="139">
        <f>IF(I19="",0,MAX((IFERROR((VLOOKUP((AH19&amp;$U$6),Ratesheet!$F$5:$J$455,5,FALSE)*U19),0)),(IFERROR((VLOOKUP((AX19&amp;$U$6),Ratesheet!$F$5:$J$455,5,FALSE)*U19),0))))</f>
        <v>0</v>
      </c>
      <c r="BK19" s="138">
        <f t="shared" si="6"/>
        <v>2188.3229813664598</v>
      </c>
      <c r="BL19" s="138">
        <f>IFERROR(BK19*VLOOKUP($C$7,'Ref1'!$B$230:$C$236,2,FALSE),0)</f>
        <v>176160</v>
      </c>
    </row>
    <row r="20" spans="1:64" ht="11.25" customHeight="1">
      <c r="A20" s="284"/>
      <c r="B20" s="250"/>
      <c r="C20" s="252"/>
      <c r="D20" s="252"/>
      <c r="E20" s="142"/>
      <c r="F20" s="673" t="s">
        <v>160</v>
      </c>
      <c r="G20" s="674"/>
      <c r="H20" s="551" t="str">
        <f>IF(F20="","",MainSheet!$B$6)</f>
        <v>India</v>
      </c>
      <c r="I20" s="552" t="str">
        <f>IF(F20="","",MainSheet!$D$6)</f>
        <v>R&amp;C</v>
      </c>
      <c r="J20" s="605"/>
      <c r="K20" s="592"/>
      <c r="L20" s="592"/>
      <c r="M20" s="595">
        <v>4</v>
      </c>
      <c r="N20" s="592"/>
      <c r="O20" s="592"/>
      <c r="P20" s="592">
        <v>24</v>
      </c>
      <c r="Q20" s="592">
        <v>32</v>
      </c>
      <c r="R20" s="592">
        <v>40</v>
      </c>
      <c r="S20" s="596">
        <v>40</v>
      </c>
      <c r="T20" s="593"/>
      <c r="U20" s="593"/>
      <c r="V20" s="594">
        <f t="shared" si="1"/>
        <v>140</v>
      </c>
      <c r="W20" s="66"/>
      <c r="X20" s="66"/>
      <c r="AH20" s="66" t="str">
        <f t="shared" si="2"/>
        <v>India - R&amp;C</v>
      </c>
      <c r="AI20" s="71" t="str">
        <f t="shared" si="3"/>
        <v>India - R&amp;C</v>
      </c>
      <c r="AJ20" s="138">
        <f>IF(I20="",0,MAX((IFERROR((VLOOKUP((AH20&amp;$J$6),Ratesheet!$F$5:$J$455,4,FALSE)*J20),0)),(IFERROR((VLOOKUP((AI20&amp;$J$6),Ratesheet!$F$5:$J$455,4,FALSE)*J20),0))))</f>
        <v>0</v>
      </c>
      <c r="AK20" s="138">
        <f>IF(I20="",0,MAX((IFERROR((VLOOKUP((AH20&amp;$K$6),Ratesheet!$F$5:$J$455,4,FALSE)*K20),0)),(IFERROR((VLOOKUP((AI20&amp;$K$6),Ratesheet!$F$5:$J$455,4,FALSE)*K20),0))))</f>
        <v>0</v>
      </c>
      <c r="AL20" s="138">
        <f>IF(I20="",0,MAX((IFERROR((VLOOKUP((AH20&amp;$L$6),Ratesheet!$F$5:$J$455,4,FALSE)*L20),0)),(IFERROR((VLOOKUP((AI20&amp;$L$6),Ratesheet!$F$5:$J$455,4,FALSE)*L20),0))))</f>
        <v>0</v>
      </c>
      <c r="AM20" s="138">
        <f>IF(I20="",0,MAX((IFERROR((VLOOKUP((AH20&amp;$M$6),Ratesheet!$F$5:$J$455,4,FALSE)*M20),0)),(IFERROR((VLOOKUP((AI20&amp;$M$6),Ratesheet!$F$5:$J$455,4,FALSE)*M20),0))))</f>
        <v>871.55279503105589</v>
      </c>
      <c r="AN20" s="138">
        <f>IF(I20="",0,MAX((IFERROR((VLOOKUP((AH20&amp;$N$6),Ratesheet!$F$5:$J$455,4,FALSE)*N20),0)),(IFERROR((VLOOKUP((AI20&amp;$N$6),Ratesheet!$F$5:$J$455,4,FALSE)*N20),0))))</f>
        <v>0</v>
      </c>
      <c r="AO20" s="138">
        <f>IF(I20="",0,MAX((IFERROR((VLOOKUP((AH20&amp;$O$6),Ratesheet!$F$5:$J$455,4,FALSE)*O20),0)),(IFERROR((VLOOKUP((AI20&amp;$O$6),Ratesheet!$F$5:$J$455,4,FALSE)*O20),0))))</f>
        <v>0</v>
      </c>
      <c r="AP20" s="138">
        <f>IF(I20="",0,MAX((IFERROR((VLOOKUP((AH20&amp;$P$6),Ratesheet!$F$5:$J$455,4,FALSE)*P20),0)),(IFERROR((VLOOKUP((AI20&amp;$P$6),Ratesheet!$F$5:$J$455,4,FALSE)*P20),0))))</f>
        <v>2244.9689440993789</v>
      </c>
      <c r="AQ20" s="138">
        <f>IF(I20="",0,MAX((IFERROR((VLOOKUP((AH20&amp;$Q$6),Ratesheet!$F$5:$J$455,4,FALSE)*Q20),0)),(IFERROR((VLOOKUP((AI20&amp;$Q$6),Ratesheet!$F$5:$J$455,4,FALSE)*Q20),0))))</f>
        <v>2003.4782608695652</v>
      </c>
      <c r="AR20" s="138">
        <f>IF(I20="",0,MAX((IFERROR((VLOOKUP((AH20&amp;$R$6),Ratesheet!$F$5:$J$455,4,FALSE)*R20),0)),(IFERROR((VLOOKUP((AI20&amp;$R$6),Ratesheet!$F$5:$J$455,4,FALSE)*R20),0))))</f>
        <v>1977.6397515527949</v>
      </c>
      <c r="AS20" s="138">
        <f>IF(I20="",0,MAX((IFERROR((VLOOKUP((AH20&amp;$S$6),Ratesheet!$F$5:$J$455,4,FALSE)*S20),0)),(IFERROR((VLOOKUP((AI20&amp;$S$6),Ratesheet!$F$5:$J$455,4,FALSE)*S20),0))))</f>
        <v>1833.5403726708073</v>
      </c>
      <c r="AT20" s="139">
        <f>IF(H20="",0,MAX((IFERROR((VLOOKUP((AG20&amp;$T$6),Ratesheet!$F$5:$J$455,4,FALSE)*T20),0)),(IFERROR((VLOOKUP((AH20&amp;$T$6),Ratesheet!$F$5:$J$455,4,FALSE)*T20),0))))</f>
        <v>0</v>
      </c>
      <c r="AU20" s="139">
        <f>IF(I20="",0,MAX((IFERROR((VLOOKUP((AH20&amp;$U$6),Ratesheet!$F$5:$J$455,4,FALSE)*U20),0)),(IFERROR((VLOOKUP((AI20&amp;$U$6),Ratesheet!$F$5:$J$455,4,FALSE)*U20),0))))</f>
        <v>0</v>
      </c>
      <c r="AV20" s="138">
        <f t="shared" si="4"/>
        <v>8931.1801242236033</v>
      </c>
      <c r="AW20" s="295">
        <f>IFERROR(AV20*VLOOKUP($C$7,'Ref1'!$B$230:$C$236,2,FALSE),0)</f>
        <v>718960.00000000012</v>
      </c>
      <c r="AX20" s="66" t="str">
        <f t="shared" si="5"/>
        <v>India - R&amp;C</v>
      </c>
      <c r="AY20" s="138">
        <f>IF(I20="",0,MAX((IFERROR((VLOOKUP((AH20&amp;$J$6),Ratesheet!$F$5:$J$455,5,FALSE)*J20),0)),(IFERROR((VLOOKUP((AX20&amp;$J$6),Ratesheet!$F$5:$J$455,5,FALSE)*J20),0))))</f>
        <v>0</v>
      </c>
      <c r="AZ20" s="138">
        <f>IF(I20="",0,MAX((IFERROR((VLOOKUP((AH20&amp;$K$6),Ratesheet!$F$5:$J$455,5,FALSE)*K20),0)),(IFERROR((VLOOKUP((AX20&amp;$K$6),Ratesheet!$F$5:$J$455,5,FALSE)*K20),0))))</f>
        <v>0</v>
      </c>
      <c r="BA20" s="138">
        <f>IF(I20="",0,MAX((IFERROR((VLOOKUP((AH20&amp;$L$6),Ratesheet!$F$5:$J$455,5,FALSE)*L20),0)),(IFERROR((VLOOKUP((AX20&amp;$L$6),Ratesheet!$F$5:$J$455,5,FALSE)*L20),0))))</f>
        <v>0</v>
      </c>
      <c r="BB20" s="138">
        <f>IF(I20="",0,MAX((IFERROR((VLOOKUP((AH20&amp;$M$6),Ratesheet!$F$5:$J$455,5,FALSE)*M20),0)),(IFERROR((VLOOKUP((AX20&amp;$M$6),Ratesheet!$F$5:$J$455,5,FALSE)*M20),0))))</f>
        <v>274.28571428571428</v>
      </c>
      <c r="BC20" s="138">
        <f>IF(I20="",0,MAX((IFERROR((VLOOKUP((AH20&amp;$N$6),Ratesheet!$F$5:$J$455,5,FALSE)*N20),0)),(IFERROR((VLOOKUP((AX20&amp;$N$6),Ratesheet!$F$5:$J$455,5,FALSE)*N20),0))))</f>
        <v>0</v>
      </c>
      <c r="BD20" s="138">
        <f>IF(I20="",0,MAX((IFERROR((VLOOKUP((AH20&amp;$O$6),Ratesheet!$F$5:$J$455,5,FALSE)*O20),0)),(IFERROR((VLOOKUP((AX20&amp;$O$6),Ratesheet!$F$5:$J$455,5,FALSE)*O20),0))))</f>
        <v>0</v>
      </c>
      <c r="BE20" s="138">
        <f>IF(I20="",0,MAX((IFERROR((VLOOKUP((AH20&amp;$P$6),Ratesheet!$F$5:$J$455,5,FALSE)*P20),0)),(IFERROR((VLOOKUP((AX20&amp;$P$6),Ratesheet!$F$5:$J$455,5,FALSE)*P20),0))))</f>
        <v>482.98136645962734</v>
      </c>
      <c r="BF20" s="138">
        <f>IF(I20="",0,MAX((IFERROR((VLOOKUP((AH20&amp;$Q$6),Ratesheet!$F$5:$J$455,5,FALSE)*Q20),0)),(IFERROR((VLOOKUP((AX20&amp;$Q$6),Ratesheet!$F$5:$J$455,5,FALSE)*Q20),0))))</f>
        <v>441.24223602484471</v>
      </c>
      <c r="BG20" s="138">
        <f>IF(I20="",0,MAX((IFERROR((VLOOKUP((AH20&amp;$R$6),Ratesheet!$F$5:$J$455,5,FALSE)*R20),0)),(IFERROR((VLOOKUP((AX20&amp;$R$6),Ratesheet!$F$5:$J$455,5,FALSE)*R20),0))))</f>
        <v>429.31677018633542</v>
      </c>
      <c r="BH20" s="138">
        <f>IF(I20="",0,MAX((IFERROR((VLOOKUP((AH20&amp;$S$6),Ratesheet!$F$5:$J$455,5,FALSE)*S20),0)),(IFERROR((VLOOKUP((AX20&amp;$S$6),Ratesheet!$F$5:$J$455,5,FALSE)*S20),0))))</f>
        <v>327.9503105590062</v>
      </c>
      <c r="BI20" s="139">
        <f>IF(H20="",0,MAX((IFERROR((VLOOKUP((AG20&amp;$T$6),Ratesheet!$F$5:$J$455,5,FALSE)*T20),0)),(IFERROR((VLOOKUP((AW20&amp;$T$6),Ratesheet!$F$5:$J$455,5,FALSE)*T20),0))))</f>
        <v>0</v>
      </c>
      <c r="BJ20" s="139">
        <f>IF(I20="",0,MAX((IFERROR((VLOOKUP((AH20&amp;$U$6),Ratesheet!$F$5:$J$455,5,FALSE)*U20),0)),(IFERROR((VLOOKUP((AX20&amp;$U$6),Ratesheet!$F$5:$J$455,5,FALSE)*U20),0))))</f>
        <v>0</v>
      </c>
      <c r="BK20" s="138">
        <f t="shared" si="6"/>
        <v>1955.7763975155281</v>
      </c>
      <c r="BL20" s="138">
        <f>IFERROR(BK20*VLOOKUP($C$7,'Ref1'!$B$230:$C$236,2,FALSE),0)</f>
        <v>157440</v>
      </c>
    </row>
    <row r="21" spans="1:64" ht="11.25" customHeight="1">
      <c r="A21" s="284"/>
      <c r="B21" s="250"/>
      <c r="C21" s="252"/>
      <c r="D21" s="252"/>
      <c r="E21" s="142"/>
      <c r="F21" s="673" t="s">
        <v>161</v>
      </c>
      <c r="G21" s="674"/>
      <c r="H21" s="551" t="str">
        <f>IF(F21="","",MainSheet!$B$6)</f>
        <v>India</v>
      </c>
      <c r="I21" s="552" t="str">
        <f>IF(F21="","",MainSheet!$D$6)</f>
        <v>R&amp;C</v>
      </c>
      <c r="J21" s="605"/>
      <c r="K21" s="592"/>
      <c r="L21" s="592"/>
      <c r="M21" s="595"/>
      <c r="N21" s="592">
        <v>240</v>
      </c>
      <c r="O21" s="592"/>
      <c r="P21" s="592"/>
      <c r="Q21" s="592"/>
      <c r="R21" s="592"/>
      <c r="S21" s="592"/>
      <c r="T21" s="593"/>
      <c r="U21" s="593"/>
      <c r="V21" s="606">
        <f t="shared" si="1"/>
        <v>240</v>
      </c>
      <c r="W21" s="66"/>
      <c r="X21" s="66"/>
      <c r="AH21" s="66" t="str">
        <f t="shared" si="2"/>
        <v>India - R&amp;C</v>
      </c>
      <c r="AI21" s="71" t="str">
        <f t="shared" si="3"/>
        <v>India - R&amp;C</v>
      </c>
      <c r="AJ21" s="138">
        <f>IF(I21="",0,MAX((IFERROR((VLOOKUP((AH21&amp;$J$6),Ratesheet!$F$5:$J$455,4,FALSE)*J21),0)),(IFERROR((VLOOKUP((AI21&amp;$J$6),Ratesheet!$F$5:$J$455,4,FALSE)*J21),0))))</f>
        <v>0</v>
      </c>
      <c r="AK21" s="138">
        <f>IF(I21="",0,MAX((IFERROR((VLOOKUP((AH21&amp;$K$6),Ratesheet!$F$5:$J$455,4,FALSE)*K21),0)),(IFERROR((VLOOKUP((AI21&amp;$K$6),Ratesheet!$F$5:$J$455,4,FALSE)*K21),0))))</f>
        <v>0</v>
      </c>
      <c r="AL21" s="138">
        <f>IF(I21="",0,MAX((IFERROR((VLOOKUP((AH21&amp;$L$6),Ratesheet!$F$5:$J$455,4,FALSE)*L21),0)),(IFERROR((VLOOKUP((AI21&amp;$L$6),Ratesheet!$F$5:$J$455,4,FALSE)*L21),0))))</f>
        <v>0</v>
      </c>
      <c r="AM21" s="138">
        <f>IF(I21="",0,MAX((IFERROR((VLOOKUP((AH21&amp;$M$6),Ratesheet!$F$5:$J$455,4,FALSE)*M21),0)),(IFERROR((VLOOKUP((AI21&amp;$M$6),Ratesheet!$F$5:$J$455,4,FALSE)*M21),0))))</f>
        <v>0</v>
      </c>
      <c r="AN21" s="138">
        <f>IF(I21="",0,MAX((IFERROR((VLOOKUP((AH21&amp;$N$6),Ratesheet!$F$5:$J$455,4,FALSE)*N21),0)),(IFERROR((VLOOKUP((AI21&amp;$N$6),Ratesheet!$F$5:$J$455,4,FALSE)*N21),0))))</f>
        <v>44452.173913043473</v>
      </c>
      <c r="AO21" s="138">
        <f>IF(I21="",0,MAX((IFERROR((VLOOKUP((AH21&amp;$O$6),Ratesheet!$F$5:$J$455,4,FALSE)*O21),0)),(IFERROR((VLOOKUP((AI21&amp;$O$6),Ratesheet!$F$5:$J$455,4,FALSE)*O21),0))))</f>
        <v>0</v>
      </c>
      <c r="AP21" s="138">
        <f>IF(I21="",0,MAX((IFERROR((VLOOKUP((AH21&amp;$P$6),Ratesheet!$F$5:$J$455,4,FALSE)*P21),0)),(IFERROR((VLOOKUP((AI21&amp;$P$6),Ratesheet!$F$5:$J$455,4,FALSE)*P21),0))))</f>
        <v>0</v>
      </c>
      <c r="AQ21" s="138">
        <f>IF(I21="",0,MAX((IFERROR((VLOOKUP((AH21&amp;$Q$6),Ratesheet!$F$5:$J$455,4,FALSE)*Q21),0)),(IFERROR((VLOOKUP((AI21&amp;$Q$6),Ratesheet!$F$5:$J$455,4,FALSE)*Q21),0))))</f>
        <v>0</v>
      </c>
      <c r="AR21" s="138">
        <f>IF(I21="",0,MAX((IFERROR((VLOOKUP((AH21&amp;$R$6),Ratesheet!$F$5:$J$455,4,FALSE)*R21),0)),(IFERROR((VLOOKUP((AI21&amp;$R$6),Ratesheet!$F$5:$J$455,4,FALSE)*R21),0))))</f>
        <v>0</v>
      </c>
      <c r="AS21" s="138">
        <f>IF(I21="",0,MAX((IFERROR((VLOOKUP((AH21&amp;$S$6),Ratesheet!$F$5:$J$455,4,FALSE)*S21),0)),(IFERROR((VLOOKUP((AI21&amp;$S$6),Ratesheet!$F$5:$J$455,4,FALSE)*S21),0))))</f>
        <v>0</v>
      </c>
      <c r="AT21" s="139">
        <f>IF(H21="",0,MAX((IFERROR((VLOOKUP((AG21&amp;$T$6),Ratesheet!$F$5:$J$455,4,FALSE)*T21),0)),(IFERROR((VLOOKUP((AH21&amp;$T$6),Ratesheet!$F$5:$J$455,4,FALSE)*T21),0))))</f>
        <v>0</v>
      </c>
      <c r="AU21" s="139">
        <f>IF(I21="",0,MAX((IFERROR((VLOOKUP((AH21&amp;$U$6),Ratesheet!$F$5:$J$455,4,FALSE)*U21),0)),(IFERROR((VLOOKUP((AI21&amp;$U$6),Ratesheet!$F$5:$J$455,4,FALSE)*U21),0))))</f>
        <v>0</v>
      </c>
      <c r="AV21" s="138">
        <f t="shared" si="4"/>
        <v>44452.173913043473</v>
      </c>
      <c r="AW21" s="295">
        <f>IFERROR(AV21*VLOOKUP($C$7,'Ref1'!$B$230:$C$236,2,FALSE),0)</f>
        <v>3578399.9999999995</v>
      </c>
      <c r="AX21" s="66" t="str">
        <f t="shared" si="5"/>
        <v>India - R&amp;C</v>
      </c>
      <c r="AY21" s="138">
        <f>IF(I21="",0,MAX((IFERROR((VLOOKUP((AH21&amp;$J$6),Ratesheet!$F$5:$J$455,5,FALSE)*J21),0)),(IFERROR((VLOOKUP((AX21&amp;$J$6),Ratesheet!$F$5:$J$455,5,FALSE)*J21),0))))</f>
        <v>0</v>
      </c>
      <c r="AZ21" s="138">
        <f>IF(I21="",0,MAX((IFERROR((VLOOKUP((AH21&amp;$K$6),Ratesheet!$F$5:$J$455,5,FALSE)*K21),0)),(IFERROR((VLOOKUP((AX21&amp;$K$6),Ratesheet!$F$5:$J$455,5,FALSE)*K21),0))))</f>
        <v>0</v>
      </c>
      <c r="BA21" s="138">
        <f>IF(I21="",0,MAX((IFERROR((VLOOKUP((AH21&amp;$L$6),Ratesheet!$F$5:$J$455,5,FALSE)*L21),0)),(IFERROR((VLOOKUP((AX21&amp;$L$6),Ratesheet!$F$5:$J$455,5,FALSE)*L21),0))))</f>
        <v>0</v>
      </c>
      <c r="BB21" s="138">
        <f>IF(I21="",0,MAX((IFERROR((VLOOKUP((AH21&amp;$M$6),Ratesheet!$F$5:$J$455,5,FALSE)*M21),0)),(IFERROR((VLOOKUP((AX21&amp;$M$6),Ratesheet!$F$5:$J$455,5,FALSE)*M21),0))))</f>
        <v>0</v>
      </c>
      <c r="BC21" s="138">
        <f>IF(I21="",0,MAX((IFERROR((VLOOKUP((AH21&amp;$N$6),Ratesheet!$F$5:$J$455,5,FALSE)*N21),0)),(IFERROR((VLOOKUP((AX21&amp;$N$6),Ratesheet!$F$5:$J$455,5,FALSE)*N21),0))))</f>
        <v>11090.683229813665</v>
      </c>
      <c r="BD21" s="138">
        <f>IF(I21="",0,MAX((IFERROR((VLOOKUP((AH21&amp;$O$6),Ratesheet!$F$5:$J$455,5,FALSE)*O21),0)),(IFERROR((VLOOKUP((AX21&amp;$O$6),Ratesheet!$F$5:$J$455,5,FALSE)*O21),0))))</f>
        <v>0</v>
      </c>
      <c r="BE21" s="138">
        <f>IF(I21="",0,MAX((IFERROR((VLOOKUP((AH21&amp;$P$6),Ratesheet!$F$5:$J$455,5,FALSE)*P21),0)),(IFERROR((VLOOKUP((AX21&amp;$P$6),Ratesheet!$F$5:$J$455,5,FALSE)*P21),0))))</f>
        <v>0</v>
      </c>
      <c r="BF21" s="138">
        <f>IF(I21="",0,MAX((IFERROR((VLOOKUP((AH21&amp;$Q$6),Ratesheet!$F$5:$J$455,5,FALSE)*Q21),0)),(IFERROR((VLOOKUP((AX21&amp;$Q$6),Ratesheet!$F$5:$J$455,5,FALSE)*Q21),0))))</f>
        <v>0</v>
      </c>
      <c r="BG21" s="138">
        <f>IF(I21="",0,MAX((IFERROR((VLOOKUP((AH21&amp;$R$6),Ratesheet!$F$5:$J$455,5,FALSE)*R21),0)),(IFERROR((VLOOKUP((AX21&amp;$R$6),Ratesheet!$F$5:$J$455,5,FALSE)*R21),0))))</f>
        <v>0</v>
      </c>
      <c r="BH21" s="138">
        <f>IF(I21="",0,MAX((IFERROR((VLOOKUP((AH21&amp;$S$6),Ratesheet!$F$5:$J$455,5,FALSE)*S21),0)),(IFERROR((VLOOKUP((AX21&amp;$S$6),Ratesheet!$F$5:$J$455,5,FALSE)*S21),0))))</f>
        <v>0</v>
      </c>
      <c r="BI21" s="139">
        <f>IF(H21="",0,MAX((IFERROR((VLOOKUP((AG21&amp;$T$6),Ratesheet!$F$5:$J$455,5,FALSE)*T21),0)),(IFERROR((VLOOKUP((AW21&amp;$T$6),Ratesheet!$F$5:$J$455,5,FALSE)*T21),0))))</f>
        <v>0</v>
      </c>
      <c r="BJ21" s="139">
        <f>IF(I21="",0,MAX((IFERROR((VLOOKUP((AH21&amp;$U$6),Ratesheet!$F$5:$J$455,5,FALSE)*U21),0)),(IFERROR((VLOOKUP((AX21&amp;$U$6),Ratesheet!$F$5:$J$455,5,FALSE)*U21),0))))</f>
        <v>0</v>
      </c>
      <c r="BK21" s="138">
        <f t="shared" si="6"/>
        <v>11090.683229813665</v>
      </c>
      <c r="BL21" s="138">
        <f>IFERROR(BK21*VLOOKUP($C$7,'Ref1'!$B$230:$C$236,2,FALSE),0)</f>
        <v>892800</v>
      </c>
    </row>
    <row r="22" spans="1:64" ht="11.25" customHeight="1">
      <c r="A22" s="284"/>
      <c r="B22" s="250"/>
      <c r="C22" s="252"/>
      <c r="D22" s="252"/>
      <c r="E22" s="142"/>
      <c r="F22" s="673" t="s">
        <v>162</v>
      </c>
      <c r="G22" s="674"/>
      <c r="H22" s="551" t="str">
        <f>IF(F22="","",MainSheet!$B$6)</f>
        <v>India</v>
      </c>
      <c r="I22" s="552" t="str">
        <f>IF(F22="","",MainSheet!$D$6)</f>
        <v>R&amp;C</v>
      </c>
      <c r="J22" s="605"/>
      <c r="K22" s="592"/>
      <c r="L22" s="592"/>
      <c r="M22" s="595">
        <v>5</v>
      </c>
      <c r="N22" s="592"/>
      <c r="O22" s="592"/>
      <c r="P22" s="592">
        <v>8</v>
      </c>
      <c r="Q22" s="592">
        <v>16</v>
      </c>
      <c r="R22" s="592">
        <v>24</v>
      </c>
      <c r="S22" s="592">
        <v>24</v>
      </c>
      <c r="T22" s="593"/>
      <c r="U22" s="593"/>
      <c r="V22" s="594">
        <f t="shared" si="1"/>
        <v>77</v>
      </c>
      <c r="W22" s="66"/>
      <c r="X22" s="66"/>
      <c r="AH22" s="66" t="str">
        <f t="shared" si="2"/>
        <v>India - R&amp;C</v>
      </c>
      <c r="AI22" s="71" t="str">
        <f t="shared" si="3"/>
        <v>India - R&amp;C</v>
      </c>
      <c r="AJ22" s="138">
        <f>IF(I22="",0,MAX((IFERROR((VLOOKUP((AH22&amp;$J$6),Ratesheet!$F$5:$J$455,4,FALSE)*J22),0)),(IFERROR((VLOOKUP((AI22&amp;$J$6),Ratesheet!$F$5:$J$455,4,FALSE)*J22),0))))</f>
        <v>0</v>
      </c>
      <c r="AK22" s="138">
        <f>IF(I22="",0,MAX((IFERROR((VLOOKUP((AH22&amp;$K$6),Ratesheet!$F$5:$J$455,4,FALSE)*K22),0)),(IFERROR((VLOOKUP((AI22&amp;$K$6),Ratesheet!$F$5:$J$455,4,FALSE)*K22),0))))</f>
        <v>0</v>
      </c>
      <c r="AL22" s="138">
        <f>IF(I22="",0,MAX((IFERROR((VLOOKUP((AH22&amp;$L$6),Ratesheet!$F$5:$J$455,4,FALSE)*L22),0)),(IFERROR((VLOOKUP((AI22&amp;$L$6),Ratesheet!$F$5:$J$455,4,FALSE)*L22),0))))</f>
        <v>0</v>
      </c>
      <c r="AM22" s="138">
        <f>IF(I22="",0,MAX((IFERROR((VLOOKUP((AH22&amp;$M$6),Ratesheet!$F$5:$J$455,4,FALSE)*M22),0)),(IFERROR((VLOOKUP((AI22&amp;$M$6),Ratesheet!$F$5:$J$455,4,FALSE)*M22),0))))</f>
        <v>1089.4409937888199</v>
      </c>
      <c r="AN22" s="138">
        <f>IF(I22="",0,MAX((IFERROR((VLOOKUP((AH22&amp;$N$6),Ratesheet!$F$5:$J$455,4,FALSE)*N22),0)),(IFERROR((VLOOKUP((AI22&amp;$N$6),Ratesheet!$F$5:$J$455,4,FALSE)*N22),0))))</f>
        <v>0</v>
      </c>
      <c r="AO22" s="138">
        <f>IF(I22="",0,MAX((IFERROR((VLOOKUP((AH22&amp;$O$6),Ratesheet!$F$5:$J$455,4,FALSE)*O22),0)),(IFERROR((VLOOKUP((AI22&amp;$O$6),Ratesheet!$F$5:$J$455,4,FALSE)*O22),0))))</f>
        <v>0</v>
      </c>
      <c r="AP22" s="138">
        <f>IF(I22="",0,MAX((IFERROR((VLOOKUP((AH22&amp;$P$6),Ratesheet!$F$5:$J$455,4,FALSE)*P22),0)),(IFERROR((VLOOKUP((AI22&amp;$P$6),Ratesheet!$F$5:$J$455,4,FALSE)*P22),0))))</f>
        <v>748.32298136645966</v>
      </c>
      <c r="AQ22" s="138">
        <f>IF(I22="",0,MAX((IFERROR((VLOOKUP((AH22&amp;$Q$6),Ratesheet!$F$5:$J$455,4,FALSE)*Q22),0)),(IFERROR((VLOOKUP((AI22&amp;$Q$6),Ratesheet!$F$5:$J$455,4,FALSE)*Q22),0))))</f>
        <v>1001.7391304347826</v>
      </c>
      <c r="AR22" s="138">
        <f>IF(I22="",0,MAX((IFERROR((VLOOKUP((AH22&amp;$R$6),Ratesheet!$F$5:$J$455,4,FALSE)*R22),0)),(IFERROR((VLOOKUP((AI22&amp;$R$6),Ratesheet!$F$5:$J$455,4,FALSE)*R22),0))))</f>
        <v>1186.583850931677</v>
      </c>
      <c r="AS22" s="138">
        <f>IF(I22="",0,MAX((IFERROR((VLOOKUP((AH22&amp;$S$6),Ratesheet!$F$5:$J$455,4,FALSE)*S22),0)),(IFERROR((VLOOKUP((AI22&amp;$S$6),Ratesheet!$F$5:$J$455,4,FALSE)*S22),0))))</f>
        <v>1100.1242236024846</v>
      </c>
      <c r="AT22" s="139">
        <f>IF(H22="",0,MAX((IFERROR((VLOOKUP((AG22&amp;$T$6),Ratesheet!$F$5:$J$455,4,FALSE)*T22),0)),(IFERROR((VLOOKUP((AH22&amp;$T$6),Ratesheet!$F$5:$J$455,4,FALSE)*T22),0))))</f>
        <v>0</v>
      </c>
      <c r="AU22" s="139">
        <f>IF(I22="",0,MAX((IFERROR((VLOOKUP((AH22&amp;$U$6),Ratesheet!$F$5:$J$455,4,FALSE)*U22),0)),(IFERROR((VLOOKUP((AI22&amp;$U$6),Ratesheet!$F$5:$J$455,4,FALSE)*U22),0))))</f>
        <v>0</v>
      </c>
      <c r="AV22" s="138">
        <f t="shared" si="4"/>
        <v>5126.2111801242236</v>
      </c>
      <c r="AW22" s="295">
        <f>IFERROR(AV22*VLOOKUP($C$7,'Ref1'!$B$230:$C$236,2,FALSE),0)</f>
        <v>412660</v>
      </c>
      <c r="AX22" s="66" t="str">
        <f t="shared" si="5"/>
        <v>India - R&amp;C</v>
      </c>
      <c r="AY22" s="138">
        <f>IF(I22="",0,MAX((IFERROR((VLOOKUP((AH22&amp;$J$6),Ratesheet!$F$5:$J$455,5,FALSE)*J22),0)),(IFERROR((VLOOKUP((AX22&amp;$J$6),Ratesheet!$F$5:$J$455,5,FALSE)*J22),0))))</f>
        <v>0</v>
      </c>
      <c r="AZ22" s="138">
        <f>IF(I22="",0,MAX((IFERROR((VLOOKUP((AH22&amp;$K$6),Ratesheet!$F$5:$J$455,5,FALSE)*K22),0)),(IFERROR((VLOOKUP((AX22&amp;$K$6),Ratesheet!$F$5:$J$455,5,FALSE)*K22),0))))</f>
        <v>0</v>
      </c>
      <c r="BA22" s="138">
        <f>IF(I22="",0,MAX((IFERROR((VLOOKUP((AH22&amp;$L$6),Ratesheet!$F$5:$J$455,5,FALSE)*L22),0)),(IFERROR((VLOOKUP((AX22&amp;$L$6),Ratesheet!$F$5:$J$455,5,FALSE)*L22),0))))</f>
        <v>0</v>
      </c>
      <c r="BB22" s="138">
        <f>IF(I22="",0,MAX((IFERROR((VLOOKUP((AH22&amp;$M$6),Ratesheet!$F$5:$J$455,5,FALSE)*M22),0)),(IFERROR((VLOOKUP((AX22&amp;$M$6),Ratesheet!$F$5:$J$455,5,FALSE)*M22),0))))</f>
        <v>342.85714285714283</v>
      </c>
      <c r="BC22" s="138">
        <f>IF(I22="",0,MAX((IFERROR((VLOOKUP((AH22&amp;$N$6),Ratesheet!$F$5:$J$455,5,FALSE)*N22),0)),(IFERROR((VLOOKUP((AX22&amp;$N$6),Ratesheet!$F$5:$J$455,5,FALSE)*N22),0))))</f>
        <v>0</v>
      </c>
      <c r="BD22" s="138">
        <f>IF(I22="",0,MAX((IFERROR((VLOOKUP((AH22&amp;$O$6),Ratesheet!$F$5:$J$455,5,FALSE)*O22),0)),(IFERROR((VLOOKUP((AX22&amp;$O$6),Ratesheet!$F$5:$J$455,5,FALSE)*O22),0))))</f>
        <v>0</v>
      </c>
      <c r="BE22" s="138">
        <f>IF(I22="",0,MAX((IFERROR((VLOOKUP((AH22&amp;$P$6),Ratesheet!$F$5:$J$455,5,FALSE)*P22),0)),(IFERROR((VLOOKUP((AX22&amp;$P$6),Ratesheet!$F$5:$J$455,5,FALSE)*P22),0))))</f>
        <v>160.99378881987579</v>
      </c>
      <c r="BF22" s="138">
        <f>IF(I22="",0,MAX((IFERROR((VLOOKUP((AH22&amp;$Q$6),Ratesheet!$F$5:$J$455,5,FALSE)*Q22),0)),(IFERROR((VLOOKUP((AX22&amp;$Q$6),Ratesheet!$F$5:$J$455,5,FALSE)*Q22),0))))</f>
        <v>220.62111801242236</v>
      </c>
      <c r="BG22" s="138">
        <f>IF(I22="",0,MAX((IFERROR((VLOOKUP((AH22&amp;$R$6),Ratesheet!$F$5:$J$455,5,FALSE)*R22),0)),(IFERROR((VLOOKUP((AX22&amp;$R$6),Ratesheet!$F$5:$J$455,5,FALSE)*R22),0))))</f>
        <v>257.59006211180127</v>
      </c>
      <c r="BH22" s="138">
        <f>IF(I22="",0,MAX((IFERROR((VLOOKUP((AH22&amp;$S$6),Ratesheet!$F$5:$J$455,5,FALSE)*S22),0)),(IFERROR((VLOOKUP((AX22&amp;$S$6),Ratesheet!$F$5:$J$455,5,FALSE)*S22),0))))</f>
        <v>196.77018633540374</v>
      </c>
      <c r="BI22" s="139">
        <f>IF(H22="",0,MAX((IFERROR((VLOOKUP((AG22&amp;$T$6),Ratesheet!$F$5:$J$455,5,FALSE)*T22),0)),(IFERROR((VLOOKUP((AW22&amp;$T$6),Ratesheet!$F$5:$J$455,5,FALSE)*T22),0))))</f>
        <v>0</v>
      </c>
      <c r="BJ22" s="139">
        <f>IF(I22="",0,MAX((IFERROR((VLOOKUP((AH22&amp;$U$6),Ratesheet!$F$5:$J$455,5,FALSE)*U22),0)),(IFERROR((VLOOKUP((AX22&amp;$U$6),Ratesheet!$F$5:$J$455,5,FALSE)*U22),0))))</f>
        <v>0</v>
      </c>
      <c r="BK22" s="138">
        <f t="shared" si="6"/>
        <v>1178.8322981366459</v>
      </c>
      <c r="BL22" s="138">
        <f>IFERROR(BK22*VLOOKUP($C$7,'Ref1'!$B$230:$C$236,2,FALSE),0)</f>
        <v>94896</v>
      </c>
    </row>
    <row r="23" spans="1:64" ht="11.25" customHeight="1">
      <c r="A23" s="284"/>
      <c r="B23" s="250"/>
      <c r="C23" s="252"/>
      <c r="D23" s="252"/>
      <c r="E23" s="142"/>
      <c r="F23" s="673" t="s">
        <v>163</v>
      </c>
      <c r="G23" s="674"/>
      <c r="H23" s="551" t="str">
        <f>IF(F23="","",MainSheet!$B$6)</f>
        <v>India</v>
      </c>
      <c r="I23" s="552" t="str">
        <f>IF(F23="","",MainSheet!$D$6)</f>
        <v>R&amp;C</v>
      </c>
      <c r="J23" s="605">
        <v>2</v>
      </c>
      <c r="K23" s="592"/>
      <c r="L23" s="592">
        <v>8</v>
      </c>
      <c r="M23" s="595">
        <v>5</v>
      </c>
      <c r="N23" s="592"/>
      <c r="O23" s="592"/>
      <c r="P23" s="592">
        <v>8</v>
      </c>
      <c r="Q23" s="592">
        <v>16</v>
      </c>
      <c r="R23" s="592">
        <v>24</v>
      </c>
      <c r="S23" s="596">
        <v>24</v>
      </c>
      <c r="T23" s="593"/>
      <c r="U23" s="593"/>
      <c r="V23" s="594">
        <f t="shared" si="1"/>
        <v>87</v>
      </c>
      <c r="W23" s="66"/>
      <c r="X23" s="66"/>
      <c r="Y23" s="66"/>
      <c r="AH23" s="66" t="str">
        <f t="shared" si="2"/>
        <v>India - R&amp;C</v>
      </c>
      <c r="AI23" s="71" t="str">
        <f t="shared" si="3"/>
        <v>India - R&amp;C</v>
      </c>
      <c r="AJ23" s="138">
        <f>IF(I23="",0,MAX((IFERROR((VLOOKUP((AH23&amp;$J$6),Ratesheet!$F$5:$J$455,4,FALSE)*J23),0)),(IFERROR((VLOOKUP((AI23&amp;$J$6),Ratesheet!$F$5:$J$455,4,FALSE)*J23),0))))</f>
        <v>746.08695652173913</v>
      </c>
      <c r="AK23" s="138">
        <f>IF(I23="",0,MAX((IFERROR((VLOOKUP((AH23&amp;$K$6),Ratesheet!$F$5:$J$455,4,FALSE)*K23),0)),(IFERROR((VLOOKUP((AI23&amp;$K$6),Ratesheet!$F$5:$J$455,4,FALSE)*K23),0))))</f>
        <v>0</v>
      </c>
      <c r="AL23" s="138">
        <f>IF(I23="",0,MAX((IFERROR((VLOOKUP((AH23&amp;$L$6),Ratesheet!$F$5:$J$455,4,FALSE)*L23),0)),(IFERROR((VLOOKUP((AI23&amp;$L$6),Ratesheet!$F$5:$J$455,4,FALSE)*L23),0))))</f>
        <v>2194.2857142857142</v>
      </c>
      <c r="AM23" s="138">
        <f>IF(I23="",0,MAX((IFERROR((VLOOKUP((AH23&amp;$M$6),Ratesheet!$F$5:$J$455,4,FALSE)*M23),0)),(IFERROR((VLOOKUP((AI23&amp;$M$6),Ratesheet!$F$5:$J$455,4,FALSE)*M23),0))))</f>
        <v>1089.4409937888199</v>
      </c>
      <c r="AN23" s="138">
        <f>IF(I23="",0,MAX((IFERROR((VLOOKUP((AH23&amp;$N$6),Ratesheet!$F$5:$J$455,4,FALSE)*N23),0)),(IFERROR((VLOOKUP((AI23&amp;$N$6),Ratesheet!$F$5:$J$455,4,FALSE)*N23),0))))</f>
        <v>0</v>
      </c>
      <c r="AO23" s="138">
        <f>IF(I23="",0,MAX((IFERROR((VLOOKUP((AH23&amp;$O$6),Ratesheet!$F$5:$J$455,4,FALSE)*O23),0)),(IFERROR((VLOOKUP((AI23&amp;$O$6),Ratesheet!$F$5:$J$455,4,FALSE)*O23),0))))</f>
        <v>0</v>
      </c>
      <c r="AP23" s="138">
        <f>IF(I23="",0,MAX((IFERROR((VLOOKUP((AH23&amp;$P$6),Ratesheet!$F$5:$J$455,4,FALSE)*P23),0)),(IFERROR((VLOOKUP((AI23&amp;$P$6),Ratesheet!$F$5:$J$455,4,FALSE)*P23),0))))</f>
        <v>748.32298136645966</v>
      </c>
      <c r="AQ23" s="138">
        <f>IF(I23="",0,MAX((IFERROR((VLOOKUP((AH23&amp;$Q$6),Ratesheet!$F$5:$J$455,4,FALSE)*Q23),0)),(IFERROR((VLOOKUP((AI23&amp;$Q$6),Ratesheet!$F$5:$J$455,4,FALSE)*Q23),0))))</f>
        <v>1001.7391304347826</v>
      </c>
      <c r="AR23" s="138">
        <f>IF(I23="",0,MAX((IFERROR((VLOOKUP((AH23&amp;$R$6),Ratesheet!$F$5:$J$455,4,FALSE)*R23),0)),(IFERROR((VLOOKUP((AI23&amp;$R$6),Ratesheet!$F$5:$J$455,4,FALSE)*R23),0))))</f>
        <v>1186.583850931677</v>
      </c>
      <c r="AS23" s="138">
        <f>IF(I23="",0,MAX((IFERROR((VLOOKUP((AH23&amp;$S$6),Ratesheet!$F$5:$J$455,4,FALSE)*S23),0)),(IFERROR((VLOOKUP((AI23&amp;$S$6),Ratesheet!$F$5:$J$455,4,FALSE)*S23),0))))</f>
        <v>1100.1242236024846</v>
      </c>
      <c r="AT23" s="139">
        <f>IF(H23="",0,MAX((IFERROR((VLOOKUP((AG23&amp;$T$6),Ratesheet!$F$5:$J$455,4,FALSE)*T23),0)),(IFERROR((VLOOKUP((AH23&amp;$T$6),Ratesheet!$F$5:$J$455,4,FALSE)*T23),0))))</f>
        <v>0</v>
      </c>
      <c r="AU23" s="139">
        <f>IF(I23="",0,MAX((IFERROR((VLOOKUP((AH23&amp;$U$6),Ratesheet!$F$5:$J$455,4,FALSE)*U23),0)),(IFERROR((VLOOKUP((AI23&amp;$U$6),Ratesheet!$F$5:$J$455,4,FALSE)*U23),0))))</f>
        <v>0</v>
      </c>
      <c r="AV23" s="138">
        <f t="shared" si="4"/>
        <v>8066.5838509316773</v>
      </c>
      <c r="AW23" s="295">
        <f>IFERROR(AV23*VLOOKUP($C$7,'Ref1'!$B$230:$C$236,2,FALSE),0)</f>
        <v>649360</v>
      </c>
      <c r="AX23" s="66" t="str">
        <f t="shared" si="5"/>
        <v>India - R&amp;C</v>
      </c>
      <c r="AY23" s="138">
        <f>IF(I23="",0,MAX((IFERROR((VLOOKUP((AH23&amp;$J$6),Ratesheet!$F$5:$J$455,5,FALSE)*J23),0)),(IFERROR((VLOOKUP((AX23&amp;$J$6),Ratesheet!$F$5:$J$455,5,FALSE)*J23),0))))</f>
        <v>536.6459627329192</v>
      </c>
      <c r="AZ23" s="138">
        <f>IF(I23="",0,MAX((IFERROR((VLOOKUP((AH23&amp;$K$6),Ratesheet!$F$5:$J$455,5,FALSE)*K23),0)),(IFERROR((VLOOKUP((AX23&amp;$K$6),Ratesheet!$F$5:$J$455,5,FALSE)*K23),0))))</f>
        <v>0</v>
      </c>
      <c r="BA23" s="138">
        <f>IF(I23="",0,MAX((IFERROR((VLOOKUP((AH23&amp;$L$6),Ratesheet!$F$5:$J$455,5,FALSE)*L23),0)),(IFERROR((VLOOKUP((AX23&amp;$L$6),Ratesheet!$F$5:$J$455,5,FALSE)*L23),0))))</f>
        <v>954.03726708074532</v>
      </c>
      <c r="BB23" s="138">
        <f>IF(I23="",0,MAX((IFERROR((VLOOKUP((AH23&amp;$M$6),Ratesheet!$F$5:$J$455,5,FALSE)*M23),0)),(IFERROR((VLOOKUP((AX23&amp;$M$6),Ratesheet!$F$5:$J$455,5,FALSE)*M23),0))))</f>
        <v>342.85714285714283</v>
      </c>
      <c r="BC23" s="138">
        <f>IF(I23="",0,MAX((IFERROR((VLOOKUP((AH23&amp;$N$6),Ratesheet!$F$5:$J$455,5,FALSE)*N23),0)),(IFERROR((VLOOKUP((AX23&amp;$N$6),Ratesheet!$F$5:$J$455,5,FALSE)*N23),0))))</f>
        <v>0</v>
      </c>
      <c r="BD23" s="138">
        <f>IF(I23="",0,MAX((IFERROR((VLOOKUP((AH23&amp;$O$6),Ratesheet!$F$5:$J$455,5,FALSE)*O23),0)),(IFERROR((VLOOKUP((AX23&amp;$O$6),Ratesheet!$F$5:$J$455,5,FALSE)*O23),0))))</f>
        <v>0</v>
      </c>
      <c r="BE23" s="138">
        <f>IF(I23="",0,MAX((IFERROR((VLOOKUP((AH23&amp;$P$6),Ratesheet!$F$5:$J$455,5,FALSE)*P23),0)),(IFERROR((VLOOKUP((AX23&amp;$P$6),Ratesheet!$F$5:$J$455,5,FALSE)*P23),0))))</f>
        <v>160.99378881987579</v>
      </c>
      <c r="BF23" s="138">
        <f>IF(I23="",0,MAX((IFERROR((VLOOKUP((AH23&amp;$Q$6),Ratesheet!$F$5:$J$455,5,FALSE)*Q23),0)),(IFERROR((VLOOKUP((AX23&amp;$Q$6),Ratesheet!$F$5:$J$455,5,FALSE)*Q23),0))))</f>
        <v>220.62111801242236</v>
      </c>
      <c r="BG23" s="138">
        <f>IF(I23="",0,MAX((IFERROR((VLOOKUP((AH23&amp;$R$6),Ratesheet!$F$5:$J$455,5,FALSE)*R23),0)),(IFERROR((VLOOKUP((AX23&amp;$R$6),Ratesheet!$F$5:$J$455,5,FALSE)*R23),0))))</f>
        <v>257.59006211180127</v>
      </c>
      <c r="BH23" s="138">
        <f>IF(I23="",0,MAX((IFERROR((VLOOKUP((AH23&amp;$S$6),Ratesheet!$F$5:$J$455,5,FALSE)*S23),0)),(IFERROR((VLOOKUP((AX23&amp;$S$6),Ratesheet!$F$5:$J$455,5,FALSE)*S23),0))))</f>
        <v>196.77018633540374</v>
      </c>
      <c r="BI23" s="139">
        <f>IF(H23="",0,MAX((IFERROR((VLOOKUP((AG23&amp;$T$6),Ratesheet!$F$5:$J$455,5,FALSE)*T23),0)),(IFERROR((VLOOKUP((AW23&amp;$T$6),Ratesheet!$F$5:$J$455,5,FALSE)*T23),0))))</f>
        <v>0</v>
      </c>
      <c r="BJ23" s="139">
        <f>IF(I23="",0,MAX((IFERROR((VLOOKUP((AH23&amp;$U$6),Ratesheet!$F$5:$J$455,5,FALSE)*U23),0)),(IFERROR((VLOOKUP((AX23&amp;$U$6),Ratesheet!$F$5:$J$455,5,FALSE)*U23),0))))</f>
        <v>0</v>
      </c>
      <c r="BK23" s="138">
        <f t="shared" si="6"/>
        <v>2669.5155279503106</v>
      </c>
      <c r="BL23" s="138">
        <f>IFERROR(BK23*VLOOKUP($C$7,'Ref1'!$B$230:$C$236,2,FALSE),0)</f>
        <v>214896</v>
      </c>
    </row>
    <row r="24" spans="1:64" ht="11.25" customHeight="1">
      <c r="A24" s="284"/>
      <c r="B24" s="250"/>
      <c r="C24" s="252"/>
      <c r="D24" s="252"/>
      <c r="E24" s="142"/>
      <c r="F24" s="673"/>
      <c r="G24" s="674"/>
      <c r="H24" s="551" t="str">
        <f>IF(F24="","",MainSheet!$B$6)</f>
        <v/>
      </c>
      <c r="I24" s="552" t="str">
        <f>IF(F24="","",MainSheet!$D$6)</f>
        <v/>
      </c>
      <c r="J24" s="605"/>
      <c r="K24" s="592"/>
      <c r="L24" s="592"/>
      <c r="M24" s="595"/>
      <c r="N24" s="592"/>
      <c r="O24" s="592"/>
      <c r="P24" s="592"/>
      <c r="Q24" s="592"/>
      <c r="R24" s="592"/>
      <c r="S24" s="592"/>
      <c r="T24" s="593"/>
      <c r="U24" s="593"/>
      <c r="V24" s="606">
        <f t="shared" si="1"/>
        <v>0</v>
      </c>
      <c r="W24" s="66"/>
      <c r="X24" s="66"/>
      <c r="Y24" s="66"/>
      <c r="AH24" s="66" t="str">
        <f t="shared" si="2"/>
        <v xml:space="preserve"> - </v>
      </c>
      <c r="AI24" s="71" t="str">
        <f t="shared" si="3"/>
        <v xml:space="preserve"> - </v>
      </c>
      <c r="AJ24" s="138">
        <f>IF(I24="",0,MAX((IFERROR((VLOOKUP((AH24&amp;$J$6),Ratesheet!$F$5:$J$455,4,FALSE)*J24),0)),(IFERROR((VLOOKUP((AI24&amp;$J$6),Ratesheet!$F$5:$J$455,4,FALSE)*J24),0))))</f>
        <v>0</v>
      </c>
      <c r="AK24" s="138">
        <f>IF(I24="",0,MAX((IFERROR((VLOOKUP((AH24&amp;$K$6),Ratesheet!$F$5:$J$455,4,FALSE)*K24),0)),(IFERROR((VLOOKUP((AI24&amp;$K$6),Ratesheet!$F$5:$J$455,4,FALSE)*K24),0))))</f>
        <v>0</v>
      </c>
      <c r="AL24" s="138">
        <f>IF(I24="",0,MAX((IFERROR((VLOOKUP((AH24&amp;$L$6),Ratesheet!$F$5:$J$455,4,FALSE)*L24),0)),(IFERROR((VLOOKUP((AI24&amp;$L$6),Ratesheet!$F$5:$J$455,4,FALSE)*L24),0))))</f>
        <v>0</v>
      </c>
      <c r="AM24" s="138">
        <f>IF(I24="",0,MAX((IFERROR((VLOOKUP((AH24&amp;$M$6),Ratesheet!$F$5:$J$455,4,FALSE)*M24),0)),(IFERROR((VLOOKUP((AI24&amp;$M$6),Ratesheet!$F$5:$J$455,4,FALSE)*M24),0))))</f>
        <v>0</v>
      </c>
      <c r="AN24" s="138">
        <f>IF(I24="",0,MAX((IFERROR((VLOOKUP((AH24&amp;$N$6),Ratesheet!$F$5:$J$455,4,FALSE)*N24),0)),(IFERROR((VLOOKUP((AI24&amp;$N$6),Ratesheet!$F$5:$J$455,4,FALSE)*N24),0))))</f>
        <v>0</v>
      </c>
      <c r="AO24" s="138">
        <f>IF(I24="",0,MAX((IFERROR((VLOOKUP((AH24&amp;$O$6),Ratesheet!$F$5:$J$455,4,FALSE)*O24),0)),(IFERROR((VLOOKUP((AI24&amp;$O$6),Ratesheet!$F$5:$J$455,4,FALSE)*O24),0))))</f>
        <v>0</v>
      </c>
      <c r="AP24" s="138">
        <f>IF(I24="",0,MAX((IFERROR((VLOOKUP((AH24&amp;$P$6),Ratesheet!$F$5:$J$455,4,FALSE)*P24),0)),(IFERROR((VLOOKUP((AI24&amp;$P$6),Ratesheet!$F$5:$J$455,4,FALSE)*P24),0))))</f>
        <v>0</v>
      </c>
      <c r="AQ24" s="138">
        <f>IF(I24="",0,MAX((IFERROR((VLOOKUP((AH24&amp;$Q$6),Ratesheet!$F$5:$J$455,4,FALSE)*Q24),0)),(IFERROR((VLOOKUP((AI24&amp;$Q$6),Ratesheet!$F$5:$J$455,4,FALSE)*Q24),0))))</f>
        <v>0</v>
      </c>
      <c r="AR24" s="138">
        <f>IF(I24="",0,MAX((IFERROR((VLOOKUP((AH24&amp;$R$6),Ratesheet!$F$5:$J$455,4,FALSE)*R24),0)),(IFERROR((VLOOKUP((AI24&amp;$R$6),Ratesheet!$F$5:$J$455,4,FALSE)*R24),0))))</f>
        <v>0</v>
      </c>
      <c r="AS24" s="138">
        <f>IF(I24="",0,MAX((IFERROR((VLOOKUP((AH24&amp;$S$6),Ratesheet!$F$5:$J$455,4,FALSE)*S24),0)),(IFERROR((VLOOKUP((AI24&amp;$S$6),Ratesheet!$F$5:$J$455,4,FALSE)*S24),0))))</f>
        <v>0</v>
      </c>
      <c r="AT24" s="139">
        <f>IF(H24="",0,MAX((IFERROR((VLOOKUP((AG24&amp;$T$6),Ratesheet!$F$5:$J$455,4,FALSE)*T24),0)),(IFERROR((VLOOKUP((AH24&amp;$T$6),Ratesheet!$F$5:$J$455,4,FALSE)*T24),0))))</f>
        <v>0</v>
      </c>
      <c r="AU24" s="139">
        <f>IF(I24="",0,MAX((IFERROR((VLOOKUP((AH24&amp;$U$6),Ratesheet!$F$5:$J$455,4,FALSE)*U24),0)),(IFERROR((VLOOKUP((AI24&amp;$U$6),Ratesheet!$F$5:$J$455,4,FALSE)*U24),0))))</f>
        <v>0</v>
      </c>
      <c r="AV24" s="138">
        <f t="shared" si="4"/>
        <v>0</v>
      </c>
      <c r="AW24" s="295">
        <f>IFERROR(AV24*VLOOKUP($C$7,'Ref1'!$B$230:$C$236,2,FALSE),0)</f>
        <v>0</v>
      </c>
      <c r="AX24" s="66" t="str">
        <f t="shared" si="5"/>
        <v xml:space="preserve"> - </v>
      </c>
      <c r="AY24" s="138">
        <f>IF(I24="",0,MAX((IFERROR((VLOOKUP((AH24&amp;$J$6),Ratesheet!$F$5:$J$455,5,FALSE)*J24),0)),(IFERROR((VLOOKUP((AX24&amp;$J$6),Ratesheet!$F$5:$J$455,5,FALSE)*J24),0))))</f>
        <v>0</v>
      </c>
      <c r="AZ24" s="138">
        <f>IF(I24="",0,MAX((IFERROR((VLOOKUP((AH24&amp;$K$6),Ratesheet!$F$5:$J$455,5,FALSE)*K24),0)),(IFERROR((VLOOKUP((AX24&amp;$K$6),Ratesheet!$F$5:$J$455,5,FALSE)*K24),0))))</f>
        <v>0</v>
      </c>
      <c r="BA24" s="138">
        <f>IF(I24="",0,MAX((IFERROR((VLOOKUP((AH24&amp;$L$6),Ratesheet!$F$5:$J$455,5,FALSE)*L24),0)),(IFERROR((VLOOKUP((AX24&amp;$L$6),Ratesheet!$F$5:$J$455,5,FALSE)*L24),0))))</f>
        <v>0</v>
      </c>
      <c r="BB24" s="138">
        <f>IF(I24="",0,MAX((IFERROR((VLOOKUP((AH24&amp;$M$6),Ratesheet!$F$5:$J$455,5,FALSE)*M24),0)),(IFERROR((VLOOKUP((AX24&amp;$M$6),Ratesheet!$F$5:$J$455,5,FALSE)*M24),0))))</f>
        <v>0</v>
      </c>
      <c r="BC24" s="138">
        <f>IF(I24="",0,MAX((IFERROR((VLOOKUP((AH24&amp;$N$6),Ratesheet!$F$5:$J$455,5,FALSE)*N24),0)),(IFERROR((VLOOKUP((AX24&amp;$N$6),Ratesheet!$F$5:$J$455,5,FALSE)*N24),0))))</f>
        <v>0</v>
      </c>
      <c r="BD24" s="138">
        <f>IF(I24="",0,MAX((IFERROR((VLOOKUP((AH24&amp;$O$6),Ratesheet!$F$5:$J$455,5,FALSE)*O24),0)),(IFERROR((VLOOKUP((AX24&amp;$O$6),Ratesheet!$F$5:$J$455,5,FALSE)*O24),0))))</f>
        <v>0</v>
      </c>
      <c r="BE24" s="138">
        <f>IF(I24="",0,MAX((IFERROR((VLOOKUP((AH24&amp;$P$6),Ratesheet!$F$5:$J$455,5,FALSE)*P24),0)),(IFERROR((VLOOKUP((AX24&amp;$P$6),Ratesheet!$F$5:$J$455,5,FALSE)*P24),0))))</f>
        <v>0</v>
      </c>
      <c r="BF24" s="138">
        <f>IF(I24="",0,MAX((IFERROR((VLOOKUP((AH24&amp;$Q$6),Ratesheet!$F$5:$J$455,5,FALSE)*Q24),0)),(IFERROR((VLOOKUP((AX24&amp;$Q$6),Ratesheet!$F$5:$J$455,5,FALSE)*Q24),0))))</f>
        <v>0</v>
      </c>
      <c r="BG24" s="138">
        <f>IF(I24="",0,MAX((IFERROR((VLOOKUP((AH24&amp;$R$6),Ratesheet!$F$5:$J$455,5,FALSE)*R24),0)),(IFERROR((VLOOKUP((AX24&amp;$R$6),Ratesheet!$F$5:$J$455,5,FALSE)*R24),0))))</f>
        <v>0</v>
      </c>
      <c r="BH24" s="138">
        <f>IF(I24="",0,MAX((IFERROR((VLOOKUP((AH24&amp;$S$6),Ratesheet!$F$5:$J$455,5,FALSE)*S24),0)),(IFERROR((VLOOKUP((AX24&amp;$S$6),Ratesheet!$F$5:$J$455,5,FALSE)*S24),0))))</f>
        <v>0</v>
      </c>
      <c r="BI24" s="139">
        <f>IF(H24="",0,MAX((IFERROR((VLOOKUP((AG24&amp;$T$6),Ratesheet!$F$5:$J$455,5,FALSE)*T24),0)),(IFERROR((VLOOKUP((AW24&amp;$T$6),Ratesheet!$F$5:$J$455,5,FALSE)*T24),0))))</f>
        <v>0</v>
      </c>
      <c r="BJ24" s="139">
        <f>IF(I24="",0,MAX((IFERROR((VLOOKUP((AH24&amp;$U$6),Ratesheet!$F$5:$J$455,5,FALSE)*U24),0)),(IFERROR((VLOOKUP((AX24&amp;$U$6),Ratesheet!$F$5:$J$455,5,FALSE)*U24),0))))</f>
        <v>0</v>
      </c>
      <c r="BK24" s="138">
        <f t="shared" si="6"/>
        <v>0</v>
      </c>
      <c r="BL24" s="138">
        <f>IFERROR(BK24*VLOOKUP($C$7,'Ref1'!$B$230:$C$236,2,FALSE),0)</f>
        <v>0</v>
      </c>
    </row>
    <row r="25" spans="1:64" ht="11.25" customHeight="1" thickBot="1">
      <c r="A25" s="284"/>
      <c r="B25" s="250"/>
      <c r="C25" s="252"/>
      <c r="D25" s="252"/>
      <c r="E25" s="142"/>
      <c r="F25" s="675"/>
      <c r="G25" s="676"/>
      <c r="H25" s="553" t="str">
        <f>IF(F25="","",MainSheet!$B$6)</f>
        <v/>
      </c>
      <c r="I25" s="552" t="str">
        <f>IF(F25="","",MainSheet!$D$6)</f>
        <v/>
      </c>
      <c r="J25" s="597"/>
      <c r="K25" s="597"/>
      <c r="L25" s="597"/>
      <c r="M25" s="598"/>
      <c r="N25" s="597"/>
      <c r="O25" s="597"/>
      <c r="P25" s="597"/>
      <c r="Q25" s="597"/>
      <c r="R25" s="597"/>
      <c r="S25" s="597"/>
      <c r="T25" s="599"/>
      <c r="U25" s="599"/>
      <c r="V25" s="600">
        <f t="shared" si="1"/>
        <v>0</v>
      </c>
      <c r="W25" s="66"/>
      <c r="X25" s="66"/>
      <c r="Y25" s="66"/>
      <c r="AH25" s="66" t="str">
        <f t="shared" si="2"/>
        <v xml:space="preserve"> - </v>
      </c>
      <c r="AI25" s="71" t="str">
        <f t="shared" si="3"/>
        <v xml:space="preserve"> - </v>
      </c>
      <c r="AJ25" s="138">
        <f>IF(I25="",0,MAX((IFERROR((VLOOKUP((AH25&amp;$J$6),Ratesheet!$F$5:$J$455,4,FALSE)*J25),0)),(IFERROR((VLOOKUP((AI25&amp;$J$6),Ratesheet!$F$5:$J$455,4,FALSE)*J25),0))))</f>
        <v>0</v>
      </c>
      <c r="AK25" s="138">
        <f>IF(I25="",0,MAX((IFERROR((VLOOKUP((AH25&amp;$K$6),Ratesheet!$F$5:$J$455,4,FALSE)*K25),0)),(IFERROR((VLOOKUP((AI25&amp;$K$6),Ratesheet!$F$5:$J$455,4,FALSE)*K25),0))))</f>
        <v>0</v>
      </c>
      <c r="AL25" s="138">
        <f>IF(I25="",0,MAX((IFERROR((VLOOKUP((AH25&amp;$L$6),Ratesheet!$F$5:$J$455,4,FALSE)*L25),0)),(IFERROR((VLOOKUP((AI25&amp;$L$6),Ratesheet!$F$5:$J$455,4,FALSE)*L25),0))))</f>
        <v>0</v>
      </c>
      <c r="AM25" s="138">
        <f>IF(I25="",0,MAX((IFERROR((VLOOKUP((AH25&amp;$M$6),Ratesheet!$F$5:$J$455,4,FALSE)*M25),0)),(IFERROR((VLOOKUP((AI25&amp;$M$6),Ratesheet!$F$5:$J$455,4,FALSE)*M25),0))))</f>
        <v>0</v>
      </c>
      <c r="AN25" s="138">
        <f>IF(I25="",0,MAX((IFERROR((VLOOKUP((AH25&amp;$N$6),Ratesheet!$F$5:$J$455,4,FALSE)*N25),0)),(IFERROR((VLOOKUP((AI25&amp;$N$6),Ratesheet!$F$5:$J$455,4,FALSE)*N25),0))))</f>
        <v>0</v>
      </c>
      <c r="AO25" s="138">
        <f>IF(I25="",0,MAX((IFERROR((VLOOKUP((AH25&amp;$O$6),Ratesheet!$F$5:$J$455,4,FALSE)*O25),0)),(IFERROR((VLOOKUP((AI25&amp;$O$6),Ratesheet!$F$5:$J$455,4,FALSE)*O25),0))))</f>
        <v>0</v>
      </c>
      <c r="AP25" s="138">
        <f>IF(I25="",0,MAX((IFERROR((VLOOKUP((AH25&amp;$P$6),Ratesheet!$F$5:$J$455,4,FALSE)*P25),0)),(IFERROR((VLOOKUP((AI25&amp;$P$6),Ratesheet!$F$5:$J$455,4,FALSE)*P25),0))))</f>
        <v>0</v>
      </c>
      <c r="AQ25" s="138">
        <f>IF(I25="",0,MAX((IFERROR((VLOOKUP((AH25&amp;$Q$6),Ratesheet!$F$5:$J$455,4,FALSE)*Q25),0)),(IFERROR((VLOOKUP((AI25&amp;$Q$6),Ratesheet!$F$5:$J$455,4,FALSE)*Q25),0))))</f>
        <v>0</v>
      </c>
      <c r="AR25" s="138">
        <f>IF(I25="",0,MAX((IFERROR((VLOOKUP((AH25&amp;$R$6),Ratesheet!$F$5:$J$455,4,FALSE)*R25),0)),(IFERROR((VLOOKUP((AI25&amp;$R$6),Ratesheet!$F$5:$J$455,4,FALSE)*R25),0))))</f>
        <v>0</v>
      </c>
      <c r="AS25" s="138">
        <f>IF(I25="",0,MAX((IFERROR((VLOOKUP((AH25&amp;$S$6),Ratesheet!$F$5:$J$455,4,FALSE)*S25),0)),(IFERROR((VLOOKUP((AI25&amp;$S$6),Ratesheet!$F$5:$J$455,4,FALSE)*S25),0))))</f>
        <v>0</v>
      </c>
      <c r="AT25" s="139">
        <f>IF(H25="",0,MAX((IFERROR((VLOOKUP((AG25&amp;$T$6),Ratesheet!$F$5:$J$455,4,FALSE)*T25),0)),(IFERROR((VLOOKUP((AH25&amp;$T$6),Ratesheet!$F$5:$J$455,4,FALSE)*T25),0))))</f>
        <v>0</v>
      </c>
      <c r="AU25" s="139">
        <f>IF(I25="",0,MAX((IFERROR((VLOOKUP((AH25&amp;$U$6),Ratesheet!$F$5:$J$455,4,FALSE)*U25),0)),(IFERROR((VLOOKUP((AI25&amp;$U$6),Ratesheet!$F$5:$J$455,4,FALSE)*U25),0))))</f>
        <v>0</v>
      </c>
      <c r="AV25" s="138">
        <f t="shared" si="4"/>
        <v>0</v>
      </c>
      <c r="AW25" s="295">
        <f>IFERROR(AV25*VLOOKUP($C$7,'Ref1'!$B$230:$C$236,2,FALSE),0)</f>
        <v>0</v>
      </c>
      <c r="AX25" s="66" t="str">
        <f t="shared" si="5"/>
        <v xml:space="preserve"> - </v>
      </c>
      <c r="AY25" s="138">
        <f>IF(I25="",0,MAX((IFERROR((VLOOKUP((AH25&amp;$J$6),Ratesheet!$F$5:$J$455,5,FALSE)*J25),0)),(IFERROR((VLOOKUP((AX25&amp;$J$6),Ratesheet!$F$5:$J$455,5,FALSE)*J25),0))))</f>
        <v>0</v>
      </c>
      <c r="AZ25" s="138">
        <f>IF(I25="",0,MAX((IFERROR((VLOOKUP((AH25&amp;$K$6),Ratesheet!$F$5:$J$455,5,FALSE)*K25),0)),(IFERROR((VLOOKUP((AX25&amp;$K$6),Ratesheet!$F$5:$J$455,5,FALSE)*K25),0))))</f>
        <v>0</v>
      </c>
      <c r="BA25" s="138">
        <f>IF(I25="",0,MAX((IFERROR((VLOOKUP((AH25&amp;$L$6),Ratesheet!$F$5:$J$455,5,FALSE)*L25),0)),(IFERROR((VLOOKUP((AX25&amp;$L$6),Ratesheet!$F$5:$J$455,5,FALSE)*L25),0))))</f>
        <v>0</v>
      </c>
      <c r="BB25" s="138">
        <f>IF(I25="",0,MAX((IFERROR((VLOOKUP((AH25&amp;$M$6),Ratesheet!$F$5:$J$455,5,FALSE)*M25),0)),(IFERROR((VLOOKUP((AX25&amp;$M$6),Ratesheet!$F$5:$J$455,5,FALSE)*M25),0))))</f>
        <v>0</v>
      </c>
      <c r="BC25" s="138">
        <f>IF(I25="",0,MAX((IFERROR((VLOOKUP((AH25&amp;$N$6),Ratesheet!$F$5:$J$455,5,FALSE)*N25),0)),(IFERROR((VLOOKUP((AX25&amp;$N$6),Ratesheet!$F$5:$J$455,5,FALSE)*N25),0))))</f>
        <v>0</v>
      </c>
      <c r="BD25" s="138">
        <f>IF(I25="",0,MAX((IFERROR((VLOOKUP((AH25&amp;$O$6),Ratesheet!$F$5:$J$455,5,FALSE)*O25),0)),(IFERROR((VLOOKUP((AX25&amp;$O$6),Ratesheet!$F$5:$J$455,5,FALSE)*O25),0))))</f>
        <v>0</v>
      </c>
      <c r="BE25" s="138">
        <f>IF(I25="",0,MAX((IFERROR((VLOOKUP((AH25&amp;$P$6),Ratesheet!$F$5:$J$455,5,FALSE)*P25),0)),(IFERROR((VLOOKUP((AX25&amp;$P$6),Ratesheet!$F$5:$J$455,5,FALSE)*P25),0))))</f>
        <v>0</v>
      </c>
      <c r="BF25" s="138">
        <f>IF(I25="",0,MAX((IFERROR((VLOOKUP((AH25&amp;$Q$6),Ratesheet!$F$5:$J$455,5,FALSE)*Q25),0)),(IFERROR((VLOOKUP((AX25&amp;$Q$6),Ratesheet!$F$5:$J$455,5,FALSE)*Q25),0))))</f>
        <v>0</v>
      </c>
      <c r="BG25" s="138">
        <f>IF(I25="",0,MAX((IFERROR((VLOOKUP((AH25&amp;$R$6),Ratesheet!$F$5:$J$455,5,FALSE)*R25),0)),(IFERROR((VLOOKUP((AX25&amp;$R$6),Ratesheet!$F$5:$J$455,5,FALSE)*R25),0))))</f>
        <v>0</v>
      </c>
      <c r="BH25" s="138">
        <f>IF(I25="",0,MAX((IFERROR((VLOOKUP((AH25&amp;$S$6),Ratesheet!$F$5:$J$455,5,FALSE)*S25),0)),(IFERROR((VLOOKUP((AX25&amp;$S$6),Ratesheet!$F$5:$J$455,5,FALSE)*S25),0))))</f>
        <v>0</v>
      </c>
      <c r="BI25" s="139">
        <f>IF(H25="",0,MAX((IFERROR((VLOOKUP((AG25&amp;$T$6),Ratesheet!$F$5:$J$455,5,FALSE)*T25),0)),(IFERROR((VLOOKUP((AW25&amp;$T$6),Ratesheet!$F$5:$J$455,5,FALSE)*T25),0))))</f>
        <v>0</v>
      </c>
      <c r="BJ25" s="139">
        <f>IF(I25="",0,MAX((IFERROR((VLOOKUP((AH25&amp;$U$6),Ratesheet!$F$5:$J$455,5,FALSE)*U25),0)),(IFERROR((VLOOKUP((AX25&amp;$U$6),Ratesheet!$F$5:$J$455,5,FALSE)*U25),0))))</f>
        <v>0</v>
      </c>
      <c r="BK25" s="138">
        <f t="shared" si="6"/>
        <v>0</v>
      </c>
      <c r="BL25" s="138">
        <f>IFERROR(BK25*VLOOKUP($C$7,'Ref1'!$B$230:$C$236,2,FALSE),0)</f>
        <v>0</v>
      </c>
    </row>
    <row r="26" spans="1:64" ht="16.5" customHeight="1" thickTop="1" thickBot="1">
      <c r="A26" s="284"/>
      <c r="B26" s="250"/>
      <c r="C26" s="252"/>
      <c r="D26" s="252"/>
      <c r="E26" s="142"/>
      <c r="F26" s="677" t="s">
        <v>164</v>
      </c>
      <c r="G26" s="678"/>
      <c r="H26" s="255"/>
      <c r="I26" s="255"/>
      <c r="J26" s="601">
        <f t="shared" ref="J26:V26" si="7">SUM(J8:J25)</f>
        <v>10</v>
      </c>
      <c r="K26" s="601">
        <f t="shared" si="7"/>
        <v>0</v>
      </c>
      <c r="L26" s="601">
        <f t="shared" si="7"/>
        <v>65</v>
      </c>
      <c r="M26" s="602">
        <f t="shared" si="7"/>
        <v>144</v>
      </c>
      <c r="N26" s="601">
        <f t="shared" si="7"/>
        <v>240</v>
      </c>
      <c r="O26" s="601">
        <f t="shared" si="7"/>
        <v>0</v>
      </c>
      <c r="P26" s="601">
        <f t="shared" si="7"/>
        <v>360</v>
      </c>
      <c r="Q26" s="601">
        <f t="shared" si="7"/>
        <v>464</v>
      </c>
      <c r="R26" s="601">
        <f t="shared" si="7"/>
        <v>656</v>
      </c>
      <c r="S26" s="601">
        <f t="shared" si="7"/>
        <v>656</v>
      </c>
      <c r="T26" s="603">
        <f t="shared" si="7"/>
        <v>0</v>
      </c>
      <c r="U26" s="603">
        <f t="shared" ref="U26" si="8">SUM(U8:U25)</f>
        <v>0</v>
      </c>
      <c r="V26" s="604">
        <f t="shared" si="7"/>
        <v>2595</v>
      </c>
      <c r="AI26" s="76"/>
      <c r="AV26" s="141">
        <f>SUM(AV8:AV25)</f>
        <v>222615.40372670811</v>
      </c>
      <c r="AW26" s="141">
        <f>SUM(AW8:AW25)</f>
        <v>17920540</v>
      </c>
      <c r="AY26" s="141"/>
      <c r="AZ26" s="141"/>
      <c r="BA26" s="141"/>
      <c r="BB26" s="141"/>
      <c r="BC26" s="141"/>
      <c r="BD26" s="141"/>
      <c r="BE26" s="141"/>
      <c r="BF26" s="141"/>
      <c r="BG26" s="141"/>
      <c r="BH26" s="141"/>
      <c r="BI26" s="141"/>
      <c r="BJ26" s="141"/>
      <c r="BK26" s="141">
        <f>SUM(BK8:BK25)</f>
        <v>57461.664596273287</v>
      </c>
      <c r="BL26" s="141">
        <f>SUM(BL8:BL25)</f>
        <v>4625664</v>
      </c>
    </row>
    <row r="27" spans="1:64" ht="9.75" hidden="1" customHeight="1" thickBot="1">
      <c r="A27" s="284"/>
      <c r="B27" s="250"/>
      <c r="C27" s="252"/>
      <c r="D27" s="252"/>
      <c r="E27" s="142"/>
      <c r="F27" s="302"/>
      <c r="G27" s="251"/>
      <c r="H27" s="251"/>
      <c r="I27" s="251"/>
      <c r="J27" s="253"/>
      <c r="K27" s="253"/>
      <c r="L27" s="253"/>
      <c r="M27" s="253"/>
      <c r="N27" s="253"/>
      <c r="O27" s="253"/>
      <c r="P27" s="253"/>
      <c r="Q27" s="253"/>
      <c r="R27" s="253"/>
      <c r="S27" s="253"/>
      <c r="T27" s="256"/>
      <c r="U27" s="253"/>
      <c r="V27" s="285"/>
      <c r="AI27" s="76"/>
    </row>
    <row r="28" spans="1:64" ht="14.25" hidden="1" customHeight="1">
      <c r="A28" s="281"/>
      <c r="B28" s="74"/>
      <c r="C28" s="75"/>
      <c r="D28" s="75"/>
      <c r="E28" s="142"/>
      <c r="F28" s="413"/>
      <c r="G28" s="414"/>
      <c r="H28" s="681" t="s">
        <v>165</v>
      </c>
      <c r="I28" s="682"/>
      <c r="J28" s="410">
        <f t="shared" ref="J28:P28" si="9">IF(ISERROR(J26/$V$26),0,J26/$V$26)</f>
        <v>3.8535645472061657E-3</v>
      </c>
      <c r="K28" s="411">
        <f t="shared" si="9"/>
        <v>0</v>
      </c>
      <c r="L28" s="412">
        <f t="shared" si="9"/>
        <v>2.5048169556840076E-2</v>
      </c>
      <c r="M28" s="410">
        <f t="shared" si="9"/>
        <v>5.5491329479768786E-2</v>
      </c>
      <c r="N28" s="412">
        <f t="shared" si="9"/>
        <v>9.2485549132947972E-2</v>
      </c>
      <c r="O28" s="410">
        <f t="shared" si="9"/>
        <v>0</v>
      </c>
      <c r="P28" s="411">
        <f t="shared" si="9"/>
        <v>0.13872832369942195</v>
      </c>
      <c r="Q28" s="411">
        <f t="shared" ref="Q28:T28" si="10">IF(ISERROR(Q26/$V$26),0,Q26/$V$26)</f>
        <v>0.1788053949903661</v>
      </c>
      <c r="R28" s="411">
        <f t="shared" si="10"/>
        <v>0.25279383429672447</v>
      </c>
      <c r="S28" s="411">
        <f t="shared" si="10"/>
        <v>0.25279383429672447</v>
      </c>
      <c r="T28" s="412">
        <f t="shared" si="10"/>
        <v>0</v>
      </c>
      <c r="U28" s="612"/>
      <c r="V28" s="286"/>
      <c r="AI28" s="76"/>
    </row>
    <row r="29" spans="1:64" ht="14.25" hidden="1" customHeight="1" thickBot="1">
      <c r="A29" s="281"/>
      <c r="B29" s="74"/>
      <c r="C29" s="75"/>
      <c r="D29" s="75"/>
      <c r="E29" s="142"/>
      <c r="F29" s="413"/>
      <c r="G29" s="414"/>
      <c r="H29" s="712" t="s">
        <v>166</v>
      </c>
      <c r="I29" s="713"/>
      <c r="J29" s="725">
        <v>0.1</v>
      </c>
      <c r="K29" s="726"/>
      <c r="L29" s="727"/>
      <c r="M29" s="725">
        <v>0.2</v>
      </c>
      <c r="N29" s="727"/>
      <c r="O29" s="725">
        <v>0.7</v>
      </c>
      <c r="P29" s="726"/>
      <c r="Q29" s="726"/>
      <c r="R29" s="726"/>
      <c r="S29" s="726"/>
      <c r="T29" s="727"/>
      <c r="U29" s="613"/>
      <c r="V29" s="286"/>
      <c r="AI29" s="76"/>
    </row>
    <row r="30" spans="1:64" ht="29.25" customHeight="1">
      <c r="A30" s="281"/>
      <c r="B30" s="74"/>
      <c r="C30" s="75"/>
      <c r="D30" s="75"/>
      <c r="E30" s="142"/>
      <c r="F30" s="300"/>
      <c r="G30" s="301"/>
      <c r="H30" s="245"/>
      <c r="I30" s="245"/>
      <c r="J30" s="65"/>
      <c r="K30" s="65"/>
      <c r="L30" s="443"/>
      <c r="M30" s="443"/>
      <c r="N30" s="443"/>
      <c r="O30" s="65"/>
      <c r="P30" s="65"/>
      <c r="Q30" s="65"/>
      <c r="R30" s="65"/>
      <c r="S30" s="65"/>
      <c r="T30" s="65"/>
      <c r="U30" s="65"/>
      <c r="V30" s="286"/>
      <c r="AI30" s="76"/>
    </row>
    <row r="31" spans="1:64" ht="14.25" customHeight="1">
      <c r="A31" s="719" t="str">
        <f>"F E E    B R E A K  D O W N   "</f>
        <v xml:space="preserve">F E E    B R E A K  D O W N   </v>
      </c>
      <c r="B31" s="720"/>
      <c r="C31" s="720"/>
      <c r="D31" s="720"/>
      <c r="E31" s="720"/>
      <c r="F31" s="720"/>
      <c r="G31" s="720"/>
      <c r="H31" s="296" t="str">
        <f>" All Values in ( "&amp;C7&amp;" )"</f>
        <v xml:space="preserve"> All Values in ( INR )</v>
      </c>
      <c r="I31" s="297"/>
      <c r="J31" s="78"/>
      <c r="L31" s="728" t="s">
        <v>167</v>
      </c>
      <c r="M31" s="729"/>
      <c r="N31" s="729"/>
      <c r="O31" s="729"/>
      <c r="P31" s="729"/>
      <c r="Q31" s="729"/>
      <c r="R31" s="729"/>
      <c r="S31" s="729"/>
      <c r="T31" s="730"/>
      <c r="U31" s="65"/>
      <c r="V31" s="275"/>
      <c r="AI31" s="76"/>
    </row>
    <row r="32" spans="1:64" s="40" customFormat="1" ht="19.5" customHeight="1">
      <c r="A32" s="714" t="str">
        <f>"Total Engagement Value"</f>
        <v>Total Engagement Value</v>
      </c>
      <c r="B32" s="715"/>
      <c r="C32" s="716"/>
      <c r="D32" s="717">
        <v>6500000</v>
      </c>
      <c r="E32" s="718"/>
      <c r="F32" s="529"/>
      <c r="G32" s="683"/>
      <c r="H32" s="683"/>
      <c r="I32" s="684"/>
      <c r="J32" s="143"/>
      <c r="K32" s="442"/>
      <c r="L32" s="144"/>
      <c r="M32" s="708" t="s">
        <v>168</v>
      </c>
      <c r="N32" s="708"/>
      <c r="O32" s="708"/>
      <c r="P32" s="709"/>
      <c r="Q32" s="254" t="s">
        <v>169</v>
      </c>
      <c r="R32" s="254"/>
      <c r="S32" s="710" t="s">
        <v>170</v>
      </c>
      <c r="T32" s="711"/>
      <c r="U32" s="614"/>
      <c r="V32" s="287"/>
      <c r="AI32" s="79"/>
    </row>
    <row r="33" spans="1:35" s="40" customFormat="1" ht="30" customHeight="1">
      <c r="A33" s="723" t="s">
        <v>171</v>
      </c>
      <c r="B33" s="724"/>
      <c r="C33" s="724"/>
      <c r="D33" s="724" t="s">
        <v>172</v>
      </c>
      <c r="E33" s="731"/>
      <c r="F33" s="531" t="s">
        <v>173</v>
      </c>
      <c r="G33" s="627" t="s">
        <v>174</v>
      </c>
      <c r="H33" s="679" t="s">
        <v>175</v>
      </c>
      <c r="I33" s="680"/>
      <c r="J33" s="143"/>
      <c r="L33" s="721" t="s">
        <v>176</v>
      </c>
      <c r="M33" s="721"/>
      <c r="N33" s="721"/>
      <c r="O33" s="721"/>
      <c r="P33" s="721"/>
      <c r="Q33" s="662">
        <f>AW26</f>
        <v>17920540</v>
      </c>
      <c r="R33" s="662"/>
      <c r="S33" s="662">
        <f>Q33</f>
        <v>17920540</v>
      </c>
      <c r="T33" s="663"/>
      <c r="U33" s="614"/>
      <c r="V33" s="287"/>
      <c r="AI33" s="79"/>
    </row>
    <row r="34" spans="1:35" s="40" customFormat="1" ht="12.75" customHeight="1">
      <c r="A34" s="732" t="s">
        <v>84</v>
      </c>
      <c r="B34" s="733"/>
      <c r="C34" s="733"/>
      <c r="D34" s="734" t="str">
        <f>C4</f>
        <v>India - R&amp;C</v>
      </c>
      <c r="E34" s="735"/>
      <c r="F34" s="525">
        <f>V26</f>
        <v>2595</v>
      </c>
      <c r="G34" s="532">
        <f>IF(C8=MainSheet!B12,(D32-(SUM(G35:G42)+H43)),0)</f>
        <v>6500000</v>
      </c>
      <c r="H34" s="660">
        <f>IF($C$8='Ref1'!B301,'Ref1'!G301,0)</f>
        <v>0</v>
      </c>
      <c r="I34" s="661"/>
      <c r="J34" s="143"/>
      <c r="L34" s="722" t="str">
        <f>"Proposed Fee (Home Office)" &amp;" - "&amp;IF(D34=0,"",D34)</f>
        <v>Proposed Fee (Home Office) - India - R&amp;C</v>
      </c>
      <c r="M34" s="722"/>
      <c r="N34" s="722"/>
      <c r="O34" s="722"/>
      <c r="P34" s="722"/>
      <c r="Q34" s="664">
        <f>G34</f>
        <v>6500000</v>
      </c>
      <c r="R34" s="664"/>
      <c r="S34" s="665">
        <f>S33*S37</f>
        <v>6500000</v>
      </c>
      <c r="T34" s="665"/>
      <c r="U34" s="615"/>
      <c r="V34" s="287"/>
      <c r="AI34" s="79"/>
    </row>
    <row r="35" spans="1:35" s="40" customFormat="1" ht="12.75" customHeight="1">
      <c r="A35" s="667" t="s">
        <v>90</v>
      </c>
      <c r="B35" s="668"/>
      <c r="C35" s="668"/>
      <c r="D35" s="669"/>
      <c r="E35" s="670"/>
      <c r="F35" s="525">
        <f>IF($C$8='Ref1'!B302,'Ref1'!H302,0)</f>
        <v>0</v>
      </c>
      <c r="G35" s="532">
        <f>IF($C$8='Ref1'!B302,'Ref1'!F302,0)</f>
        <v>0</v>
      </c>
      <c r="H35" s="660">
        <f>IF($C$8='Ref1'!B302,'Ref1'!G302,0)</f>
        <v>0</v>
      </c>
      <c r="I35" s="661"/>
      <c r="J35" s="143"/>
      <c r="L35" s="721" t="s">
        <v>177</v>
      </c>
      <c r="M35" s="721"/>
      <c r="N35" s="721"/>
      <c r="O35" s="721"/>
      <c r="P35" s="721"/>
      <c r="Q35" s="744">
        <f>IF(((Q33-Q34)+0.0000001)&lt;0,0,((Q33-Q34)+0.0000001))</f>
        <v>11420540.000000101</v>
      </c>
      <c r="R35" s="745"/>
      <c r="S35" s="736">
        <f>IF(((S33-S34)+0.0000001)&lt;0,0,((S33-S34)+0.0000001))</f>
        <v>11420540.000000101</v>
      </c>
      <c r="T35" s="736"/>
      <c r="U35" s="616"/>
      <c r="V35" s="287"/>
      <c r="AI35" s="79"/>
    </row>
    <row r="36" spans="1:35" s="40" customFormat="1" ht="12.75" customHeight="1">
      <c r="A36" s="667"/>
      <c r="B36" s="668"/>
      <c r="C36" s="668"/>
      <c r="D36" s="670"/>
      <c r="E36" s="737"/>
      <c r="F36" s="525">
        <f>IF($C$8='Ref1'!B303,'Ref1'!H303,0)</f>
        <v>0</v>
      </c>
      <c r="G36" s="532">
        <f>IF($C$8='Ref1'!B303,'Ref1'!F303,0)</f>
        <v>0</v>
      </c>
      <c r="H36" s="660">
        <f>IF($C$8='Ref1'!B303,'Ref1'!G303,0)</f>
        <v>0</v>
      </c>
      <c r="I36" s="661"/>
      <c r="J36" s="143"/>
      <c r="L36" s="741" t="s">
        <v>178</v>
      </c>
      <c r="M36" s="742"/>
      <c r="N36" s="742"/>
      <c r="O36" s="742"/>
      <c r="P36" s="743"/>
      <c r="Q36" s="738">
        <f>IF((IF(ISERROR(Q35/Q33),0,Q35/Q33)+0.00000001)&lt;0,0,(IF(ISERROR(Q35/Q33),0,Q35/Q33)+0.00000001))</f>
        <v>0.63728772566035963</v>
      </c>
      <c r="R36" s="739"/>
      <c r="S36" s="738">
        <f>IF(((1-S37)+0.000001)&lt;0,0,((1-S37)+0.000001))</f>
        <v>0.63728871566035405</v>
      </c>
      <c r="T36" s="739"/>
      <c r="U36" s="617"/>
      <c r="V36" s="287"/>
      <c r="AI36" s="79"/>
    </row>
    <row r="37" spans="1:35" s="40" customFormat="1" ht="12" customHeight="1">
      <c r="A37" s="667"/>
      <c r="B37" s="668"/>
      <c r="C37" s="668"/>
      <c r="D37" s="669"/>
      <c r="E37" s="670"/>
      <c r="F37" s="525">
        <f>IF($C$8='Ref1'!B304,'Ref1'!H304,0)</f>
        <v>0</v>
      </c>
      <c r="G37" s="532">
        <f>IF($C$8='Ref1'!B304,'Ref1'!F304,0)</f>
        <v>0</v>
      </c>
      <c r="H37" s="660">
        <f>IF($C$8='Ref1'!B304,'Ref1'!G304,0)</f>
        <v>0</v>
      </c>
      <c r="I37" s="661"/>
      <c r="J37" s="143"/>
      <c r="L37" s="722" t="s">
        <v>170</v>
      </c>
      <c r="M37" s="722"/>
      <c r="N37" s="722"/>
      <c r="O37" s="722"/>
      <c r="P37" s="722"/>
      <c r="Q37" s="740">
        <f>1-Q36</f>
        <v>0.36271227433964037</v>
      </c>
      <c r="R37" s="740"/>
      <c r="S37" s="666">
        <f>F46</f>
        <v>0.36271228433964603</v>
      </c>
      <c r="T37" s="666"/>
      <c r="U37" s="65"/>
      <c r="V37" s="287"/>
      <c r="AI37" s="79"/>
    </row>
    <row r="38" spans="1:35" s="40" customFormat="1" ht="12.75" customHeight="1">
      <c r="A38" s="667"/>
      <c r="B38" s="668"/>
      <c r="C38" s="668"/>
      <c r="D38" s="669"/>
      <c r="E38" s="670"/>
      <c r="F38" s="525">
        <f>IF($C$8='Ref1'!B305,'Ref1'!H305,0)</f>
        <v>0</v>
      </c>
      <c r="G38" s="532">
        <f>IF($C$8='Ref1'!B305,'Ref1'!F305,0)</f>
        <v>0</v>
      </c>
      <c r="H38" s="660">
        <f>IF($C$8='Ref1'!B305,'Ref1'!G305,0)</f>
        <v>0</v>
      </c>
      <c r="I38" s="661"/>
      <c r="J38" s="143"/>
      <c r="L38" s="145"/>
      <c r="S38" s="246"/>
      <c r="V38" s="287"/>
      <c r="AI38" s="79"/>
    </row>
    <row r="39" spans="1:35" s="40" customFormat="1" ht="12.75" customHeight="1">
      <c r="A39" s="667"/>
      <c r="B39" s="668"/>
      <c r="C39" s="668"/>
      <c r="D39" s="669"/>
      <c r="E39" s="670"/>
      <c r="F39" s="525">
        <f>IF($C$8='Ref1'!B306,'Ref1'!H306,0)</f>
        <v>0</v>
      </c>
      <c r="G39" s="532">
        <f>IF($C$8='Ref1'!B306,'Ref1'!F306,0)</f>
        <v>0</v>
      </c>
      <c r="H39" s="660">
        <f>IF($C$8='Ref1'!B306,'Ref1'!G306,0)</f>
        <v>0</v>
      </c>
      <c r="I39" s="661"/>
      <c r="J39" s="143"/>
      <c r="L39" s="145" t="s">
        <v>179</v>
      </c>
      <c r="S39" s="246"/>
      <c r="V39" s="287"/>
      <c r="AI39" s="79"/>
    </row>
    <row r="40" spans="1:35" s="40" customFormat="1" ht="12.75" customHeight="1">
      <c r="A40" s="667"/>
      <c r="B40" s="668"/>
      <c r="C40" s="668"/>
      <c r="D40" s="669"/>
      <c r="E40" s="670"/>
      <c r="F40" s="525">
        <f>IF($C$8='Ref1'!B307,'Ref1'!H307,0)</f>
        <v>0</v>
      </c>
      <c r="G40" s="532">
        <f>IF($C$8='Ref1'!B307,'Ref1'!F307,0)</f>
        <v>0</v>
      </c>
      <c r="H40" s="660">
        <f>IF($C$8='Ref1'!B307,'Ref1'!G307,0)</f>
        <v>0</v>
      </c>
      <c r="I40" s="661"/>
      <c r="J40" s="143"/>
      <c r="L40" s="145"/>
      <c r="O40"/>
      <c r="S40" s="435"/>
      <c r="T40" s="79"/>
      <c r="U40" s="79"/>
      <c r="V40" s="377"/>
      <c r="AI40" s="79"/>
    </row>
    <row r="41" spans="1:35" s="40" customFormat="1" ht="12.75" customHeight="1">
      <c r="A41" s="667"/>
      <c r="B41" s="668"/>
      <c r="C41" s="668"/>
      <c r="D41" s="669"/>
      <c r="E41" s="670"/>
      <c r="F41" s="525">
        <f>IF($C$8='Ref1'!B308,'Ref1'!H308,0)</f>
        <v>0</v>
      </c>
      <c r="G41" s="532">
        <f>IF($C$8='Ref1'!B308,'Ref1'!F308,0)</f>
        <v>0</v>
      </c>
      <c r="H41" s="660">
        <f>IF($C$8='Ref1'!B311,'Ref1'!G311,0)</f>
        <v>0</v>
      </c>
      <c r="I41" s="661"/>
      <c r="J41" s="143"/>
      <c r="L41" s="145"/>
      <c r="S41" s="435"/>
      <c r="T41" s="79"/>
      <c r="U41" s="79"/>
      <c r="V41" s="377"/>
      <c r="AI41" s="79"/>
    </row>
    <row r="42" spans="1:35" s="40" customFormat="1" ht="18.75" customHeight="1" thickBot="1">
      <c r="A42" s="481" t="s">
        <v>180</v>
      </c>
      <c r="B42" s="671"/>
      <c r="C42" s="672"/>
      <c r="D42" s="670"/>
      <c r="E42" s="737"/>
      <c r="F42" s="562"/>
      <c r="G42" s="562"/>
      <c r="H42" s="756">
        <v>0</v>
      </c>
      <c r="I42" s="757"/>
      <c r="J42" s="143"/>
      <c r="K42" s="266"/>
      <c r="L42" s="760" t="s">
        <v>181</v>
      </c>
      <c r="M42" s="747"/>
      <c r="N42" s="760" t="s">
        <v>182</v>
      </c>
      <c r="O42" s="769"/>
      <c r="P42" s="746" t="s">
        <v>183</v>
      </c>
      <c r="Q42" s="747"/>
      <c r="R42" s="746" t="s">
        <v>184</v>
      </c>
      <c r="S42" s="747"/>
      <c r="T42" s="79"/>
      <c r="U42" s="79"/>
      <c r="V42" s="377"/>
      <c r="AI42" s="79"/>
    </row>
    <row r="43" spans="1:35" s="40" customFormat="1" ht="29.25" customHeight="1" thickTop="1">
      <c r="A43" s="754" t="s">
        <v>164</v>
      </c>
      <c r="B43" s="755"/>
      <c r="C43" s="755"/>
      <c r="D43" s="755"/>
      <c r="E43" s="755"/>
      <c r="F43" s="530">
        <f>SUM(F34:F42)</f>
        <v>2595</v>
      </c>
      <c r="G43" s="530">
        <f>SUM(G34:G42)</f>
        <v>6500000</v>
      </c>
      <c r="H43" s="758">
        <f>SUM(H34:I42)</f>
        <v>0</v>
      </c>
      <c r="I43" s="759"/>
      <c r="J43" s="143"/>
      <c r="K43" s="267"/>
      <c r="L43" s="588" t="s">
        <v>185</v>
      </c>
      <c r="M43" s="376" t="s">
        <v>186</v>
      </c>
      <c r="N43" s="588" t="s">
        <v>185</v>
      </c>
      <c r="O43" s="376" t="s">
        <v>186</v>
      </c>
      <c r="P43" s="760" t="s">
        <v>187</v>
      </c>
      <c r="Q43" s="747"/>
      <c r="R43" s="760" t="s">
        <v>188</v>
      </c>
      <c r="S43" s="747"/>
      <c r="T43" s="79" t="s">
        <v>189</v>
      </c>
      <c r="U43" s="79"/>
      <c r="V43" s="377" t="s">
        <v>190</v>
      </c>
      <c r="AI43" s="79"/>
    </row>
    <row r="44" spans="1:35" s="40" customFormat="1" ht="25.5" customHeight="1">
      <c r="A44" s="288"/>
      <c r="F44" s="752"/>
      <c r="G44" s="753"/>
      <c r="H44" s="247"/>
      <c r="I44" s="245"/>
      <c r="J44" s="147"/>
      <c r="K44" s="265" t="str">
        <f>C7</f>
        <v>INR</v>
      </c>
      <c r="L44" s="591">
        <f>G43</f>
        <v>6500000</v>
      </c>
      <c r="M44" s="264">
        <f>IFERROR(L44/F43,0)</f>
        <v>2504.8169556840076</v>
      </c>
      <c r="N44" s="591">
        <f>G34</f>
        <v>6500000</v>
      </c>
      <c r="O44" s="264">
        <f>IFERROR(N44/V26,0)</f>
        <v>2504.8169556840076</v>
      </c>
      <c r="P44" s="761">
        <f>IFERROR(IF(AND(T44&lt;0,N44&lt;0),((T44*-1)-(N44*5%))/N44,(T44-(N44*5%))/N44),0)</f>
        <v>0.23835938461538461</v>
      </c>
      <c r="Q44" s="762"/>
      <c r="R44" s="761">
        <f>IFERROR(IF(AND(W44&lt;0,L44&lt;0),((W44*-1)-(G34*5%))/L44,(W44-(G34*5%))/L44),0)</f>
        <v>0.23835938461538461</v>
      </c>
      <c r="S44" s="762"/>
      <c r="T44" s="79">
        <f>IFERROR(N44-V44,0)</f>
        <v>1874336</v>
      </c>
      <c r="U44" s="79"/>
      <c r="V44" s="609">
        <f>IFERROR(BL26,0)</f>
        <v>4625664</v>
      </c>
      <c r="W44" s="76">
        <f>IFERROR(L44-V44-(G43-G34),0)</f>
        <v>1874336</v>
      </c>
      <c r="AI44" s="79"/>
    </row>
    <row r="45" spans="1:35" s="40" customFormat="1" ht="18" customHeight="1" thickBot="1">
      <c r="A45" s="288"/>
      <c r="F45" s="148"/>
      <c r="G45" s="245"/>
      <c r="H45" s="245"/>
      <c r="I45" s="245"/>
      <c r="J45" s="147"/>
      <c r="K45" s="262" t="s">
        <v>191</v>
      </c>
      <c r="L45" s="591">
        <f>(IFERROR((L44/VLOOKUP(K44,'Ref1'!$B$230:$C$236,2,FALSE)),0))*VLOOKUP($C$7,'Ref1'!$B$239:$C$240,2,0)</f>
        <v>6500000</v>
      </c>
      <c r="M45" s="264">
        <f>IFERROR(L45/(F43),0)</f>
        <v>2504.8169556840076</v>
      </c>
      <c r="N45" s="591">
        <f>(IFERROR((N44/VLOOKUP(K44,'Ref1'!$B$230:$C$236,2,FALSE)),0))*VLOOKUP($C$7,'Ref1'!$B$239:$C$240,2,0)</f>
        <v>6500000</v>
      </c>
      <c r="O45" s="264">
        <f>IFERROR(N45/V26,0)</f>
        <v>2504.8169556840076</v>
      </c>
      <c r="P45" s="763"/>
      <c r="Q45" s="764"/>
      <c r="R45" s="763"/>
      <c r="S45" s="764"/>
      <c r="T45" s="79">
        <f>IFERROR(N45-V45,0)</f>
        <v>6442538.3354037264</v>
      </c>
      <c r="U45" s="79"/>
      <c r="V45" s="377">
        <f>IFERROR(BK26,0)</f>
        <v>57461.664596273287</v>
      </c>
      <c r="AI45" s="79"/>
    </row>
    <row r="46" spans="1:35" s="40" customFormat="1" ht="12" customHeight="1" thickBot="1">
      <c r="A46" s="288"/>
      <c r="D46" s="117"/>
      <c r="E46" s="248" t="s">
        <v>192</v>
      </c>
      <c r="F46" s="748">
        <f>IFERROR(G34/Q33,0)</f>
        <v>0.36271228433964603</v>
      </c>
      <c r="G46" s="749"/>
      <c r="I46" s="249"/>
      <c r="S46" s="79"/>
      <c r="T46" s="79"/>
      <c r="U46" s="79"/>
      <c r="V46" s="377"/>
      <c r="AI46" s="79"/>
    </row>
    <row r="47" spans="1:35" s="40" customFormat="1" ht="12" customHeight="1">
      <c r="A47" s="289"/>
      <c r="B47"/>
      <c r="C47"/>
      <c r="D47"/>
      <c r="E47"/>
      <c r="F47"/>
      <c r="G47"/>
      <c r="I47" s="74"/>
      <c r="J47" s="117"/>
      <c r="K47" s="78"/>
      <c r="L47" s="765" t="s">
        <v>193</v>
      </c>
      <c r="M47" s="765"/>
      <c r="N47" s="765"/>
      <c r="O47" s="765"/>
      <c r="P47" s="765"/>
      <c r="Q47" s="765"/>
      <c r="R47" s="765"/>
      <c r="S47" s="765"/>
      <c r="T47" s="765"/>
      <c r="U47" s="765"/>
      <c r="V47" s="766"/>
      <c r="AI47" s="79"/>
    </row>
    <row r="48" spans="1:35" s="40" customFormat="1" ht="18.75" customHeight="1">
      <c r="A48" s="290"/>
      <c r="E48" s="117"/>
      <c r="F48" s="117"/>
      <c r="G48" s="117"/>
      <c r="H48" s="117"/>
      <c r="I48" s="117"/>
      <c r="J48" s="117"/>
      <c r="K48" s="117"/>
      <c r="L48" s="765"/>
      <c r="M48" s="765"/>
      <c r="N48" s="765"/>
      <c r="O48" s="765"/>
      <c r="P48" s="765"/>
      <c r="Q48" s="765"/>
      <c r="R48" s="765"/>
      <c r="S48" s="765"/>
      <c r="T48" s="765"/>
      <c r="U48" s="765"/>
      <c r="V48" s="766"/>
      <c r="AI48" s="79"/>
    </row>
    <row r="49" spans="1:35" s="40" customFormat="1" ht="31.5" customHeight="1">
      <c r="A49" s="291"/>
      <c r="B49" s="292"/>
      <c r="C49" s="292"/>
      <c r="D49" s="292"/>
      <c r="E49" s="293"/>
      <c r="F49" s="294"/>
      <c r="G49" s="293"/>
      <c r="H49" s="293"/>
      <c r="I49" s="293"/>
      <c r="J49" s="750"/>
      <c r="K49" s="750"/>
      <c r="L49" s="767"/>
      <c r="M49" s="767"/>
      <c r="N49" s="767"/>
      <c r="O49" s="767"/>
      <c r="P49" s="767"/>
      <c r="Q49" s="767"/>
      <c r="R49" s="767"/>
      <c r="S49" s="767"/>
      <c r="T49" s="767"/>
      <c r="U49" s="767"/>
      <c r="V49" s="768"/>
      <c r="AI49" s="79"/>
    </row>
    <row r="50" spans="1:35" s="40" customFormat="1" ht="12" customHeight="1">
      <c r="A50" s="117"/>
      <c r="B50" s="117"/>
      <c r="C50" s="117"/>
      <c r="D50" s="117"/>
      <c r="E50" s="117"/>
      <c r="F50" s="127"/>
      <c r="G50" s="127"/>
      <c r="H50" s="127"/>
      <c r="I50" s="127"/>
      <c r="J50" s="78"/>
      <c r="K50" s="78"/>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row>
    <row r="51" spans="1:35" s="40" customFormat="1" ht="12" customHeight="1">
      <c r="A51" s="117"/>
      <c r="B51" s="565"/>
      <c r="C51" s="130" t="s">
        <v>194</v>
      </c>
      <c r="D51" s="117"/>
      <c r="E51" s="117"/>
      <c r="F51" s="151" t="s">
        <v>195</v>
      </c>
      <c r="G51" s="128"/>
      <c r="H51" s="128"/>
      <c r="I51" s="128"/>
      <c r="J51" s="78"/>
      <c r="K51" s="78"/>
      <c r="L51" s="117"/>
      <c r="M51" s="117"/>
      <c r="N51" s="152" t="s">
        <v>196</v>
      </c>
      <c r="O51" s="117" t="s">
        <v>197</v>
      </c>
      <c r="P51" s="117"/>
      <c r="Q51" s="117"/>
      <c r="R51" s="117"/>
      <c r="S51" s="117"/>
      <c r="T51" s="117"/>
      <c r="U51" s="117"/>
      <c r="V51" s="117"/>
      <c r="W51" s="117"/>
      <c r="X51" s="117"/>
      <c r="Y51" s="117"/>
      <c r="Z51" s="117"/>
      <c r="AA51" s="117"/>
      <c r="AB51" s="117"/>
      <c r="AC51" s="117"/>
      <c r="AD51" s="117"/>
      <c r="AE51" s="117"/>
      <c r="AF51" s="117"/>
      <c r="AG51" s="117"/>
    </row>
    <row r="52" spans="1:35" s="40" customFormat="1" ht="12" customHeight="1">
      <c r="A52" s="78"/>
      <c r="B52" s="563"/>
      <c r="C52" s="130" t="s">
        <v>198</v>
      </c>
      <c r="D52" s="74"/>
      <c r="E52" s="117"/>
      <c r="F52" s="153" t="s">
        <v>199</v>
      </c>
      <c r="G52" s="153"/>
      <c r="H52" s="153"/>
      <c r="I52" s="153"/>
      <c r="J52" s="154"/>
      <c r="K52" s="154"/>
      <c r="L52" s="117"/>
      <c r="M52" s="117"/>
      <c r="N52" s="117"/>
      <c r="O52" s="117" t="s">
        <v>200</v>
      </c>
      <c r="P52" s="117"/>
      <c r="Q52" s="117"/>
      <c r="R52" s="117"/>
      <c r="S52" s="117"/>
      <c r="T52" s="117"/>
      <c r="U52" s="117"/>
      <c r="V52" s="117"/>
      <c r="W52" s="117"/>
      <c r="X52" s="117"/>
      <c r="Y52" s="117"/>
      <c r="Z52" s="117"/>
      <c r="AA52" s="117"/>
      <c r="AB52" s="117"/>
      <c r="AC52" s="117"/>
      <c r="AD52" s="117"/>
      <c r="AE52" s="117"/>
      <c r="AF52" s="117"/>
      <c r="AG52" s="117"/>
    </row>
    <row r="53" spans="1:35" ht="13.8">
      <c r="A53" s="78"/>
      <c r="B53" s="74"/>
      <c r="C53" s="74"/>
      <c r="D53" s="74"/>
      <c r="E53" s="74"/>
      <c r="F53" s="153" t="s">
        <v>201</v>
      </c>
      <c r="G53" s="74"/>
      <c r="H53" s="74"/>
      <c r="I53" s="74"/>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row>
    <row r="54" spans="1:35" ht="12.75" customHeight="1">
      <c r="A54" s="78"/>
      <c r="B54" s="74"/>
      <c r="C54" s="74"/>
      <c r="D54" s="74"/>
      <c r="E54" s="74"/>
      <c r="F54" s="74"/>
      <c r="G54" s="74"/>
      <c r="H54" s="74"/>
      <c r="I54" s="74"/>
      <c r="J54" s="78"/>
      <c r="K54" s="78"/>
      <c r="L54" s="78"/>
      <c r="M54" s="78"/>
      <c r="N54" s="78"/>
    </row>
    <row r="55" spans="1:35" ht="22.5" customHeight="1">
      <c r="A55" s="84"/>
      <c r="B55" s="257"/>
      <c r="C55" s="258"/>
      <c r="D55" s="258"/>
      <c r="E55" s="258"/>
      <c r="F55" s="479" t="s">
        <v>202</v>
      </c>
      <c r="G55" s="480" t="s">
        <v>203</v>
      </c>
      <c r="H55" s="479" t="s">
        <v>204</v>
      </c>
      <c r="I55" s="478"/>
      <c r="J55" s="478"/>
      <c r="K55" s="478"/>
      <c r="L55" s="78"/>
      <c r="M55" s="78"/>
      <c r="N55" s="78"/>
      <c r="T55" s="82"/>
      <c r="U55" s="82"/>
      <c r="V55" s="326"/>
    </row>
    <row r="56" spans="1:35" ht="21" hidden="1" customHeight="1">
      <c r="A56" s="751"/>
      <c r="B56" s="751"/>
      <c r="C56" s="259"/>
      <c r="D56" s="259"/>
      <c r="E56" s="260"/>
      <c r="F56" s="92"/>
      <c r="G56" s="74"/>
      <c r="H56" s="74"/>
      <c r="I56" s="74"/>
      <c r="J56" s="78"/>
      <c r="K56" s="78"/>
      <c r="L56" s="78"/>
      <c r="M56" s="78"/>
      <c r="N56" s="78"/>
    </row>
    <row r="57" spans="1:35" ht="6.75" hidden="1" customHeight="1">
      <c r="A57" s="78"/>
      <c r="B57" s="74"/>
      <c r="C57" s="74"/>
      <c r="D57" s="74"/>
      <c r="E57" s="74"/>
      <c r="F57" s="74"/>
      <c r="G57" s="74"/>
      <c r="H57" s="74"/>
      <c r="I57" s="74"/>
      <c r="J57" s="78"/>
      <c r="K57" s="78"/>
      <c r="L57" s="78"/>
      <c r="M57" s="78"/>
      <c r="N57" s="78"/>
    </row>
    <row r="58" spans="1:35" ht="18" hidden="1">
      <c r="A58" s="78"/>
      <c r="B58" s="74"/>
      <c r="C58" s="74"/>
      <c r="D58" s="74"/>
      <c r="E58" s="74"/>
      <c r="F58" s="74"/>
      <c r="G58" s="74"/>
      <c r="H58" s="74"/>
      <c r="I58" s="74"/>
      <c r="J58" s="78"/>
      <c r="K58" s="78"/>
      <c r="L58" s="78"/>
      <c r="M58" s="78"/>
      <c r="N58" s="78"/>
      <c r="T58" s="82"/>
      <c r="U58" s="82"/>
      <c r="V58" s="155"/>
    </row>
    <row r="61" spans="1:35" ht="12.75" customHeight="1"/>
    <row r="62" spans="1:35" ht="12.75" customHeight="1"/>
    <row r="63" spans="1:35" ht="12.75" customHeight="1"/>
  </sheetData>
  <sheetProtection algorithmName="SHA-512" hashValue="v2vN4GZyF9Y2J9lox0Pc7FSc37ywmfds3mm7Zd/0Wc3EO940DsCcoT/OtL8gvJvzKk8i3jm+RCmAyRBzRSdKLA==" saltValue="OjD5wPANkMA2X6cIG7IVfw==" spinCount="100000" sheet="1" selectLockedCells="1"/>
  <mergeCells count="113">
    <mergeCell ref="P42:Q42"/>
    <mergeCell ref="F46:G46"/>
    <mergeCell ref="J49:K49"/>
    <mergeCell ref="A56:B56"/>
    <mergeCell ref="F44:G44"/>
    <mergeCell ref="D42:E42"/>
    <mergeCell ref="A43:E43"/>
    <mergeCell ref="H42:I42"/>
    <mergeCell ref="H43:I43"/>
    <mergeCell ref="P43:Q43"/>
    <mergeCell ref="P44:Q45"/>
    <mergeCell ref="L47:V49"/>
    <mergeCell ref="R42:S42"/>
    <mergeCell ref="R43:S43"/>
    <mergeCell ref="R44:S45"/>
    <mergeCell ref="L42:M42"/>
    <mergeCell ref="N42:O42"/>
    <mergeCell ref="A35:C35"/>
    <mergeCell ref="D35:E35"/>
    <mergeCell ref="S35:T35"/>
    <mergeCell ref="A36:C36"/>
    <mergeCell ref="D36:E36"/>
    <mergeCell ref="S36:T36"/>
    <mergeCell ref="A37:C37"/>
    <mergeCell ref="D37:E37"/>
    <mergeCell ref="Q37:R37"/>
    <mergeCell ref="L36:P36"/>
    <mergeCell ref="L37:P37"/>
    <mergeCell ref="H35:I35"/>
    <mergeCell ref="H36:I36"/>
    <mergeCell ref="H37:I37"/>
    <mergeCell ref="Q36:R36"/>
    <mergeCell ref="Q35:R35"/>
    <mergeCell ref="L35:P35"/>
    <mergeCell ref="M32:P32"/>
    <mergeCell ref="S32:T32"/>
    <mergeCell ref="H29:I29"/>
    <mergeCell ref="A32:C32"/>
    <mergeCell ref="D32:E32"/>
    <mergeCell ref="A31:G31"/>
    <mergeCell ref="L33:P33"/>
    <mergeCell ref="L34:P34"/>
    <mergeCell ref="A33:C33"/>
    <mergeCell ref="J29:L29"/>
    <mergeCell ref="M29:N29"/>
    <mergeCell ref="L31:T31"/>
    <mergeCell ref="O29:T29"/>
    <mergeCell ref="D33:E33"/>
    <mergeCell ref="A34:C34"/>
    <mergeCell ref="D34:E34"/>
    <mergeCell ref="S6:S7"/>
    <mergeCell ref="T6:T7"/>
    <mergeCell ref="V6:V7"/>
    <mergeCell ref="K6:K7"/>
    <mergeCell ref="H6:I6"/>
    <mergeCell ref="AJ6:AW6"/>
    <mergeCell ref="AY6:BL6"/>
    <mergeCell ref="L6:L7"/>
    <mergeCell ref="M6:M7"/>
    <mergeCell ref="N6:N7"/>
    <mergeCell ref="O6:O7"/>
    <mergeCell ref="P6:P7"/>
    <mergeCell ref="Q6:Q7"/>
    <mergeCell ref="R6:R7"/>
    <mergeCell ref="J6:J7"/>
    <mergeCell ref="U6:U7"/>
    <mergeCell ref="C4:D4"/>
    <mergeCell ref="C5:D5"/>
    <mergeCell ref="C6:D6"/>
    <mergeCell ref="F6:G7"/>
    <mergeCell ref="F14:G14"/>
    <mergeCell ref="F15:G15"/>
    <mergeCell ref="F16:G16"/>
    <mergeCell ref="F17:G17"/>
    <mergeCell ref="F18:G18"/>
    <mergeCell ref="C7:D7"/>
    <mergeCell ref="C8:D8"/>
    <mergeCell ref="F8:G8"/>
    <mergeCell ref="F9:G9"/>
    <mergeCell ref="F10:G10"/>
    <mergeCell ref="F11:G11"/>
    <mergeCell ref="F12:G12"/>
    <mergeCell ref="F13:G13"/>
    <mergeCell ref="F19:G19"/>
    <mergeCell ref="F23:G23"/>
    <mergeCell ref="F24:G24"/>
    <mergeCell ref="F25:G25"/>
    <mergeCell ref="F26:G26"/>
    <mergeCell ref="H33:I33"/>
    <mergeCell ref="H34:I34"/>
    <mergeCell ref="F20:G20"/>
    <mergeCell ref="F21:G21"/>
    <mergeCell ref="F22:G22"/>
    <mergeCell ref="H28:I28"/>
    <mergeCell ref="G32:I32"/>
    <mergeCell ref="A41:C41"/>
    <mergeCell ref="D41:E41"/>
    <mergeCell ref="B42:C42"/>
    <mergeCell ref="A38:C38"/>
    <mergeCell ref="D38:E38"/>
    <mergeCell ref="A39:C39"/>
    <mergeCell ref="D39:E39"/>
    <mergeCell ref="A40:C40"/>
    <mergeCell ref="D40:E40"/>
    <mergeCell ref="H38:I38"/>
    <mergeCell ref="H39:I39"/>
    <mergeCell ref="H40:I40"/>
    <mergeCell ref="H41:I41"/>
    <mergeCell ref="Q33:R33"/>
    <mergeCell ref="S33:T33"/>
    <mergeCell ref="Q34:R34"/>
    <mergeCell ref="S34:T34"/>
    <mergeCell ref="S37:T37"/>
  </mergeCells>
  <conditionalFormatting sqref="H46">
    <cfRule type="colorScale" priority="15">
      <colorScale>
        <cfvo type="num" val="0.59499999999999997"/>
        <cfvo type="num" val="0.6"/>
        <color rgb="FFF8696B"/>
        <color rgb="FF63BE7B"/>
      </colorScale>
    </cfRule>
  </conditionalFormatting>
  <conditionalFormatting sqref="J29:L29">
    <cfRule type="cellIs" dxfId="44" priority="8" operator="greaterThan">
      <formula>$J$28+$K$28+$L$28</formula>
    </cfRule>
  </conditionalFormatting>
  <conditionalFormatting sqref="M29:N29">
    <cfRule type="cellIs" dxfId="43" priority="7" operator="greaterThan">
      <formula>$M$28+$N$28</formula>
    </cfRule>
  </conditionalFormatting>
  <conditionalFormatting sqref="O29:U29">
    <cfRule type="cellIs" dxfId="42" priority="6" operator="greaterThan">
      <formula>$O$28+$P$28+$Q$28+$R$28+$S$28+$T$28</formula>
    </cfRule>
  </conditionalFormatting>
  <conditionalFormatting sqref="F46:G46">
    <cfRule type="colorScale" priority="5">
      <colorScale>
        <cfvo type="num" val="0.59499999999999997"/>
        <cfvo type="num" val="0.6"/>
        <color rgb="FFF8696B"/>
        <color rgb="FF63BE7B"/>
      </colorScale>
    </cfRule>
  </conditionalFormatting>
  <conditionalFormatting sqref="P44">
    <cfRule type="colorScale" priority="4">
      <colorScale>
        <cfvo type="num" val="0.3"/>
        <cfvo type="num" val="0.30499999999999999"/>
        <color rgb="FFF8696B"/>
        <color rgb="FF63BE7B"/>
      </colorScale>
    </cfRule>
  </conditionalFormatting>
  <conditionalFormatting sqref="H47">
    <cfRule type="colorScale" priority="3">
      <colorScale>
        <cfvo type="num" val="0.59499999999999997"/>
        <cfvo type="num" val="0.6"/>
        <color rgb="FFF8696B"/>
        <color rgb="FF63BE7B"/>
      </colorScale>
    </cfRule>
  </conditionalFormatting>
  <conditionalFormatting sqref="R44">
    <cfRule type="colorScale" priority="1">
      <colorScale>
        <cfvo type="num" val="0.3"/>
        <cfvo type="num" val="0.30499999999999999"/>
        <color rgb="FFF8696B"/>
        <color rgb="FF63BE7B"/>
      </colorScale>
    </cfRule>
  </conditionalFormatting>
  <dataValidations count="6">
    <dataValidation type="list" allowBlank="1" showInputMessage="1" showErrorMessage="1" sqref="E10" xr:uid="{00000000-0002-0000-0300-000000000000}">
      <formula1>"Fixed (incl. Outlays), Fixed (Excl. Outlays),Time and Material"</formula1>
    </dataValidation>
    <dataValidation type="list" allowBlank="1" showInputMessage="1" showErrorMessage="1" sqref="E9" xr:uid="{00000000-0002-0000-0300-000001000000}">
      <formula1>CurrencyCode</formula1>
    </dataValidation>
    <dataValidation type="list" allowBlank="1" showInputMessage="1" showErrorMessage="1" sqref="V3 E5" xr:uid="{00000000-0002-0000-0300-000002000000}">
      <formula1>BusinessUnits</formula1>
    </dataValidation>
    <dataValidation type="decimal" allowBlank="1" showInputMessage="1" showErrorMessage="1" sqref="G34:G42 F42 J34:J42 J8:U25" xr:uid="{00000000-0002-0000-0300-000003000000}">
      <formula1>0</formula1>
      <formula2>9999999999</formula2>
    </dataValidation>
    <dataValidation type="textLength" allowBlank="1" showInputMessage="1" showErrorMessage="1" sqref="E11:E30" xr:uid="{00000000-0002-0000-0300-000004000000}">
      <formula1>0</formula1>
      <formula2>50</formula2>
    </dataValidation>
    <dataValidation type="list" errorStyle="information" allowBlank="1" showInputMessage="1" showErrorMessage="1" sqref="H8:H25" xr:uid="{00000000-0002-0000-0300-000005000000}">
      <formula1>"India"</formula1>
    </dataValidation>
  </dataValidations>
  <printOptions horizontalCentered="1"/>
  <pageMargins left="0.5" right="0.5" top="1" bottom="0.5" header="0.33" footer="0.25"/>
  <pageSetup paperSize="9" scale="61"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inSheet">
                <anchor>
                  <from>
                    <xdr:col>5</xdr:col>
                    <xdr:colOff>205740</xdr:colOff>
                    <xdr:row>1</xdr:row>
                    <xdr:rowOff>0</xdr:rowOff>
                  </from>
                  <to>
                    <xdr:col>5</xdr:col>
                    <xdr:colOff>1196340</xdr:colOff>
                    <xdr:row>3</xdr:row>
                    <xdr:rowOff>0</xdr:rowOff>
                  </to>
                </anchor>
              </controlPr>
            </control>
          </mc:Choice>
        </mc:AlternateContent>
        <mc:AlternateContent xmlns:mc="http://schemas.openxmlformats.org/markup-compatibility/2006">
          <mc:Choice Requires="x14">
            <control shapeId="14338" r:id="rId5" name="Button 2">
              <controlPr defaultSize="0" print="0" autoFill="0" autoPict="0" macro="[0]!Billings">
                <anchor>
                  <from>
                    <xdr:col>5</xdr:col>
                    <xdr:colOff>1432560</xdr:colOff>
                    <xdr:row>0</xdr:row>
                    <xdr:rowOff>137160</xdr:rowOff>
                  </from>
                  <to>
                    <xdr:col>6</xdr:col>
                    <xdr:colOff>396240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6000000}">
          <x14:formula1>
            <xm:f>'Ref1'!$G$278:$G$280</xm:f>
          </x14:formula1>
          <xm:sqref>B42:C42</xm:sqref>
        </x14:dataValidation>
        <x14:dataValidation type="list" allowBlank="1" showInputMessage="1" showErrorMessage="1" xr:uid="{00000000-0002-0000-0300-000009000000}">
          <x14:formula1>
            <xm:f>'Ref1'!$A$278:$A$281</xm:f>
          </x14:formula1>
          <xm:sqref>A35:C41</xm:sqref>
        </x14:dataValidation>
        <x14:dataValidation type="list" errorStyle="warning" allowBlank="1" showInputMessage="1" showErrorMessage="1" errorTitle="Please Review" error="You are about to change the service line on the task. _x000a__x000a_Please proceed if this is right." xr:uid="{318DAFC0-F06D-4277-A1A6-5E760128F927}">
          <x14:formula1>
            <xm:f>'Ref1'!$C$244:$C$254</xm:f>
          </x14:formula1>
          <xm:sqref>I8:I25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XFC75"/>
  <sheetViews>
    <sheetView showGridLines="0" showZeros="0" zoomScale="75" zoomScaleNormal="76" zoomScaleSheetLayoutView="85" workbookViewId="0">
      <selection activeCell="H8" sqref="H8:P8"/>
    </sheetView>
  </sheetViews>
  <sheetFormatPr defaultColWidth="0" defaultRowHeight="0" customHeight="1" zeroHeight="1"/>
  <cols>
    <col min="1" max="1" width="20.5546875" style="57" customWidth="1"/>
    <col min="2" max="2" width="11.109375" style="65" customWidth="1"/>
    <col min="3" max="3" width="19.5546875" style="65" customWidth="1"/>
    <col min="4" max="4" width="11.109375" style="65" bestFit="1" customWidth="1"/>
    <col min="5" max="5" width="20.109375" style="65" bestFit="1" customWidth="1"/>
    <col min="6" max="6" width="25.5546875" style="65" customWidth="1"/>
    <col min="7" max="7" width="14.44140625" style="65" customWidth="1"/>
    <col min="8" max="8" width="15.6640625" style="65" bestFit="1" customWidth="1"/>
    <col min="9" max="9" width="11" style="65" customWidth="1"/>
    <col min="10" max="10" width="10.5546875" style="57" customWidth="1"/>
    <col min="11" max="19" width="10.109375" style="57" bestFit="1" customWidth="1"/>
    <col min="20" max="20" width="8.33203125" style="57" bestFit="1" customWidth="1"/>
    <col min="21" max="21" width="10.109375" style="57" bestFit="1" customWidth="1"/>
    <col min="22" max="22" width="21.6640625" style="57" customWidth="1"/>
    <col min="23" max="23" width="22.6640625" style="57" customWidth="1"/>
    <col min="24" max="24" width="4.6640625" style="57" customWidth="1"/>
    <col min="25" max="25" width="2" style="57" hidden="1"/>
    <col min="26" max="33" width="0.44140625" style="57" hidden="1"/>
    <col min="34" max="35" width="10.5546875" style="57" hidden="1"/>
    <col min="36" max="36" width="7.5546875" style="57" hidden="1"/>
    <col min="37" max="37" width="5.44140625" style="57" hidden="1"/>
    <col min="38" max="38" width="7.5546875" style="57" hidden="1"/>
    <col min="39" max="39" width="5.44140625" style="57" hidden="1"/>
    <col min="40" max="47" width="7.5546875" style="57" hidden="1"/>
    <col min="48" max="48" width="7.33203125" style="57" hidden="1"/>
    <col min="49" max="49" width="7.6640625" style="57" hidden="1"/>
    <col min="50" max="50" width="10.5546875" style="57" hidden="1"/>
    <col min="51" max="51" width="7.5546875" style="57" hidden="1"/>
    <col min="52" max="52" width="5.44140625" style="57" hidden="1"/>
    <col min="53" max="53" width="7.5546875" style="57" hidden="1"/>
    <col min="54" max="54" width="3.6640625" style="57" hidden="1"/>
    <col min="55" max="62" width="7.5546875" style="57" hidden="1"/>
    <col min="63" max="63" width="6.44140625" style="57" hidden="1"/>
    <col min="64" max="64" width="7.6640625" style="57" hidden="1"/>
    <col min="65" max="16383" width="0.44140625" style="57" hidden="1"/>
    <col min="16384" max="16384" width="2" style="57" hidden="1"/>
  </cols>
  <sheetData>
    <row r="1" spans="1:64" ht="11.25" customHeight="1">
      <c r="A1" s="268" t="str">
        <f>MainSheet!A1</f>
        <v>Protiviti Member Firm (India)</v>
      </c>
      <c r="B1" s="269"/>
      <c r="C1" s="269"/>
      <c r="D1" s="269"/>
      <c r="E1" s="270"/>
      <c r="F1" s="270"/>
      <c r="G1" s="270"/>
      <c r="H1" s="270"/>
      <c r="I1" s="270"/>
      <c r="J1" s="270"/>
      <c r="K1" s="270"/>
      <c r="L1" s="270"/>
      <c r="M1" s="270"/>
      <c r="N1" s="270"/>
      <c r="O1" s="270"/>
      <c r="P1" s="271"/>
      <c r="Q1" s="272"/>
      <c r="R1" s="272"/>
      <c r="S1" s="272"/>
      <c r="T1" s="272"/>
      <c r="U1" s="272"/>
      <c r="V1" s="273" t="str">
        <f>MainSheet!J1</f>
        <v>Project_Template_2023_Apr.23</v>
      </c>
      <c r="AI1" s="76"/>
    </row>
    <row r="2" spans="1:64" ht="11.25" customHeight="1">
      <c r="A2" s="274" t="s">
        <v>205</v>
      </c>
      <c r="B2" s="59"/>
      <c r="C2" s="59"/>
      <c r="D2" s="59"/>
      <c r="E2" s="60"/>
      <c r="F2" s="60"/>
      <c r="G2" s="60"/>
      <c r="H2" s="60"/>
      <c r="I2" s="60"/>
      <c r="J2" s="61"/>
      <c r="K2" s="61"/>
      <c r="L2" s="61"/>
      <c r="M2" s="61"/>
      <c r="N2" s="61"/>
      <c r="O2" s="61"/>
      <c r="P2" s="62"/>
      <c r="Q2" s="62"/>
      <c r="R2" s="62"/>
      <c r="S2" s="62"/>
      <c r="T2" s="62"/>
      <c r="U2" s="62"/>
      <c r="V2" s="275"/>
      <c r="AI2" s="76"/>
    </row>
    <row r="3" spans="1:64" ht="11.25" customHeight="1">
      <c r="A3" s="276"/>
      <c r="B3" s="60"/>
      <c r="C3" s="60"/>
      <c r="D3" s="60"/>
      <c r="E3" s="60"/>
      <c r="F3" s="60"/>
      <c r="G3" s="60"/>
      <c r="H3" s="60"/>
      <c r="I3" s="60"/>
      <c r="J3" s="61"/>
      <c r="K3" s="61"/>
      <c r="L3" s="61"/>
      <c r="M3" s="61"/>
      <c r="N3" s="61"/>
      <c r="O3" s="61"/>
      <c r="P3" s="62"/>
      <c r="Q3" s="62"/>
      <c r="R3" s="62"/>
      <c r="S3" s="62"/>
      <c r="T3" s="62"/>
      <c r="U3" s="62"/>
      <c r="V3" s="275"/>
      <c r="W3" s="40"/>
    </row>
    <row r="4" spans="1:64" ht="11.25" customHeight="1">
      <c r="A4" s="623" t="str">
        <f>MainSheet!A6</f>
        <v>Organisation:</v>
      </c>
      <c r="B4" s="624"/>
      <c r="C4" s="685" t="str">
        <f>IF(MainSheet!B6="","",MainSheet!B6&amp;" - "&amp;MainSheet!D6)</f>
        <v>India - R&amp;C</v>
      </c>
      <c r="D4" s="686"/>
      <c r="E4" s="60"/>
      <c r="F4" s="60"/>
      <c r="G4" s="60"/>
      <c r="H4" s="60"/>
      <c r="I4" s="60"/>
      <c r="J4" s="61"/>
      <c r="K4" s="61"/>
      <c r="L4" s="61"/>
      <c r="M4" s="61"/>
      <c r="N4" s="61"/>
      <c r="O4" s="61"/>
      <c r="P4" s="62"/>
      <c r="Q4" s="62"/>
      <c r="R4" s="62"/>
      <c r="S4" s="62"/>
      <c r="T4" s="62"/>
      <c r="U4" s="62"/>
      <c r="V4" s="275"/>
    </row>
    <row r="5" spans="1:64" ht="13.5" customHeight="1" thickBot="1">
      <c r="A5" s="277" t="str">
        <f>MainSheet!A8</f>
        <v>Client Legal Name:</v>
      </c>
      <c r="B5" s="64"/>
      <c r="C5" s="687" t="str">
        <f>MainSheet!B8</f>
        <v>HSBC</v>
      </c>
      <c r="D5" s="688"/>
      <c r="E5" s="60"/>
      <c r="F5" s="135" t="s">
        <v>124</v>
      </c>
      <c r="P5" s="66"/>
      <c r="Q5" s="66"/>
      <c r="R5" s="66"/>
      <c r="S5" s="66"/>
      <c r="T5" s="66"/>
      <c r="U5" s="66"/>
      <c r="V5" s="278"/>
      <c r="W5" s="67"/>
      <c r="X5" s="67"/>
      <c r="Y5" s="66"/>
      <c r="Z5" s="66"/>
      <c r="AA5" s="66"/>
      <c r="AB5" s="66"/>
    </row>
    <row r="6" spans="1:64" ht="14.25" customHeight="1" thickBot="1">
      <c r="A6" s="277" t="str">
        <f>MainSheet!F8</f>
        <v>Project Description:</v>
      </c>
      <c r="B6" s="64"/>
      <c r="C6" s="687" t="str">
        <f>MainSheet!G8</f>
        <v>CCM Project</v>
      </c>
      <c r="D6" s="688"/>
      <c r="E6" s="68"/>
      <c r="F6" s="689" t="s">
        <v>125</v>
      </c>
      <c r="G6" s="690"/>
      <c r="H6" s="700" t="s">
        <v>126</v>
      </c>
      <c r="I6" s="701"/>
      <c r="J6" s="705" t="str">
        <f>PRFIIO!J6</f>
        <v>MD</v>
      </c>
      <c r="K6" s="705" t="str">
        <f>PRFIIO!K6</f>
        <v>SD</v>
      </c>
      <c r="L6" s="705" t="str">
        <f>PRFIIO!L6</f>
        <v>DIR</v>
      </c>
      <c r="M6" s="705" t="str">
        <f>PRFIIO!M6</f>
        <v>AD</v>
      </c>
      <c r="N6" s="705" t="str">
        <f>PRFIIO!N6</f>
        <v>SR. MGR</v>
      </c>
      <c r="O6" s="705" t="str">
        <f>PRFIIO!O6</f>
        <v>MGR</v>
      </c>
      <c r="P6" s="705" t="str">
        <f>PRFIIO!P6</f>
        <v>DM</v>
      </c>
      <c r="Q6" s="705" t="str">
        <f>PRFIIO!Q6</f>
        <v>SR. CONS.</v>
      </c>
      <c r="R6" s="705" t="str">
        <f>PRFIIO!R6</f>
        <v>CON3</v>
      </c>
      <c r="S6" s="705" t="str">
        <f>PRFIIO!S6</f>
        <v>CON2</v>
      </c>
      <c r="T6" s="705" t="str">
        <f>PRFIIO!T6</f>
        <v>CON1</v>
      </c>
      <c r="U6" s="706" t="s">
        <v>138</v>
      </c>
      <c r="V6" s="697" t="s">
        <v>139</v>
      </c>
      <c r="W6" s="67"/>
      <c r="X6" s="67"/>
      <c r="Y6" s="66"/>
      <c r="Z6" s="66"/>
      <c r="AA6" s="66"/>
      <c r="AB6" s="66"/>
      <c r="AJ6" s="702" t="s">
        <v>140</v>
      </c>
      <c r="AK6" s="703"/>
      <c r="AL6" s="703"/>
      <c r="AM6" s="703"/>
      <c r="AN6" s="703"/>
      <c r="AO6" s="703"/>
      <c r="AP6" s="703"/>
      <c r="AQ6" s="703"/>
      <c r="AR6" s="703"/>
      <c r="AS6" s="703"/>
      <c r="AT6" s="703"/>
      <c r="AU6" s="703"/>
      <c r="AV6" s="703"/>
      <c r="AW6" s="704"/>
      <c r="AY6" s="702" t="s">
        <v>141</v>
      </c>
      <c r="AZ6" s="703"/>
      <c r="BA6" s="703"/>
      <c r="BB6" s="703"/>
      <c r="BC6" s="703"/>
      <c r="BD6" s="703"/>
      <c r="BE6" s="703"/>
      <c r="BF6" s="703"/>
      <c r="BG6" s="703"/>
      <c r="BH6" s="703"/>
      <c r="BI6" s="703"/>
      <c r="BJ6" s="703"/>
      <c r="BK6" s="703"/>
      <c r="BL6" s="704"/>
    </row>
    <row r="7" spans="1:64" s="66" customFormat="1" ht="15.75" customHeight="1">
      <c r="A7" s="277" t="str">
        <f>MainSheet!A9</f>
        <v>Billing Currency:</v>
      </c>
      <c r="B7" s="69"/>
      <c r="C7" s="687" t="str">
        <f>MainSheet!B9</f>
        <v>INR</v>
      </c>
      <c r="D7" s="688"/>
      <c r="E7" s="244"/>
      <c r="F7" s="691"/>
      <c r="G7" s="692"/>
      <c r="H7" s="436" t="s">
        <v>2</v>
      </c>
      <c r="I7" s="437" t="s">
        <v>142</v>
      </c>
      <c r="J7" s="699"/>
      <c r="K7" s="699"/>
      <c r="L7" s="699"/>
      <c r="M7" s="699"/>
      <c r="N7" s="699"/>
      <c r="O7" s="699"/>
      <c r="P7" s="699"/>
      <c r="Q7" s="699"/>
      <c r="R7" s="699"/>
      <c r="S7" s="699"/>
      <c r="T7" s="699"/>
      <c r="U7" s="707"/>
      <c r="V7" s="698"/>
      <c r="AV7" s="136" t="s">
        <v>143</v>
      </c>
      <c r="AW7" s="136" t="s">
        <v>144</v>
      </c>
      <c r="BK7" s="137" t="str">
        <f>AV7</f>
        <v>Sum USD</v>
      </c>
      <c r="BL7" s="137" t="str">
        <f>AW7</f>
        <v>SUM (BC)</v>
      </c>
    </row>
    <row r="8" spans="1:64" s="66" customFormat="1" ht="11.25" customHeight="1">
      <c r="A8" s="279" t="str">
        <f>MainSheet!A12</f>
        <v>Project Type:</v>
      </c>
      <c r="B8" s="70"/>
      <c r="C8" s="687" t="s">
        <v>206</v>
      </c>
      <c r="D8" s="688"/>
      <c r="E8" s="67"/>
      <c r="F8" s="862"/>
      <c r="G8" s="864"/>
      <c r="H8" s="566"/>
      <c r="I8" s="567"/>
      <c r="J8" s="625"/>
      <c r="K8" s="625"/>
      <c r="L8" s="625"/>
      <c r="M8" s="625"/>
      <c r="N8" s="625"/>
      <c r="O8" s="625"/>
      <c r="P8" s="625"/>
      <c r="Q8" s="625"/>
      <c r="R8" s="625"/>
      <c r="S8" s="625"/>
      <c r="T8" s="625"/>
      <c r="U8" s="625"/>
      <c r="V8" s="626">
        <f t="shared" ref="V8:V23" si="0">SUM(J8:U8)</f>
        <v>0</v>
      </c>
      <c r="AH8" s="66" t="str">
        <f>AI8</f>
        <v xml:space="preserve"> - </v>
      </c>
      <c r="AI8" s="66" t="str">
        <f>H8&amp;" - "&amp;I8</f>
        <v xml:space="preserve"> - </v>
      </c>
      <c r="AJ8" s="138">
        <f>IF(I8="",0,MAX((IFERROR((VLOOKUP((AH8&amp;$J$6),Ratesheet!$F$5:$J$455,4,FALSE)*J8),0)),(IFERROR((VLOOKUP((AI8&amp;$J$6),Ratesheet!$F$5:$J$455,4,FALSE)*J8),0))))</f>
        <v>0</v>
      </c>
      <c r="AK8" s="138">
        <f>IF(I8="",0,MAX((IFERROR((VLOOKUP((AH8&amp;$K$6),Ratesheet!$F$5:$J$455,4,FALSE)*K8),0)),(IFERROR((VLOOKUP((AI8&amp;$K$6),Ratesheet!$F$5:$J$455,4,FALSE)*K8),0))))</f>
        <v>0</v>
      </c>
      <c r="AL8" s="138">
        <f>IF(I8="",0,MAX((IFERROR((VLOOKUP((AH8&amp;$L$6),Ratesheet!$F$5:$J$455,4,FALSE)*L8),0)),(IFERROR((VLOOKUP((AI8&amp;$L$6),Ratesheet!$F$5:$J$455,4,FALSE)*L8),0))))</f>
        <v>0</v>
      </c>
      <c r="AM8" s="138">
        <f>IF(I8="",0,MAX((IFERROR((VLOOKUP((AH8&amp;$M$6),Ratesheet!$F$5:$J$455,4,FALSE)*M8),0)),(IFERROR((VLOOKUP((AI8&amp;$M$6),Ratesheet!$F$5:$J$455,4,FALSE)*M8),0))))</f>
        <v>0</v>
      </c>
      <c r="AN8" s="138">
        <f>IF(I8="",0,MAX((IFERROR((VLOOKUP((AH8&amp;$N$6),Ratesheet!$F$5:$J$455,4,FALSE)*N8),0)),(IFERROR((VLOOKUP((AI8&amp;$N$6),Ratesheet!$F$5:$J$455,4,FALSE)*N8),0))))</f>
        <v>0</v>
      </c>
      <c r="AO8" s="138">
        <f>IF(I8="",0,MAX((IFERROR((VLOOKUP((AH8&amp;$O$6),Ratesheet!$F$5:$J$455,4,FALSE)*O8),0)),(IFERROR((VLOOKUP((AI8&amp;$O$6),Ratesheet!$F$5:$J$455,4,FALSE)*O8),0))))</f>
        <v>0</v>
      </c>
      <c r="AP8" s="138">
        <f>IF(I8="",0,MAX((IFERROR((VLOOKUP((AH8&amp;$P$6),Ratesheet!$F$5:$J$455,4,FALSE)*P8),0)),(IFERROR((VLOOKUP((AI8&amp;$P$6),Ratesheet!$F$5:$J$455,4,FALSE)*P8),0))))</f>
        <v>0</v>
      </c>
      <c r="AQ8" s="138">
        <f>IF(I8="",0,MAX((IFERROR((VLOOKUP((AH8&amp;$Q$6),Ratesheet!$F$5:$J$455,4,FALSE)*Q8),0)),(IFERROR((VLOOKUP((AI8&amp;$Q$6),Ratesheet!$F$5:$J$455,4,FALSE)*Q8),0))))</f>
        <v>0</v>
      </c>
      <c r="AR8" s="138">
        <f>IF(I8="",0,MAX((IFERROR((VLOOKUP((AH8&amp;$R$6),Ratesheet!$F$5:$J$455,4,FALSE)*R8),0)),(IFERROR((VLOOKUP((AI8&amp;$R$6),Ratesheet!$F$5:$J$455,4,FALSE)*R8),0))))</f>
        <v>0</v>
      </c>
      <c r="AS8" s="138">
        <f>IF(I8="",0,MAX((IFERROR((VLOOKUP((AH8&amp;$S$6),Ratesheet!$F$5:$J$455,4,FALSE)*S8),0)),(IFERROR((VLOOKUP((AI8&amp;$S$6),Ratesheet!$F$5:$J$455,4,FALSE)*S8),0))))</f>
        <v>0</v>
      </c>
      <c r="AT8" s="138">
        <f>IF(I8="",0,MAX((IFERROR((VLOOKUP((AI8&amp;$T$6),Ratesheet!$F$5:$J$455,4,FALSE)*T8),0)),(IFERROR((VLOOKUP((AJ8&amp;$T$6),Ratesheet!$F$5:$J$455,4,FALSE)*T8),0))))</f>
        <v>0</v>
      </c>
      <c r="AU8" s="139">
        <f>IF(I8="",0,MAX((IFERROR((VLOOKUP((AH8&amp;$U$6),Ratesheet!$F$5:$J$455,4,FALSE)*U8),0)),(IFERROR((VLOOKUP((AI8&amp;$U$6),Ratesheet!$F$5:$J$455,4,FALSE)*U8),0))))</f>
        <v>0</v>
      </c>
      <c r="AV8" s="138">
        <f>IFERROR(SUM(AJ8:AU8),0)</f>
        <v>0</v>
      </c>
      <c r="AW8" s="295">
        <f>IFERROR(AV8*VLOOKUP($C$7,'Ref1'!$B$230:$C$236,2,FALSE),0)</f>
        <v>0</v>
      </c>
      <c r="AX8" s="66" t="str">
        <f>AI8</f>
        <v xml:space="preserve"> - </v>
      </c>
      <c r="AY8" s="138">
        <f>IF(I8="",0,MAX((IFERROR((VLOOKUP((AH8&amp;$J$6),Ratesheet!$F$5:$J$455,5,FALSE)*J8),0)),(IFERROR((VLOOKUP((AX8&amp;$J$6),Ratesheet!$F$5:$J$455,5,FALSE)*J8),0))))</f>
        <v>0</v>
      </c>
      <c r="AZ8" s="138">
        <f>IF(I8="",0,MAX((IFERROR((VLOOKUP((AH8&amp;$K$6),Ratesheet!$F$5:$J$455,5,FALSE)*K8),0)),(IFERROR((VLOOKUP((AX8&amp;$K$6),Ratesheet!$F$5:$J$455,5,FALSE)*K8),0))))</f>
        <v>0</v>
      </c>
      <c r="BA8" s="138">
        <f>IF(I8="",0,MAX((IFERROR((VLOOKUP((AH8&amp;$L$6),Ratesheet!$F$5:$J$455,5,FALSE)*L8),0)),(IFERROR((VLOOKUP((AX8&amp;$L$6),Ratesheet!$F$5:$J$455,5,FALSE)*L8),0))))</f>
        <v>0</v>
      </c>
      <c r="BB8" s="138">
        <f>IF(I8="",0,MAX((IFERROR((VLOOKUP((AH8&amp;$M$6),Ratesheet!$F$5:$J$455,5,FALSE)*M8),0)),(IFERROR((VLOOKUP((AX8&amp;$M$6),Ratesheet!$F$5:$J$455,5,FALSE)*M8),0))))</f>
        <v>0</v>
      </c>
      <c r="BC8" s="138">
        <f>IF(I8="",0,MAX((IFERROR((VLOOKUP((AH8&amp;$N$6),Ratesheet!$F$5:$J$455,5,FALSE)*N8),0)),(IFERROR((VLOOKUP((AX8&amp;$N$6),Ratesheet!$F$5:$J$455,5,FALSE)*N8),0))))</f>
        <v>0</v>
      </c>
      <c r="BD8" s="138">
        <f>IF(I8="",0,MAX((IFERROR((VLOOKUP((AH8&amp;$O$6),Ratesheet!$F$5:$J$455,5,FALSE)*O8),0)),(IFERROR((VLOOKUP((AX8&amp;$O$6),Ratesheet!$F$5:$J$455,5,FALSE)*O8),0))))</f>
        <v>0</v>
      </c>
      <c r="BE8" s="138">
        <f>IF(I8="",0,MAX((IFERROR((VLOOKUP((AH8&amp;$P$6),Ratesheet!$F$5:$J$455,5,FALSE)*P8),0)),(IFERROR((VLOOKUP((AX8&amp;$P$6),Ratesheet!$F$5:$J$455,5,FALSE)*P8),0))))</f>
        <v>0</v>
      </c>
      <c r="BF8" s="138">
        <f>IF(I8="",0,MAX((IFERROR((VLOOKUP((AH8&amp;$Q$6),Ratesheet!$F$5:$J$455,5,FALSE)*Q8),0)),(IFERROR((VLOOKUP((AX8&amp;$Q$6),Ratesheet!$F$5:$J$455,5,FALSE)*Q8),0))))</f>
        <v>0</v>
      </c>
      <c r="BG8" s="138">
        <f>IF(I8="",0,MAX((IFERROR((VLOOKUP((AH8&amp;$R$6),Ratesheet!$F$5:$J$455,5,FALSE)*R8),0)),(IFERROR((VLOOKUP((AX8&amp;$R$6),Ratesheet!$F$5:$J$455,5,FALSE)*R8),0))))</f>
        <v>0</v>
      </c>
      <c r="BH8" s="138">
        <f>IF(I8="",0,MAX((IFERROR((VLOOKUP((AH8&amp;$S$6),Ratesheet!$F$5:$J$455,5,FALSE)*S8),0)),(IFERROR((VLOOKUP((AX8&amp;$S$6),Ratesheet!$F$5:$J$455,5,FALSE)*S8),0))))</f>
        <v>0</v>
      </c>
      <c r="BI8" s="138">
        <f>IF(J8="",0,MAX((IFERROR((VLOOKUP((AI8&amp;$T$6),Ratesheet!$F$5:$J$455,5,FALSE)*T8),0)),(IFERROR((VLOOKUP((AY8&amp;$T$6),Ratesheet!$F$5:$J$455,5,FALSE)*T8),0))))</f>
        <v>0</v>
      </c>
      <c r="BJ8" s="139">
        <f>IF(I8="",0,MAX((IFERROR((VLOOKUP((AH8&amp;$U$6),Ratesheet!$F$5:$J$455,5,FALSE)*U8),0)),(IFERROR((VLOOKUP((AX8&amp;$U$6),Ratesheet!$F$5:$J$455,5,FALSE)*U8),0))))</f>
        <v>0</v>
      </c>
      <c r="BK8" s="138">
        <f>IFERROR(SUM(AY8:BJ8),0)</f>
        <v>0</v>
      </c>
      <c r="BL8" s="138">
        <f>IFERROR(BK8*VLOOKUP($C$7,'Ref1'!$B$230:$C$236,2,FALSE),0)</f>
        <v>0</v>
      </c>
    </row>
    <row r="9" spans="1:64" s="66" customFormat="1" ht="11.25" customHeight="1">
      <c r="A9" s="415"/>
      <c r="B9" s="416"/>
      <c r="C9" s="416"/>
      <c r="D9" s="416"/>
      <c r="E9" s="75"/>
      <c r="F9" s="862"/>
      <c r="G9" s="864"/>
      <c r="H9" s="567" t="str">
        <f>IF(F9="","",MainSheet!$B$6)</f>
        <v/>
      </c>
      <c r="I9" s="567"/>
      <c r="J9" s="592"/>
      <c r="K9" s="592"/>
      <c r="L9" s="592"/>
      <c r="M9" s="592"/>
      <c r="N9" s="592"/>
      <c r="O9" s="592"/>
      <c r="P9" s="592"/>
      <c r="Q9" s="592"/>
      <c r="R9" s="592"/>
      <c r="S9" s="592"/>
      <c r="T9" s="595"/>
      <c r="U9" s="593"/>
      <c r="V9" s="594">
        <f t="shared" si="0"/>
        <v>0</v>
      </c>
      <c r="AH9" s="66" t="str">
        <f t="shared" ref="AH9:AH23" si="1">AI9</f>
        <v xml:space="preserve"> - </v>
      </c>
      <c r="AI9" s="66" t="str">
        <f t="shared" ref="AI9:AI23" si="2">H9&amp;" - "&amp;I9</f>
        <v xml:space="preserve"> - </v>
      </c>
      <c r="AJ9" s="138">
        <f>IF(I9="",0,MAX((IFERROR((VLOOKUP((AH9&amp;$J$6),Ratesheet!$F$5:$J$455,4,FALSE)*J9),0)),(IFERROR((VLOOKUP((AI9&amp;$J$6),Ratesheet!$F$5:$J$455,4,FALSE)*J9),0))))</f>
        <v>0</v>
      </c>
      <c r="AK9" s="138">
        <f>IF(I9="",0,MAX((IFERROR((VLOOKUP((AH9&amp;$K$6),Ratesheet!$F$5:$J$455,4,FALSE)*K9),0)),(IFERROR((VLOOKUP((AI9&amp;$K$6),Ratesheet!$F$5:$J$455,4,FALSE)*K9),0))))</f>
        <v>0</v>
      </c>
      <c r="AL9" s="138">
        <f>IF(I9="",0,MAX((IFERROR((VLOOKUP((AH9&amp;$L$6),Ratesheet!$F$5:$J$455,4,FALSE)*L9),0)),(IFERROR((VLOOKUP((AI9&amp;$L$6),Ratesheet!$F$5:$J$455,4,FALSE)*L9),0))))</f>
        <v>0</v>
      </c>
      <c r="AM9" s="138">
        <f>IF(I9="",0,MAX((IFERROR((VLOOKUP((AH9&amp;$M$6),Ratesheet!$F$5:$J$455,4,FALSE)*M9),0)),(IFERROR((VLOOKUP((AI9&amp;$M$6),Ratesheet!$F$5:$J$455,4,FALSE)*M9),0))))</f>
        <v>0</v>
      </c>
      <c r="AN9" s="138">
        <f>IF(I9="",0,MAX((IFERROR((VLOOKUP((AH9&amp;$N$6),Ratesheet!$F$5:$J$455,4,FALSE)*N9),0)),(IFERROR((VLOOKUP((AI9&amp;$N$6),Ratesheet!$F$5:$J$455,4,FALSE)*N9),0))))</f>
        <v>0</v>
      </c>
      <c r="AO9" s="138">
        <f>IF(I9="",0,MAX((IFERROR((VLOOKUP((AH9&amp;$O$6),Ratesheet!$F$5:$J$455,4,FALSE)*O9),0)),(IFERROR((VLOOKUP((AI9&amp;$O$6),Ratesheet!$F$5:$J$455,4,FALSE)*O9),0))))</f>
        <v>0</v>
      </c>
      <c r="AP9" s="138">
        <f>IF(I9="",0,MAX((IFERROR((VLOOKUP((AH9&amp;$P$6),Ratesheet!$F$5:$J$455,4,FALSE)*P9),0)),(IFERROR((VLOOKUP((AI9&amp;$P$6),Ratesheet!$F$5:$J$455,4,FALSE)*P9),0))))</f>
        <v>0</v>
      </c>
      <c r="AQ9" s="138">
        <f>IF(I9="",0,MAX((IFERROR((VLOOKUP((AH9&amp;$Q$6),Ratesheet!$F$5:$J$455,4,FALSE)*Q9),0)),(IFERROR((VLOOKUP((AI9&amp;$Q$6),Ratesheet!$F$5:$J$455,4,FALSE)*Q9),0))))</f>
        <v>0</v>
      </c>
      <c r="AR9" s="138">
        <f>IF(I9="",0,MAX((IFERROR((VLOOKUP((AH9&amp;$R$6),Ratesheet!$F$5:$J$455,4,FALSE)*R9),0)),(IFERROR((VLOOKUP((AI9&amp;$R$6),Ratesheet!$F$5:$J$455,4,FALSE)*R9),0))))</f>
        <v>0</v>
      </c>
      <c r="AS9" s="138">
        <f>IF(I9="",0,MAX((IFERROR((VLOOKUP((AH9&amp;$S$6),Ratesheet!$F$5:$J$455,4,FALSE)*S9),0)),(IFERROR((VLOOKUP((AI9&amp;$S$6),Ratesheet!$F$5:$J$455,4,FALSE)*S9),0))))</f>
        <v>0</v>
      </c>
      <c r="AT9" s="138">
        <f>IF(I9="",0,MAX((IFERROR((VLOOKUP((AI9&amp;$T$6),Ratesheet!$F$5:$J$455,4,FALSE)*T9),0)),(IFERROR((VLOOKUP((AJ9&amp;$T$6),Ratesheet!$F$5:$J$455,4,FALSE)*T9),0))))</f>
        <v>0</v>
      </c>
      <c r="AU9" s="139">
        <f>IF(I9="",0,MAX((IFERROR((VLOOKUP((AH9&amp;$U$6),Ratesheet!$F$5:$J$455,4,FALSE)*U9),0)),(IFERROR((VLOOKUP((AI9&amp;$U$6),Ratesheet!$F$5:$J$455,4,FALSE)*U9),0))))</f>
        <v>0</v>
      </c>
      <c r="AV9" s="138">
        <f t="shared" ref="AV9:AV23" si="3">IFERROR(SUM(AJ9:AU9),0)</f>
        <v>0</v>
      </c>
      <c r="AW9" s="295">
        <f>IFERROR(AV9*VLOOKUP($C$7,'Ref1'!$B$230:$C$236,2,FALSE),0)</f>
        <v>0</v>
      </c>
      <c r="AX9" s="66" t="str">
        <f t="shared" ref="AX9:AX23" si="4">AI9</f>
        <v xml:space="preserve"> - </v>
      </c>
      <c r="AY9" s="138">
        <f>IF(I9="",0,MAX((IFERROR((VLOOKUP((AH9&amp;$J$6),Ratesheet!$F$5:$J$455,5,FALSE)*J9),0)),(IFERROR((VLOOKUP((AX9&amp;$J$6),Ratesheet!$F$5:$J$455,5,FALSE)*J9),0))))</f>
        <v>0</v>
      </c>
      <c r="AZ9" s="138">
        <f>IF(I9="",0,MAX((IFERROR((VLOOKUP((AH9&amp;$K$6),Ratesheet!$F$5:$J$455,5,FALSE)*K9),0)),(IFERROR((VLOOKUP((AX9&amp;$K$6),Ratesheet!$F$5:$J$455,5,FALSE)*K9),0))))</f>
        <v>0</v>
      </c>
      <c r="BA9" s="138">
        <f>IF(I9="",0,MAX((IFERROR((VLOOKUP((AH9&amp;$L$6),Ratesheet!$F$5:$J$455,5,FALSE)*L9),0)),(IFERROR((VLOOKUP((AX9&amp;$L$6),Ratesheet!$F$5:$J$455,5,FALSE)*L9),0))))</f>
        <v>0</v>
      </c>
      <c r="BB9" s="138">
        <f>IF(I9="",0,MAX((IFERROR((VLOOKUP((AH9&amp;$M$6),Ratesheet!$F$5:$J$455,5,FALSE)*M9),0)),(IFERROR((VLOOKUP((AX9&amp;$M$6),Ratesheet!$F$5:$J$455,5,FALSE)*M9),0))))</f>
        <v>0</v>
      </c>
      <c r="BC9" s="138">
        <f>IF(I9="",0,MAX((IFERROR((VLOOKUP((AH9&amp;$N$6),Ratesheet!$F$5:$J$455,5,FALSE)*N9),0)),(IFERROR((VLOOKUP((AX9&amp;$N$6),Ratesheet!$F$5:$J$455,5,FALSE)*N9),0))))</f>
        <v>0</v>
      </c>
      <c r="BD9" s="138">
        <f>IF(I9="",0,MAX((IFERROR((VLOOKUP((AH9&amp;$O$6),Ratesheet!$F$5:$J$455,5,FALSE)*O9),0)),(IFERROR((VLOOKUP((AX9&amp;$O$6),Ratesheet!$F$5:$J$455,5,FALSE)*O9),0))))</f>
        <v>0</v>
      </c>
      <c r="BE9" s="138">
        <f>IF(I9="",0,MAX((IFERROR((VLOOKUP((AH9&amp;$P$6),Ratesheet!$F$5:$J$455,5,FALSE)*P9),0)),(IFERROR((VLOOKUP((AX9&amp;$P$6),Ratesheet!$F$5:$J$455,5,FALSE)*P9),0))))</f>
        <v>0</v>
      </c>
      <c r="BF9" s="138">
        <f>IF(I9="",0,MAX((IFERROR((VLOOKUP((AH9&amp;$Q$6),Ratesheet!$F$5:$J$455,5,FALSE)*Q9),0)),(IFERROR((VLOOKUP((AX9&amp;$Q$6),Ratesheet!$F$5:$J$455,5,FALSE)*Q9),0))))</f>
        <v>0</v>
      </c>
      <c r="BG9" s="138">
        <f>IF(I9="",0,MAX((IFERROR((VLOOKUP((AH9&amp;$R$6),Ratesheet!$F$5:$J$455,5,FALSE)*R9),0)),(IFERROR((VLOOKUP((AX9&amp;$R$6),Ratesheet!$F$5:$J$455,5,FALSE)*R9),0))))</f>
        <v>0</v>
      </c>
      <c r="BH9" s="138">
        <f>IF(I9="",0,MAX((IFERROR((VLOOKUP((AH9&amp;$S$6),Ratesheet!$F$5:$J$455,5,FALSE)*S9),0)),(IFERROR((VLOOKUP((AX9&amp;$S$6),Ratesheet!$F$5:$J$455,5,FALSE)*S9),0))))</f>
        <v>0</v>
      </c>
      <c r="BI9" s="138">
        <f>IF(J9="",0,MAX((IFERROR((VLOOKUP((AI9&amp;$T$6),Ratesheet!$F$5:$J$455,5,FALSE)*T9),0)),(IFERROR((VLOOKUP((AY9&amp;$T$6),Ratesheet!$F$5:$J$455,5,FALSE)*T9),0))))</f>
        <v>0</v>
      </c>
      <c r="BJ9" s="139">
        <f>IF(I9="",0,MAX((IFERROR((VLOOKUP((AH9&amp;$U$6),Ratesheet!$F$5:$J$455,5,FALSE)*U9),0)),(IFERROR((VLOOKUP((AX9&amp;$U$6),Ratesheet!$F$5:$J$455,5,FALSE)*U9),0))))</f>
        <v>0</v>
      </c>
      <c r="BK9" s="138">
        <f t="shared" ref="BK9:BK23" si="5">IFERROR(SUM(AY9:BJ9),0)</f>
        <v>0</v>
      </c>
      <c r="BL9" s="138">
        <f>IFERROR(BK9*VLOOKUP($C$7,'Ref1'!$B$230:$C$236,2,FALSE),0)</f>
        <v>0</v>
      </c>
    </row>
    <row r="10" spans="1:64" s="66" customFormat="1" ht="11.25" customHeight="1">
      <c r="A10" s="417" t="str">
        <f>IF(C4="","Missing Business Unit - please enter data on 'Main Sheet'","")</f>
        <v/>
      </c>
      <c r="B10" s="416"/>
      <c r="C10" s="418"/>
      <c r="D10" s="416"/>
      <c r="E10" s="75"/>
      <c r="F10" s="862"/>
      <c r="G10" s="864"/>
      <c r="H10" s="567" t="str">
        <f>IF(F10="","",MainSheet!$B$6)</f>
        <v/>
      </c>
      <c r="I10" s="567"/>
      <c r="J10" s="592"/>
      <c r="K10" s="592"/>
      <c r="L10" s="592"/>
      <c r="M10" s="592"/>
      <c r="N10" s="592"/>
      <c r="O10" s="592"/>
      <c r="P10" s="592"/>
      <c r="Q10" s="592"/>
      <c r="R10" s="592"/>
      <c r="S10" s="592"/>
      <c r="T10" s="595"/>
      <c r="U10" s="593"/>
      <c r="V10" s="594">
        <f t="shared" si="0"/>
        <v>0</v>
      </c>
      <c r="AB10" s="57"/>
      <c r="AH10" s="66" t="str">
        <f t="shared" si="1"/>
        <v xml:space="preserve"> - </v>
      </c>
      <c r="AI10" s="66" t="str">
        <f t="shared" si="2"/>
        <v xml:space="preserve"> - </v>
      </c>
      <c r="AJ10" s="138">
        <f>IF(I10="",0,MAX((IFERROR((VLOOKUP((AH10&amp;$J$6),Ratesheet!$F$5:$J$455,4,FALSE)*J10),0)),(IFERROR((VLOOKUP((AI10&amp;$J$6),Ratesheet!$F$5:$J$455,4,FALSE)*J10),0))))</f>
        <v>0</v>
      </c>
      <c r="AK10" s="138">
        <f>IF(I10="",0,MAX((IFERROR((VLOOKUP((AH10&amp;$K$6),Ratesheet!$F$5:$J$455,4,FALSE)*K10),0)),(IFERROR((VLOOKUP((AI10&amp;$K$6),Ratesheet!$F$5:$J$455,4,FALSE)*K10),0))))</f>
        <v>0</v>
      </c>
      <c r="AL10" s="138">
        <f>IF(I10="",0,MAX((IFERROR((VLOOKUP((AH10&amp;$L$6),Ratesheet!$F$5:$J$455,4,FALSE)*L10),0)),(IFERROR((VLOOKUP((AI10&amp;$L$6),Ratesheet!$F$5:$J$455,4,FALSE)*L10),0))))</f>
        <v>0</v>
      </c>
      <c r="AM10" s="138">
        <f>IF(I10="",0,MAX((IFERROR((VLOOKUP((AH10&amp;$M$6),Ratesheet!$F$5:$J$455,4,FALSE)*M10),0)),(IFERROR((VLOOKUP((AI10&amp;$M$6),Ratesheet!$F$5:$J$455,4,FALSE)*M10),0))))</f>
        <v>0</v>
      </c>
      <c r="AN10" s="138">
        <f>IF(I10="",0,MAX((IFERROR((VLOOKUP((AH10&amp;$N$6),Ratesheet!$F$5:$J$455,4,FALSE)*N10),0)),(IFERROR((VLOOKUP((AI10&amp;$N$6),Ratesheet!$F$5:$J$455,4,FALSE)*N10),0))))</f>
        <v>0</v>
      </c>
      <c r="AO10" s="138">
        <f>IF(I10="",0,MAX((IFERROR((VLOOKUP((AH10&amp;$O$6),Ratesheet!$F$5:$J$455,4,FALSE)*O10),0)),(IFERROR((VLOOKUP((AI10&amp;$O$6),Ratesheet!$F$5:$J$455,4,FALSE)*O10),0))))</f>
        <v>0</v>
      </c>
      <c r="AP10" s="138">
        <f>IF(I10="",0,MAX((IFERROR((VLOOKUP((AH10&amp;$P$6),Ratesheet!$F$5:$J$455,4,FALSE)*P10),0)),(IFERROR((VLOOKUP((AI10&amp;$P$6),Ratesheet!$F$5:$J$455,4,FALSE)*P10),0))))</f>
        <v>0</v>
      </c>
      <c r="AQ10" s="138">
        <f>IF(I10="",0,MAX((IFERROR((VLOOKUP((AH10&amp;$Q$6),Ratesheet!$F$5:$J$455,4,FALSE)*Q10),0)),(IFERROR((VLOOKUP((AI10&amp;$Q$6),Ratesheet!$F$5:$J$455,4,FALSE)*Q10),0))))</f>
        <v>0</v>
      </c>
      <c r="AR10" s="138">
        <f>IF(I10="",0,MAX((IFERROR((VLOOKUP((AH10&amp;$R$6),Ratesheet!$F$5:$J$455,4,FALSE)*R10),0)),(IFERROR((VLOOKUP((AI10&amp;$R$6),Ratesheet!$F$5:$J$455,4,FALSE)*R10),0))))</f>
        <v>0</v>
      </c>
      <c r="AS10" s="138">
        <f>IF(I10="",0,MAX((IFERROR((VLOOKUP((AH10&amp;$S$6),Ratesheet!$F$5:$J$455,4,FALSE)*S10),0)),(IFERROR((VLOOKUP((AI10&amp;$S$6),Ratesheet!$F$5:$J$455,4,FALSE)*S10),0))))</f>
        <v>0</v>
      </c>
      <c r="AT10" s="138">
        <f>IF(I10="",0,MAX((IFERROR((VLOOKUP((AI10&amp;$T$6),Ratesheet!$F$5:$J$455,4,FALSE)*T10),0)),(IFERROR((VLOOKUP((AJ10&amp;$T$6),Ratesheet!$F$5:$J$455,4,FALSE)*T10),0))))</f>
        <v>0</v>
      </c>
      <c r="AU10" s="139">
        <f>IF(I10="",0,MAX((IFERROR((VLOOKUP((AH10&amp;$U$6),Ratesheet!$F$5:$J$455,4,FALSE)*U10),0)),(IFERROR((VLOOKUP((AI10&amp;$U$6),Ratesheet!$F$5:$J$455,4,FALSE)*U10),0))))</f>
        <v>0</v>
      </c>
      <c r="AV10" s="138">
        <f t="shared" si="3"/>
        <v>0</v>
      </c>
      <c r="AW10" s="295">
        <f>IFERROR(AV10*VLOOKUP($C$7,'Ref1'!$B$230:$C$236,2,FALSE),0)</f>
        <v>0</v>
      </c>
      <c r="AX10" s="66" t="str">
        <f t="shared" si="4"/>
        <v xml:space="preserve"> - </v>
      </c>
      <c r="AY10" s="138">
        <f>IF(I10="",0,MAX((IFERROR((VLOOKUP((AH10&amp;$J$6),Ratesheet!$F$5:$J$455,5,FALSE)*J10),0)),(IFERROR((VLOOKUP((AX10&amp;$J$6),Ratesheet!$F$5:$J$455,5,FALSE)*J10),0))))</f>
        <v>0</v>
      </c>
      <c r="AZ10" s="138">
        <f>IF(I10="",0,MAX((IFERROR((VLOOKUP((AH10&amp;$K$6),Ratesheet!$F$5:$J$455,5,FALSE)*K10),0)),(IFERROR((VLOOKUP((AX10&amp;$K$6),Ratesheet!$F$5:$J$455,5,FALSE)*K10),0))))</f>
        <v>0</v>
      </c>
      <c r="BA10" s="138">
        <f>IF(I10="",0,MAX((IFERROR((VLOOKUP((AH10&amp;$L$6),Ratesheet!$F$5:$J$455,5,FALSE)*L10),0)),(IFERROR((VLOOKUP((AX10&amp;$L$6),Ratesheet!$F$5:$J$455,5,FALSE)*L10),0))))</f>
        <v>0</v>
      </c>
      <c r="BB10" s="138">
        <f>IF(I10="",0,MAX((IFERROR((VLOOKUP((AH10&amp;$M$6),Ratesheet!$F$5:$J$455,5,FALSE)*M10),0)),(IFERROR((VLOOKUP((AX10&amp;$M$6),Ratesheet!$F$5:$J$455,5,FALSE)*M10),0))))</f>
        <v>0</v>
      </c>
      <c r="BC10" s="138">
        <f>IF(I10="",0,MAX((IFERROR((VLOOKUP((AH10&amp;$N$6),Ratesheet!$F$5:$J$455,5,FALSE)*N10),0)),(IFERROR((VLOOKUP((AX10&amp;$N$6),Ratesheet!$F$5:$J$455,5,FALSE)*N10),0))))</f>
        <v>0</v>
      </c>
      <c r="BD10" s="138">
        <f>IF(I10="",0,MAX((IFERROR((VLOOKUP((AH10&amp;$O$6),Ratesheet!$F$5:$J$455,5,FALSE)*O10),0)),(IFERROR((VLOOKUP((AX10&amp;$O$6),Ratesheet!$F$5:$J$455,5,FALSE)*O10),0))))</f>
        <v>0</v>
      </c>
      <c r="BE10" s="138">
        <f>IF(I10="",0,MAX((IFERROR((VLOOKUP((AH10&amp;$P$6),Ratesheet!$F$5:$J$455,5,FALSE)*P10),0)),(IFERROR((VLOOKUP((AX10&amp;$P$6),Ratesheet!$F$5:$J$455,5,FALSE)*P10),0))))</f>
        <v>0</v>
      </c>
      <c r="BF10" s="138">
        <f>IF(I10="",0,MAX((IFERROR((VLOOKUP((AH10&amp;$Q$6),Ratesheet!$F$5:$J$455,5,FALSE)*Q10),0)),(IFERROR((VLOOKUP((AX10&amp;$Q$6),Ratesheet!$F$5:$J$455,5,FALSE)*Q10),0))))</f>
        <v>0</v>
      </c>
      <c r="BG10" s="138">
        <f>IF(I10="",0,MAX((IFERROR((VLOOKUP((AH10&amp;$R$6),Ratesheet!$F$5:$J$455,5,FALSE)*R10),0)),(IFERROR((VLOOKUP((AX10&amp;$R$6),Ratesheet!$F$5:$J$455,5,FALSE)*R10),0))))</f>
        <v>0</v>
      </c>
      <c r="BH10" s="138">
        <f>IF(I10="",0,MAX((IFERROR((VLOOKUP((AH10&amp;$S$6),Ratesheet!$F$5:$J$455,5,FALSE)*S10),0)),(IFERROR((VLOOKUP((AX10&amp;$S$6),Ratesheet!$F$5:$J$455,5,FALSE)*S10),0))))</f>
        <v>0</v>
      </c>
      <c r="BI10" s="138">
        <f>IF(J10="",0,MAX((IFERROR((VLOOKUP((AI10&amp;$T$6),Ratesheet!$F$5:$J$455,5,FALSE)*T10),0)),(IFERROR((VLOOKUP((AY10&amp;$T$6),Ratesheet!$F$5:$J$455,5,FALSE)*T10),0))))</f>
        <v>0</v>
      </c>
      <c r="BJ10" s="139">
        <f>IF(I10="",0,MAX((IFERROR((VLOOKUP((AH10&amp;$U$6),Ratesheet!$F$5:$J$455,5,FALSE)*U10),0)),(IFERROR((VLOOKUP((AX10&amp;$U$6),Ratesheet!$F$5:$J$455,5,FALSE)*U10),0))))</f>
        <v>0</v>
      </c>
      <c r="BK10" s="138">
        <f t="shared" si="5"/>
        <v>0</v>
      </c>
      <c r="BL10" s="138">
        <f>IFERROR(BK10*VLOOKUP($C$7,'Ref1'!$B$230:$C$236,2,FALSE),0)</f>
        <v>0</v>
      </c>
    </row>
    <row r="11" spans="1:64" s="66" customFormat="1" ht="11.25" customHeight="1">
      <c r="A11" s="417" t="str">
        <f>IF(OR(COUNTIF(Y8:Y23,"truefalse"),(COUNTIF(Y8:Y23,"falsetrue"))&gt;0),"Missing Business Unit / Hours - In Resource Plan","")</f>
        <v/>
      </c>
      <c r="B11" s="416"/>
      <c r="C11" s="418"/>
      <c r="D11" s="416"/>
      <c r="E11" s="140"/>
      <c r="F11" s="862"/>
      <c r="G11" s="863"/>
      <c r="H11" s="567" t="str">
        <f>IF(F11="","",MainSheet!$B$6)</f>
        <v/>
      </c>
      <c r="I11" s="567"/>
      <c r="J11" s="592"/>
      <c r="K11" s="592"/>
      <c r="L11" s="592"/>
      <c r="M11" s="592"/>
      <c r="N11" s="592"/>
      <c r="O11" s="592"/>
      <c r="P11" s="592"/>
      <c r="Q11" s="592"/>
      <c r="R11" s="592"/>
      <c r="S11" s="592"/>
      <c r="T11" s="595"/>
      <c r="U11" s="593"/>
      <c r="V11" s="594">
        <f t="shared" si="0"/>
        <v>0</v>
      </c>
      <c r="AB11" s="57"/>
      <c r="AH11" s="66" t="str">
        <f t="shared" si="1"/>
        <v xml:space="preserve"> - </v>
      </c>
      <c r="AI11" s="66" t="str">
        <f t="shared" si="2"/>
        <v xml:space="preserve"> - </v>
      </c>
      <c r="AJ11" s="138">
        <f>IF(I11="",0,MAX((IFERROR((VLOOKUP((AH11&amp;$J$6),Ratesheet!$F$5:$J$455,4,FALSE)*J11),0)),(IFERROR((VLOOKUP((AI11&amp;$J$6),Ratesheet!$F$5:$J$455,4,FALSE)*J11),0))))</f>
        <v>0</v>
      </c>
      <c r="AK11" s="138">
        <f>IF(I11="",0,MAX((IFERROR((VLOOKUP((AH11&amp;$K$6),Ratesheet!$F$5:$J$455,4,FALSE)*K11),0)),(IFERROR((VLOOKUP((AI11&amp;$K$6),Ratesheet!$F$5:$J$455,4,FALSE)*K11),0))))</f>
        <v>0</v>
      </c>
      <c r="AL11" s="138">
        <f>IF(I11="",0,MAX((IFERROR((VLOOKUP((AH11&amp;$L$6),Ratesheet!$F$5:$J$455,4,FALSE)*L11),0)),(IFERROR((VLOOKUP((AI11&amp;$L$6),Ratesheet!$F$5:$J$455,4,FALSE)*L11),0))))</f>
        <v>0</v>
      </c>
      <c r="AM11" s="138">
        <f>IF(I11="",0,MAX((IFERROR((VLOOKUP((AH11&amp;$M$6),Ratesheet!$F$5:$J$455,4,FALSE)*M11),0)),(IFERROR((VLOOKUP((AI11&amp;$M$6),Ratesheet!$F$5:$J$455,4,FALSE)*M11),0))))</f>
        <v>0</v>
      </c>
      <c r="AN11" s="138">
        <f>IF(I11="",0,MAX((IFERROR((VLOOKUP((AH11&amp;$N$6),Ratesheet!$F$5:$J$455,4,FALSE)*N11),0)),(IFERROR((VLOOKUP((AI11&amp;$N$6),Ratesheet!$F$5:$J$455,4,FALSE)*N11),0))))</f>
        <v>0</v>
      </c>
      <c r="AO11" s="138">
        <f>IF(I11="",0,MAX((IFERROR((VLOOKUP((AH11&amp;$O$6),Ratesheet!$F$5:$J$455,4,FALSE)*O11),0)),(IFERROR((VLOOKUP((AI11&amp;$O$6),Ratesheet!$F$5:$J$455,4,FALSE)*O11),0))))</f>
        <v>0</v>
      </c>
      <c r="AP11" s="138">
        <f>IF(I11="",0,MAX((IFERROR((VLOOKUP((AH11&amp;$P$6),Ratesheet!$F$5:$J$455,4,FALSE)*P11),0)),(IFERROR((VLOOKUP((AI11&amp;$P$6),Ratesheet!$F$5:$J$455,4,FALSE)*P11),0))))</f>
        <v>0</v>
      </c>
      <c r="AQ11" s="138">
        <f>IF(I11="",0,MAX((IFERROR((VLOOKUP((AH11&amp;$Q$6),Ratesheet!$F$5:$J$455,4,FALSE)*Q11),0)),(IFERROR((VLOOKUP((AI11&amp;$Q$6),Ratesheet!$F$5:$J$455,4,FALSE)*Q11),0))))</f>
        <v>0</v>
      </c>
      <c r="AR11" s="138">
        <f>IF(I11="",0,MAX((IFERROR((VLOOKUP((AH11&amp;$R$6),Ratesheet!$F$5:$J$455,4,FALSE)*R11),0)),(IFERROR((VLOOKUP((AI11&amp;$R$6),Ratesheet!$F$5:$J$455,4,FALSE)*R11),0))))</f>
        <v>0</v>
      </c>
      <c r="AS11" s="138">
        <f>IF(I11="",0,MAX((IFERROR((VLOOKUP((AH11&amp;$S$6),Ratesheet!$F$5:$J$455,4,FALSE)*S11),0)),(IFERROR((VLOOKUP((AI11&amp;$S$6),Ratesheet!$F$5:$J$455,4,FALSE)*S11),0))))</f>
        <v>0</v>
      </c>
      <c r="AT11" s="138">
        <f>IF(I11="",0,MAX((IFERROR((VLOOKUP((AI11&amp;$T$6),Ratesheet!$F$5:$J$455,4,FALSE)*T11),0)),(IFERROR((VLOOKUP((AJ11&amp;$T$6),Ratesheet!$F$5:$J$455,4,FALSE)*T11),0))))</f>
        <v>0</v>
      </c>
      <c r="AU11" s="139">
        <f>IF(I11="",0,MAX((IFERROR((VLOOKUP((AH11&amp;$U$6),Ratesheet!$F$5:$J$455,4,FALSE)*U11),0)),(IFERROR((VLOOKUP((AI11&amp;$U$6),Ratesheet!$F$5:$J$455,4,FALSE)*U11),0))))</f>
        <v>0</v>
      </c>
      <c r="AV11" s="138">
        <f t="shared" si="3"/>
        <v>0</v>
      </c>
      <c r="AW11" s="295">
        <f>IFERROR(AV11*VLOOKUP($C$7,'Ref1'!$B$230:$C$236,2,FALSE),0)</f>
        <v>0</v>
      </c>
      <c r="AX11" s="66" t="str">
        <f t="shared" si="4"/>
        <v xml:space="preserve"> - </v>
      </c>
      <c r="AY11" s="138">
        <f>IF(I11="",0,MAX((IFERROR((VLOOKUP((AH11&amp;$J$6),Ratesheet!$F$5:$J$455,5,FALSE)*J11),0)),(IFERROR((VLOOKUP((AX11&amp;$J$6),Ratesheet!$F$5:$J$455,5,FALSE)*J11),0))))</f>
        <v>0</v>
      </c>
      <c r="AZ11" s="138">
        <f>IF(I11="",0,MAX((IFERROR((VLOOKUP((AH11&amp;$K$6),Ratesheet!$F$5:$J$455,5,FALSE)*K11),0)),(IFERROR((VLOOKUP((AX11&amp;$K$6),Ratesheet!$F$5:$J$455,5,FALSE)*K11),0))))</f>
        <v>0</v>
      </c>
      <c r="BA11" s="138">
        <f>IF(I11="",0,MAX((IFERROR((VLOOKUP((AH11&amp;$L$6),Ratesheet!$F$5:$J$455,5,FALSE)*L11),0)),(IFERROR((VLOOKUP((AX11&amp;$L$6),Ratesheet!$F$5:$J$455,5,FALSE)*L11),0))))</f>
        <v>0</v>
      </c>
      <c r="BB11" s="138">
        <f>IF(I11="",0,MAX((IFERROR((VLOOKUP((AH11&amp;$M$6),Ratesheet!$F$5:$J$455,5,FALSE)*M11),0)),(IFERROR((VLOOKUP((AX11&amp;$M$6),Ratesheet!$F$5:$J$455,5,FALSE)*M11),0))))</f>
        <v>0</v>
      </c>
      <c r="BC11" s="138">
        <f>IF(I11="",0,MAX((IFERROR((VLOOKUP((AH11&amp;$N$6),Ratesheet!$F$5:$J$455,5,FALSE)*N11),0)),(IFERROR((VLOOKUP((AX11&amp;$N$6),Ratesheet!$F$5:$J$455,5,FALSE)*N11),0))))</f>
        <v>0</v>
      </c>
      <c r="BD11" s="138">
        <f>IF(I11="",0,MAX((IFERROR((VLOOKUP((AH11&amp;$O$6),Ratesheet!$F$5:$J$455,5,FALSE)*O11),0)),(IFERROR((VLOOKUP((AX11&amp;$O$6),Ratesheet!$F$5:$J$455,5,FALSE)*O11),0))))</f>
        <v>0</v>
      </c>
      <c r="BE11" s="138">
        <f>IF(I11="",0,MAX((IFERROR((VLOOKUP((AH11&amp;$P$6),Ratesheet!$F$5:$J$455,5,FALSE)*P11),0)),(IFERROR((VLOOKUP((AX11&amp;$P$6),Ratesheet!$F$5:$J$455,5,FALSE)*P11),0))))</f>
        <v>0</v>
      </c>
      <c r="BF11" s="138">
        <f>IF(I11="",0,MAX((IFERROR((VLOOKUP((AH11&amp;$Q$6),Ratesheet!$F$5:$J$455,5,FALSE)*Q11),0)),(IFERROR((VLOOKUP((AX11&amp;$Q$6),Ratesheet!$F$5:$J$455,5,FALSE)*Q11),0))))</f>
        <v>0</v>
      </c>
      <c r="BG11" s="138">
        <f>IF(I11="",0,MAX((IFERROR((VLOOKUP((AH11&amp;$R$6),Ratesheet!$F$5:$J$455,5,FALSE)*R11),0)),(IFERROR((VLOOKUP((AX11&amp;$R$6),Ratesheet!$F$5:$J$455,5,FALSE)*R11),0))))</f>
        <v>0</v>
      </c>
      <c r="BH11" s="138">
        <f>IF(I11="",0,MAX((IFERROR((VLOOKUP((AH11&amp;$S$6),Ratesheet!$F$5:$J$455,5,FALSE)*S11),0)),(IFERROR((VLOOKUP((AX11&amp;$S$6),Ratesheet!$F$5:$J$455,5,FALSE)*S11),0))))</f>
        <v>0</v>
      </c>
      <c r="BI11" s="138">
        <f>IF(J11="",0,MAX((IFERROR((VLOOKUP((AI11&amp;$T$6),Ratesheet!$F$5:$J$455,5,FALSE)*T11),0)),(IFERROR((VLOOKUP((AY11&amp;$T$6),Ratesheet!$F$5:$J$455,5,FALSE)*T11),0))))</f>
        <v>0</v>
      </c>
      <c r="BJ11" s="139">
        <f>IF(I11="",0,MAX((IFERROR((VLOOKUP((AH11&amp;$U$6),Ratesheet!$F$5:$J$455,5,FALSE)*U11),0)),(IFERROR((VLOOKUP((AX11&amp;$U$6),Ratesheet!$F$5:$J$455,5,FALSE)*U11),0))))</f>
        <v>0</v>
      </c>
      <c r="BK11" s="138">
        <f t="shared" si="5"/>
        <v>0</v>
      </c>
      <c r="BL11" s="138">
        <f>IFERROR(BK11*VLOOKUP($C$7,'Ref1'!$B$230:$C$236,2,FALSE),0)</f>
        <v>0</v>
      </c>
    </row>
    <row r="12" spans="1:64" ht="11.25" customHeight="1">
      <c r="A12" s="428" t="str">
        <f>IF(V24&gt;0,(IF(J24=0,"Please consider budgeting hours for the MD","")),"")</f>
        <v/>
      </c>
      <c r="B12" s="420"/>
      <c r="C12" s="420"/>
      <c r="D12" s="420"/>
      <c r="E12" s="90"/>
      <c r="F12" s="862"/>
      <c r="G12" s="863"/>
      <c r="H12" s="567" t="str">
        <f>IF(F12="","",MainSheet!$B$6)</f>
        <v/>
      </c>
      <c r="I12" s="567"/>
      <c r="J12" s="592"/>
      <c r="K12" s="592"/>
      <c r="L12" s="592"/>
      <c r="M12" s="592"/>
      <c r="N12" s="592"/>
      <c r="O12" s="592"/>
      <c r="P12" s="592"/>
      <c r="Q12" s="592"/>
      <c r="R12" s="592"/>
      <c r="S12" s="592"/>
      <c r="T12" s="595"/>
      <c r="U12" s="593"/>
      <c r="V12" s="594">
        <f t="shared" si="0"/>
        <v>0</v>
      </c>
      <c r="W12" s="66"/>
      <c r="X12" s="66"/>
      <c r="Y12" s="66"/>
      <c r="AH12" s="66" t="str">
        <f t="shared" si="1"/>
        <v xml:space="preserve"> - </v>
      </c>
      <c r="AI12" s="66" t="str">
        <f t="shared" si="2"/>
        <v xml:space="preserve"> - </v>
      </c>
      <c r="AJ12" s="138">
        <f>IF(I12="",0,MAX((IFERROR((VLOOKUP((AH12&amp;$J$6),Ratesheet!$F$5:$J$455,4,FALSE)*J12),0)),(IFERROR((VLOOKUP((AI12&amp;$J$6),Ratesheet!$F$5:$J$455,4,FALSE)*J12),0))))</f>
        <v>0</v>
      </c>
      <c r="AK12" s="138">
        <f>IF(I12="",0,MAX((IFERROR((VLOOKUP((AH12&amp;$K$6),Ratesheet!$F$5:$J$455,4,FALSE)*K12),0)),(IFERROR((VLOOKUP((AI12&amp;$K$6),Ratesheet!$F$5:$J$455,4,FALSE)*K12),0))))</f>
        <v>0</v>
      </c>
      <c r="AL12" s="138">
        <f>IF(I12="",0,MAX((IFERROR((VLOOKUP((AH12&amp;$L$6),Ratesheet!$F$5:$J$455,4,FALSE)*L12),0)),(IFERROR((VLOOKUP((AI12&amp;$L$6),Ratesheet!$F$5:$J$455,4,FALSE)*L12),0))))</f>
        <v>0</v>
      </c>
      <c r="AM12" s="138">
        <f>IF(I12="",0,MAX((IFERROR((VLOOKUP((AH12&amp;$M$6),Ratesheet!$F$5:$J$455,4,FALSE)*M12),0)),(IFERROR((VLOOKUP((AI12&amp;$M$6),Ratesheet!$F$5:$J$455,4,FALSE)*M12),0))))</f>
        <v>0</v>
      </c>
      <c r="AN12" s="138">
        <f>IF(I12="",0,MAX((IFERROR((VLOOKUP((AH12&amp;$N$6),Ratesheet!$F$5:$J$455,4,FALSE)*N12),0)),(IFERROR((VLOOKUP((AI12&amp;$N$6),Ratesheet!$F$5:$J$455,4,FALSE)*N12),0))))</f>
        <v>0</v>
      </c>
      <c r="AO12" s="138">
        <f>IF(I12="",0,MAX((IFERROR((VLOOKUP((AH12&amp;$O$6),Ratesheet!$F$5:$J$455,4,FALSE)*O12),0)),(IFERROR((VLOOKUP((AI12&amp;$O$6),Ratesheet!$F$5:$J$455,4,FALSE)*O12),0))))</f>
        <v>0</v>
      </c>
      <c r="AP12" s="138">
        <f>IF(I12="",0,MAX((IFERROR((VLOOKUP((AH12&amp;$P$6),Ratesheet!$F$5:$J$455,4,FALSE)*P12),0)),(IFERROR((VLOOKUP((AI12&amp;$P$6),Ratesheet!$F$5:$J$455,4,FALSE)*P12),0))))</f>
        <v>0</v>
      </c>
      <c r="AQ12" s="138">
        <f>IF(I12="",0,MAX((IFERROR((VLOOKUP((AH12&amp;$Q$6),Ratesheet!$F$5:$J$455,4,FALSE)*Q12),0)),(IFERROR((VLOOKUP((AI12&amp;$Q$6),Ratesheet!$F$5:$J$455,4,FALSE)*Q12),0))))</f>
        <v>0</v>
      </c>
      <c r="AR12" s="138">
        <f>IF(I12="",0,MAX((IFERROR((VLOOKUP((AH12&amp;$R$6),Ratesheet!$F$5:$J$455,4,FALSE)*R12),0)),(IFERROR((VLOOKUP((AI12&amp;$R$6),Ratesheet!$F$5:$J$455,4,FALSE)*R12),0))))</f>
        <v>0</v>
      </c>
      <c r="AS12" s="138">
        <f>IF(I12="",0,MAX((IFERROR((VLOOKUP((AH12&amp;$S$6),Ratesheet!$F$5:$J$455,4,FALSE)*S12),0)),(IFERROR((VLOOKUP((AI12&amp;$S$6),Ratesheet!$F$5:$J$455,4,FALSE)*S12),0))))</f>
        <v>0</v>
      </c>
      <c r="AT12" s="138">
        <f>IF(I12="",0,MAX((IFERROR((VLOOKUP((AI12&amp;$T$6),Ratesheet!$F$5:$J$455,4,FALSE)*T12),0)),(IFERROR((VLOOKUP((AJ12&amp;$T$6),Ratesheet!$F$5:$J$455,4,FALSE)*T12),0))))</f>
        <v>0</v>
      </c>
      <c r="AU12" s="139">
        <f>IF(I12="",0,MAX((IFERROR((VLOOKUP((AH12&amp;$U$6),Ratesheet!$F$5:$J$455,4,FALSE)*U12),0)),(IFERROR((VLOOKUP((AI12&amp;$U$6),Ratesheet!$F$5:$J$455,4,FALSE)*U12),0))))</f>
        <v>0</v>
      </c>
      <c r="AV12" s="138">
        <f t="shared" si="3"/>
        <v>0</v>
      </c>
      <c r="AW12" s="295">
        <f>IFERROR(AV12*VLOOKUP($C$7,'Ref1'!$B$230:$C$236,2,FALSE),0)</f>
        <v>0</v>
      </c>
      <c r="AX12" s="66" t="str">
        <f t="shared" si="4"/>
        <v xml:space="preserve"> - </v>
      </c>
      <c r="AY12" s="138">
        <f>IF(I12="",0,MAX((IFERROR((VLOOKUP((AH12&amp;$J$6),Ratesheet!$F$5:$J$455,5,FALSE)*J12),0)),(IFERROR((VLOOKUP((AX12&amp;$J$6),Ratesheet!$F$5:$J$455,5,FALSE)*J12),0))))</f>
        <v>0</v>
      </c>
      <c r="AZ12" s="138">
        <f>IF(I12="",0,MAX((IFERROR((VLOOKUP((AH12&amp;$K$6),Ratesheet!$F$5:$J$455,5,FALSE)*K12),0)),(IFERROR((VLOOKUP((AX12&amp;$K$6),Ratesheet!$F$5:$J$455,5,FALSE)*K12),0))))</f>
        <v>0</v>
      </c>
      <c r="BA12" s="138">
        <f>IF(I12="",0,MAX((IFERROR((VLOOKUP((AH12&amp;$L$6),Ratesheet!$F$5:$J$455,5,FALSE)*L12),0)),(IFERROR((VLOOKUP((AX12&amp;$L$6),Ratesheet!$F$5:$J$455,5,FALSE)*L12),0))))</f>
        <v>0</v>
      </c>
      <c r="BB12" s="138">
        <f>IF(I12="",0,MAX((IFERROR((VLOOKUP((AH12&amp;$M$6),Ratesheet!$F$5:$J$455,5,FALSE)*M12),0)),(IFERROR((VLOOKUP((AX12&amp;$M$6),Ratesheet!$F$5:$J$455,5,FALSE)*M12),0))))</f>
        <v>0</v>
      </c>
      <c r="BC12" s="138">
        <f>IF(I12="",0,MAX((IFERROR((VLOOKUP((AH12&amp;$N$6),Ratesheet!$F$5:$J$455,5,FALSE)*N12),0)),(IFERROR((VLOOKUP((AX12&amp;$N$6),Ratesheet!$F$5:$J$455,5,FALSE)*N12),0))))</f>
        <v>0</v>
      </c>
      <c r="BD12" s="138">
        <f>IF(I12="",0,MAX((IFERROR((VLOOKUP((AH12&amp;$O$6),Ratesheet!$F$5:$J$455,5,FALSE)*O12),0)),(IFERROR((VLOOKUP((AX12&amp;$O$6),Ratesheet!$F$5:$J$455,5,FALSE)*O12),0))))</f>
        <v>0</v>
      </c>
      <c r="BE12" s="138">
        <f>IF(I12="",0,MAX((IFERROR((VLOOKUP((AH12&amp;$P$6),Ratesheet!$F$5:$J$455,5,FALSE)*P12),0)),(IFERROR((VLOOKUP((AX12&amp;$P$6),Ratesheet!$F$5:$J$455,5,FALSE)*P12),0))))</f>
        <v>0</v>
      </c>
      <c r="BF12" s="138">
        <f>IF(I12="",0,MAX((IFERROR((VLOOKUP((AH12&amp;$Q$6),Ratesheet!$F$5:$J$455,5,FALSE)*Q12),0)),(IFERROR((VLOOKUP((AX12&amp;$Q$6),Ratesheet!$F$5:$J$455,5,FALSE)*Q12),0))))</f>
        <v>0</v>
      </c>
      <c r="BG12" s="138">
        <f>IF(I12="",0,MAX((IFERROR((VLOOKUP((AH12&amp;$R$6),Ratesheet!$F$5:$J$455,5,FALSE)*R12),0)),(IFERROR((VLOOKUP((AX12&amp;$R$6),Ratesheet!$F$5:$J$455,5,FALSE)*R12),0))))</f>
        <v>0</v>
      </c>
      <c r="BH12" s="138">
        <f>IF(I12="",0,MAX((IFERROR((VLOOKUP((AH12&amp;$S$6),Ratesheet!$F$5:$J$455,5,FALSE)*S12),0)),(IFERROR((VLOOKUP((AX12&amp;$S$6),Ratesheet!$F$5:$J$455,5,FALSE)*S12),0))))</f>
        <v>0</v>
      </c>
      <c r="BI12" s="138">
        <f>IF(J12="",0,MAX((IFERROR((VLOOKUP((AI12&amp;$T$6),Ratesheet!$F$5:$J$455,5,FALSE)*T12),0)),(IFERROR((VLOOKUP((AY12&amp;$T$6),Ratesheet!$F$5:$J$455,5,FALSE)*T12),0))))</f>
        <v>0</v>
      </c>
      <c r="BJ12" s="139">
        <f>IF(I12="",0,MAX((IFERROR((VLOOKUP((AH12&amp;$U$6),Ratesheet!$F$5:$J$455,5,FALSE)*U12),0)),(IFERROR((VLOOKUP((AX12&amp;$U$6),Ratesheet!$F$5:$J$455,5,FALSE)*U12),0))))</f>
        <v>0</v>
      </c>
      <c r="BK12" s="138">
        <f t="shared" si="5"/>
        <v>0</v>
      </c>
      <c r="BL12" s="138">
        <f>IFERROR(BK12*VLOOKUP($C$7,'Ref1'!$B$230:$C$236,2,FALSE),0)</f>
        <v>0</v>
      </c>
    </row>
    <row r="13" spans="1:64" ht="11.25" customHeight="1">
      <c r="A13" s="419"/>
      <c r="B13" s="420"/>
      <c r="C13" s="420"/>
      <c r="D13" s="420"/>
      <c r="E13" s="90"/>
      <c r="F13" s="862"/>
      <c r="G13" s="863"/>
      <c r="H13" s="567" t="str">
        <f>IF(F13="","",MainSheet!$B$6)</f>
        <v/>
      </c>
      <c r="I13" s="567"/>
      <c r="J13" s="592"/>
      <c r="K13" s="592"/>
      <c r="L13" s="592"/>
      <c r="M13" s="592"/>
      <c r="N13" s="592"/>
      <c r="O13" s="592"/>
      <c r="P13" s="592"/>
      <c r="Q13" s="592"/>
      <c r="R13" s="592"/>
      <c r="S13" s="592"/>
      <c r="T13" s="595"/>
      <c r="U13" s="593"/>
      <c r="V13" s="594">
        <f t="shared" si="0"/>
        <v>0</v>
      </c>
      <c r="W13" s="66"/>
      <c r="X13" s="66"/>
      <c r="Y13" s="66"/>
      <c r="AH13" s="66" t="str">
        <f t="shared" si="1"/>
        <v xml:space="preserve"> - </v>
      </c>
      <c r="AI13" s="66" t="str">
        <f t="shared" si="2"/>
        <v xml:space="preserve"> - </v>
      </c>
      <c r="AJ13" s="138">
        <f>IF(I13="",0,MAX((IFERROR((VLOOKUP((AH13&amp;$J$6),Ratesheet!$F$5:$J$455,4,FALSE)*J13),0)),(IFERROR((VLOOKUP((AI13&amp;$J$6),Ratesheet!$F$5:$J$455,4,FALSE)*J13),0))))</f>
        <v>0</v>
      </c>
      <c r="AK13" s="138">
        <f>IF(I13="",0,MAX((IFERROR((VLOOKUP((AH13&amp;$K$6),Ratesheet!$F$5:$J$455,4,FALSE)*K13),0)),(IFERROR((VLOOKUP((AI13&amp;$K$6),Ratesheet!$F$5:$J$455,4,FALSE)*K13),0))))</f>
        <v>0</v>
      </c>
      <c r="AL13" s="138">
        <f>IF(I13="",0,MAX((IFERROR((VLOOKUP((AH13&amp;$L$6),Ratesheet!$F$5:$J$455,4,FALSE)*L13),0)),(IFERROR((VLOOKUP((AI13&amp;$L$6),Ratesheet!$F$5:$J$455,4,FALSE)*L13),0))))</f>
        <v>0</v>
      </c>
      <c r="AM13" s="138">
        <f>IF(I13="",0,MAX((IFERROR((VLOOKUP((AH13&amp;$M$6),Ratesheet!$F$5:$J$455,4,FALSE)*M13),0)),(IFERROR((VLOOKUP((AI13&amp;$M$6),Ratesheet!$F$5:$J$455,4,FALSE)*M13),0))))</f>
        <v>0</v>
      </c>
      <c r="AN13" s="138">
        <f>IF(I13="",0,MAX((IFERROR((VLOOKUP((AH13&amp;$N$6),Ratesheet!$F$5:$J$455,4,FALSE)*N13),0)),(IFERROR((VLOOKUP((AI13&amp;$N$6),Ratesheet!$F$5:$J$455,4,FALSE)*N13),0))))</f>
        <v>0</v>
      </c>
      <c r="AO13" s="138">
        <f>IF(I13="",0,MAX((IFERROR((VLOOKUP((AH13&amp;$O$6),Ratesheet!$F$5:$J$455,4,FALSE)*O13),0)),(IFERROR((VLOOKUP((AI13&amp;$O$6),Ratesheet!$F$5:$J$455,4,FALSE)*O13),0))))</f>
        <v>0</v>
      </c>
      <c r="AP13" s="138">
        <f>IF(I13="",0,MAX((IFERROR((VLOOKUP((AH13&amp;$P$6),Ratesheet!$F$5:$J$455,4,FALSE)*P13),0)),(IFERROR((VLOOKUP((AI13&amp;$P$6),Ratesheet!$F$5:$J$455,4,FALSE)*P13),0))))</f>
        <v>0</v>
      </c>
      <c r="AQ13" s="138">
        <f>IF(I13="",0,MAX((IFERROR((VLOOKUP((AH13&amp;$Q$6),Ratesheet!$F$5:$J$455,4,FALSE)*Q13),0)),(IFERROR((VLOOKUP((AI13&amp;$Q$6),Ratesheet!$F$5:$J$455,4,FALSE)*Q13),0))))</f>
        <v>0</v>
      </c>
      <c r="AR13" s="138">
        <f>IF(I13="",0,MAX((IFERROR((VLOOKUP((AH13&amp;$R$6),Ratesheet!$F$5:$J$455,4,FALSE)*R13),0)),(IFERROR((VLOOKUP((AI13&amp;$R$6),Ratesheet!$F$5:$J$455,4,FALSE)*R13),0))))</f>
        <v>0</v>
      </c>
      <c r="AS13" s="138">
        <f>IF(I13="",0,MAX((IFERROR((VLOOKUP((AH13&amp;$S$6),Ratesheet!$F$5:$J$455,4,FALSE)*S13),0)),(IFERROR((VLOOKUP((AI13&amp;$S$6),Ratesheet!$F$5:$J$455,4,FALSE)*S13),0))))</f>
        <v>0</v>
      </c>
      <c r="AT13" s="138">
        <f>IF(I13="",0,MAX((IFERROR((VLOOKUP((AI13&amp;$T$6),Ratesheet!$F$5:$J$455,4,FALSE)*T13),0)),(IFERROR((VLOOKUP((AJ13&amp;$T$6),Ratesheet!$F$5:$J$455,4,FALSE)*T13),0))))</f>
        <v>0</v>
      </c>
      <c r="AU13" s="139">
        <f>IF(I13="",0,MAX((IFERROR((VLOOKUP((AH13&amp;$U$6),Ratesheet!$F$5:$J$455,4,FALSE)*U13),0)),(IFERROR((VLOOKUP((AI13&amp;$U$6),Ratesheet!$F$5:$J$455,4,FALSE)*U13),0))))</f>
        <v>0</v>
      </c>
      <c r="AV13" s="138">
        <f t="shared" si="3"/>
        <v>0</v>
      </c>
      <c r="AW13" s="295">
        <f>IFERROR(AV13*VLOOKUP($C$7,'Ref1'!$B$230:$C$236,2,FALSE),0)</f>
        <v>0</v>
      </c>
      <c r="AX13" s="66" t="str">
        <f t="shared" si="4"/>
        <v xml:space="preserve"> - </v>
      </c>
      <c r="AY13" s="138">
        <f>IF(I13="",0,MAX((IFERROR((VLOOKUP((AH13&amp;$J$6),Ratesheet!$F$5:$J$455,5,FALSE)*J13),0)),(IFERROR((VLOOKUP((AX13&amp;$J$6),Ratesheet!$F$5:$J$455,5,FALSE)*J13),0))))</f>
        <v>0</v>
      </c>
      <c r="AZ13" s="138">
        <f>IF(I13="",0,MAX((IFERROR((VLOOKUP((AH13&amp;$K$6),Ratesheet!$F$5:$J$455,5,FALSE)*K13),0)),(IFERROR((VLOOKUP((AX13&amp;$K$6),Ratesheet!$F$5:$J$455,5,FALSE)*K13),0))))</f>
        <v>0</v>
      </c>
      <c r="BA13" s="138">
        <f>IF(I13="",0,MAX((IFERROR((VLOOKUP((AH13&amp;$L$6),Ratesheet!$F$5:$J$455,5,FALSE)*L13),0)),(IFERROR((VLOOKUP((AX13&amp;$L$6),Ratesheet!$F$5:$J$455,5,FALSE)*L13),0))))</f>
        <v>0</v>
      </c>
      <c r="BB13" s="138">
        <f>IF(I13="",0,MAX((IFERROR((VLOOKUP((AH13&amp;$M$6),Ratesheet!$F$5:$J$455,5,FALSE)*M13),0)),(IFERROR((VLOOKUP((AX13&amp;$M$6),Ratesheet!$F$5:$J$455,5,FALSE)*M13),0))))</f>
        <v>0</v>
      </c>
      <c r="BC13" s="138">
        <f>IF(I13="",0,MAX((IFERROR((VLOOKUP((AH13&amp;$N$6),Ratesheet!$F$5:$J$455,5,FALSE)*N13),0)),(IFERROR((VLOOKUP((AX13&amp;$N$6),Ratesheet!$F$5:$J$455,5,FALSE)*N13),0))))</f>
        <v>0</v>
      </c>
      <c r="BD13" s="138">
        <f>IF(I13="",0,MAX((IFERROR((VLOOKUP((AH13&amp;$O$6),Ratesheet!$F$5:$J$455,5,FALSE)*O13),0)),(IFERROR((VLOOKUP((AX13&amp;$O$6),Ratesheet!$F$5:$J$455,5,FALSE)*O13),0))))</f>
        <v>0</v>
      </c>
      <c r="BE13" s="138">
        <f>IF(I13="",0,MAX((IFERROR((VLOOKUP((AH13&amp;$P$6),Ratesheet!$F$5:$J$455,5,FALSE)*P13),0)),(IFERROR((VLOOKUP((AX13&amp;$P$6),Ratesheet!$F$5:$J$455,5,FALSE)*P13),0))))</f>
        <v>0</v>
      </c>
      <c r="BF13" s="138">
        <f>IF(I13="",0,MAX((IFERROR((VLOOKUP((AH13&amp;$Q$6),Ratesheet!$F$5:$J$455,5,FALSE)*Q13),0)),(IFERROR((VLOOKUP((AX13&amp;$Q$6),Ratesheet!$F$5:$J$455,5,FALSE)*Q13),0))))</f>
        <v>0</v>
      </c>
      <c r="BG13" s="138">
        <f>IF(I13="",0,MAX((IFERROR((VLOOKUP((AH13&amp;$R$6),Ratesheet!$F$5:$J$455,5,FALSE)*R13),0)),(IFERROR((VLOOKUP((AX13&amp;$R$6),Ratesheet!$F$5:$J$455,5,FALSE)*R13),0))))</f>
        <v>0</v>
      </c>
      <c r="BH13" s="138">
        <f>IF(I13="",0,MAX((IFERROR((VLOOKUP((AH13&amp;$S$6),Ratesheet!$F$5:$J$455,5,FALSE)*S13),0)),(IFERROR((VLOOKUP((AX13&amp;$S$6),Ratesheet!$F$5:$J$455,5,FALSE)*S13),0))))</f>
        <v>0</v>
      </c>
      <c r="BI13" s="138">
        <f>IF(J13="",0,MAX((IFERROR((VLOOKUP((AI13&amp;$T$6),Ratesheet!$F$5:$J$455,5,FALSE)*T13),0)),(IFERROR((VLOOKUP((AY13&amp;$T$6),Ratesheet!$F$5:$J$455,5,FALSE)*T13),0))))</f>
        <v>0</v>
      </c>
      <c r="BJ13" s="139">
        <f>IF(I13="",0,MAX((IFERROR((VLOOKUP((AH13&amp;$U$6),Ratesheet!$F$5:$J$455,5,FALSE)*U13),0)),(IFERROR((VLOOKUP((AX13&amp;$U$6),Ratesheet!$F$5:$J$455,5,FALSE)*U13),0))))</f>
        <v>0</v>
      </c>
      <c r="BK13" s="138">
        <f t="shared" si="5"/>
        <v>0</v>
      </c>
      <c r="BL13" s="138">
        <f>IFERROR(BK13*VLOOKUP($C$7,'Ref1'!$B$230:$C$236,2,FALSE),0)</f>
        <v>0</v>
      </c>
    </row>
    <row r="14" spans="1:64" ht="12" customHeight="1">
      <c r="A14" s="419"/>
      <c r="B14" s="420"/>
      <c r="C14" s="420"/>
      <c r="D14" s="420"/>
      <c r="E14" s="90"/>
      <c r="F14" s="862"/>
      <c r="G14" s="863"/>
      <c r="H14" s="567" t="str">
        <f>IF(F14="","",MainSheet!$B$6)</f>
        <v/>
      </c>
      <c r="I14" s="567"/>
      <c r="J14" s="592"/>
      <c r="K14" s="592"/>
      <c r="L14" s="592"/>
      <c r="M14" s="592"/>
      <c r="N14" s="592"/>
      <c r="O14" s="592"/>
      <c r="P14" s="592"/>
      <c r="Q14" s="592"/>
      <c r="R14" s="592"/>
      <c r="S14" s="592"/>
      <c r="T14" s="595"/>
      <c r="U14" s="593"/>
      <c r="V14" s="594">
        <f t="shared" si="0"/>
        <v>0</v>
      </c>
      <c r="W14" s="66"/>
      <c r="X14" s="66"/>
      <c r="Y14" s="66"/>
      <c r="AH14" s="66" t="str">
        <f t="shared" si="1"/>
        <v xml:space="preserve"> - </v>
      </c>
      <c r="AI14" s="66" t="str">
        <f t="shared" si="2"/>
        <v xml:space="preserve"> - </v>
      </c>
      <c r="AJ14" s="138">
        <f>IF(I14="",0,MAX((IFERROR((VLOOKUP((AH14&amp;$J$6),Ratesheet!$F$5:$J$455,4,FALSE)*J14),0)),(IFERROR((VLOOKUP((AI14&amp;$J$6),Ratesheet!$F$5:$J$455,4,FALSE)*J14),0))))</f>
        <v>0</v>
      </c>
      <c r="AK14" s="138">
        <f>IF(I14="",0,MAX((IFERROR((VLOOKUP((AH14&amp;$K$6),Ratesheet!$F$5:$J$455,4,FALSE)*K14),0)),(IFERROR((VLOOKUP((AI14&amp;$K$6),Ratesheet!$F$5:$J$455,4,FALSE)*K14),0))))</f>
        <v>0</v>
      </c>
      <c r="AL14" s="138">
        <f>IF(I14="",0,MAX((IFERROR((VLOOKUP((AH14&amp;$L$6),Ratesheet!$F$5:$J$455,4,FALSE)*L14),0)),(IFERROR((VLOOKUP((AI14&amp;$L$6),Ratesheet!$F$5:$J$455,4,FALSE)*L14),0))))</f>
        <v>0</v>
      </c>
      <c r="AM14" s="138">
        <f>IF(I14="",0,MAX((IFERROR((VLOOKUP((AH14&amp;$M$6),Ratesheet!$F$5:$J$455,4,FALSE)*M14),0)),(IFERROR((VLOOKUP((AI14&amp;$M$6),Ratesheet!$F$5:$J$455,4,FALSE)*M14),0))))</f>
        <v>0</v>
      </c>
      <c r="AN14" s="138">
        <f>IF(I14="",0,MAX((IFERROR((VLOOKUP((AH14&amp;$N$6),Ratesheet!$F$5:$J$455,4,FALSE)*N14),0)),(IFERROR((VLOOKUP((AI14&amp;$N$6),Ratesheet!$F$5:$J$455,4,FALSE)*N14),0))))</f>
        <v>0</v>
      </c>
      <c r="AO14" s="138">
        <f>IF(I14="",0,MAX((IFERROR((VLOOKUP((AH14&amp;$O$6),Ratesheet!$F$5:$J$455,4,FALSE)*O14),0)),(IFERROR((VLOOKUP((AI14&amp;$O$6),Ratesheet!$F$5:$J$455,4,FALSE)*O14),0))))</f>
        <v>0</v>
      </c>
      <c r="AP14" s="138">
        <f>IF(I14="",0,MAX((IFERROR((VLOOKUP((AH14&amp;$P$6),Ratesheet!$F$5:$J$455,4,FALSE)*P14),0)),(IFERROR((VLOOKUP((AI14&amp;$P$6),Ratesheet!$F$5:$J$455,4,FALSE)*P14),0))))</f>
        <v>0</v>
      </c>
      <c r="AQ14" s="138">
        <f>IF(I14="",0,MAX((IFERROR((VLOOKUP((AH14&amp;$Q$6),Ratesheet!$F$5:$J$455,4,FALSE)*Q14),0)),(IFERROR((VLOOKUP((AI14&amp;$Q$6),Ratesheet!$F$5:$J$455,4,FALSE)*Q14),0))))</f>
        <v>0</v>
      </c>
      <c r="AR14" s="138">
        <f>IF(I14="",0,MAX((IFERROR((VLOOKUP((AH14&amp;$R$6),Ratesheet!$F$5:$J$455,4,FALSE)*R14),0)),(IFERROR((VLOOKUP((AI14&amp;$R$6),Ratesheet!$F$5:$J$455,4,FALSE)*R14),0))))</f>
        <v>0</v>
      </c>
      <c r="AS14" s="138">
        <f>IF(I14="",0,MAX((IFERROR((VLOOKUP((AH14&amp;$S$6),Ratesheet!$F$5:$J$455,4,FALSE)*S14),0)),(IFERROR((VLOOKUP((AI14&amp;$S$6),Ratesheet!$F$5:$J$455,4,FALSE)*S14),0))))</f>
        <v>0</v>
      </c>
      <c r="AT14" s="138">
        <f>IF(I14="",0,MAX((IFERROR((VLOOKUP((AI14&amp;$T$6),Ratesheet!$F$5:$J$455,4,FALSE)*T14),0)),(IFERROR((VLOOKUP((AJ14&amp;$T$6),Ratesheet!$F$5:$J$455,4,FALSE)*T14),0))))</f>
        <v>0</v>
      </c>
      <c r="AU14" s="139">
        <f>IF(I14="",0,MAX((IFERROR((VLOOKUP((AH14&amp;$U$6),Ratesheet!$F$5:$J$455,4,FALSE)*U14),0)),(IFERROR((VLOOKUP((AI14&amp;$U$6),Ratesheet!$F$5:$J$455,4,FALSE)*U14),0))))</f>
        <v>0</v>
      </c>
      <c r="AV14" s="138">
        <f t="shared" si="3"/>
        <v>0</v>
      </c>
      <c r="AW14" s="295">
        <f>IFERROR(AV14*VLOOKUP($C$7,'Ref1'!$B$230:$C$236,2,FALSE),0)</f>
        <v>0</v>
      </c>
      <c r="AX14" s="66" t="str">
        <f t="shared" si="4"/>
        <v xml:space="preserve"> - </v>
      </c>
      <c r="AY14" s="138">
        <f>IF(I14="",0,MAX((IFERROR((VLOOKUP((AH14&amp;$J$6),Ratesheet!$F$5:$J$455,5,FALSE)*J14),0)),(IFERROR((VLOOKUP((AX14&amp;$J$6),Ratesheet!$F$5:$J$455,5,FALSE)*J14),0))))</f>
        <v>0</v>
      </c>
      <c r="AZ14" s="138">
        <f>IF(I14="",0,MAX((IFERROR((VLOOKUP((AH14&amp;$K$6),Ratesheet!$F$5:$J$455,5,FALSE)*K14),0)),(IFERROR((VLOOKUP((AX14&amp;$K$6),Ratesheet!$F$5:$J$455,5,FALSE)*K14),0))))</f>
        <v>0</v>
      </c>
      <c r="BA14" s="138">
        <f>IF(I14="",0,MAX((IFERROR((VLOOKUP((AH14&amp;$L$6),Ratesheet!$F$5:$J$455,5,FALSE)*L14),0)),(IFERROR((VLOOKUP((AX14&amp;$L$6),Ratesheet!$F$5:$J$455,5,FALSE)*L14),0))))</f>
        <v>0</v>
      </c>
      <c r="BB14" s="138">
        <f>IF(I14="",0,MAX((IFERROR((VLOOKUP((AH14&amp;$M$6),Ratesheet!$F$5:$J$455,5,FALSE)*M14),0)),(IFERROR((VLOOKUP((AX14&amp;$M$6),Ratesheet!$F$5:$J$455,5,FALSE)*M14),0))))</f>
        <v>0</v>
      </c>
      <c r="BC14" s="138">
        <f>IF(I14="",0,MAX((IFERROR((VLOOKUP((AH14&amp;$N$6),Ratesheet!$F$5:$J$455,5,FALSE)*N14),0)),(IFERROR((VLOOKUP((AX14&amp;$N$6),Ratesheet!$F$5:$J$455,5,FALSE)*N14),0))))</f>
        <v>0</v>
      </c>
      <c r="BD14" s="138">
        <f>IF(I14="",0,MAX((IFERROR((VLOOKUP((AH14&amp;$O$6),Ratesheet!$F$5:$J$455,5,FALSE)*O14),0)),(IFERROR((VLOOKUP((AX14&amp;$O$6),Ratesheet!$F$5:$J$455,5,FALSE)*O14),0))))</f>
        <v>0</v>
      </c>
      <c r="BE14" s="138">
        <f>IF(I14="",0,MAX((IFERROR((VLOOKUP((AH14&amp;$P$6),Ratesheet!$F$5:$J$455,5,FALSE)*P14),0)),(IFERROR((VLOOKUP((AX14&amp;$P$6),Ratesheet!$F$5:$J$455,5,FALSE)*P14),0))))</f>
        <v>0</v>
      </c>
      <c r="BF14" s="138">
        <f>IF(I14="",0,MAX((IFERROR((VLOOKUP((AH14&amp;$Q$6),Ratesheet!$F$5:$J$455,5,FALSE)*Q14),0)),(IFERROR((VLOOKUP((AX14&amp;$Q$6),Ratesheet!$F$5:$J$455,5,FALSE)*Q14),0))))</f>
        <v>0</v>
      </c>
      <c r="BG14" s="138">
        <f>IF(I14="",0,MAX((IFERROR((VLOOKUP((AH14&amp;$R$6),Ratesheet!$F$5:$J$455,5,FALSE)*R14),0)),(IFERROR((VLOOKUP((AX14&amp;$R$6),Ratesheet!$F$5:$J$455,5,FALSE)*R14),0))))</f>
        <v>0</v>
      </c>
      <c r="BH14" s="138">
        <f>IF(I14="",0,MAX((IFERROR((VLOOKUP((AH14&amp;$S$6),Ratesheet!$F$5:$J$455,5,FALSE)*S14),0)),(IFERROR((VLOOKUP((AX14&amp;$S$6),Ratesheet!$F$5:$J$455,5,FALSE)*S14),0))))</f>
        <v>0</v>
      </c>
      <c r="BI14" s="138">
        <f>IF(J14="",0,MAX((IFERROR((VLOOKUP((AI14&amp;$T$6),Ratesheet!$F$5:$J$455,5,FALSE)*T14),0)),(IFERROR((VLOOKUP((AY14&amp;$T$6),Ratesheet!$F$5:$J$455,5,FALSE)*T14),0))))</f>
        <v>0</v>
      </c>
      <c r="BJ14" s="139">
        <f>IF(I14="",0,MAX((IFERROR((VLOOKUP((AH14&amp;$U$6),Ratesheet!$F$5:$J$455,5,FALSE)*U14),0)),(IFERROR((VLOOKUP((AX14&amp;$U$6),Ratesheet!$F$5:$J$455,5,FALSE)*U14),0))))</f>
        <v>0</v>
      </c>
      <c r="BK14" s="138">
        <f t="shared" si="5"/>
        <v>0</v>
      </c>
      <c r="BL14" s="138">
        <f>IFERROR(BK14*VLOOKUP($C$7,'Ref1'!$B$230:$C$236,2,FALSE),0)</f>
        <v>0</v>
      </c>
    </row>
    <row r="15" spans="1:64" ht="11.25" customHeight="1">
      <c r="A15" s="419"/>
      <c r="B15" s="420"/>
      <c r="C15" s="420"/>
      <c r="D15" s="420"/>
      <c r="E15" s="90"/>
      <c r="F15" s="862"/>
      <c r="G15" s="863"/>
      <c r="H15" s="567" t="str">
        <f>IF(F15="","",MainSheet!$B$6)</f>
        <v/>
      </c>
      <c r="I15" s="567"/>
      <c r="J15" s="592"/>
      <c r="K15" s="592"/>
      <c r="L15" s="592"/>
      <c r="M15" s="592"/>
      <c r="N15" s="592"/>
      <c r="O15" s="592"/>
      <c r="P15" s="592"/>
      <c r="Q15" s="592"/>
      <c r="R15" s="592"/>
      <c r="S15" s="592"/>
      <c r="T15" s="595"/>
      <c r="U15" s="593"/>
      <c r="V15" s="594">
        <f t="shared" si="0"/>
        <v>0</v>
      </c>
      <c r="W15" s="66"/>
      <c r="X15" s="66"/>
      <c r="Y15" s="66"/>
      <c r="AH15" s="66" t="str">
        <f t="shared" si="1"/>
        <v xml:space="preserve"> - </v>
      </c>
      <c r="AI15" s="66" t="str">
        <f t="shared" si="2"/>
        <v xml:space="preserve"> - </v>
      </c>
      <c r="AJ15" s="138">
        <f>IF(I15="",0,MAX((IFERROR((VLOOKUP((AH15&amp;$J$6),Ratesheet!$F$5:$J$455,4,FALSE)*J15),0)),(IFERROR((VLOOKUP((AI15&amp;$J$6),Ratesheet!$F$5:$J$455,4,FALSE)*J15),0))))</f>
        <v>0</v>
      </c>
      <c r="AK15" s="138">
        <f>IF(I15="",0,MAX((IFERROR((VLOOKUP((AH15&amp;$K$6),Ratesheet!$F$5:$J$455,4,FALSE)*K15),0)),(IFERROR((VLOOKUP((AI15&amp;$K$6),Ratesheet!$F$5:$J$455,4,FALSE)*K15),0))))</f>
        <v>0</v>
      </c>
      <c r="AL15" s="138">
        <f>IF(I15="",0,MAX((IFERROR((VLOOKUP((AH15&amp;$L$6),Ratesheet!$F$5:$J$455,4,FALSE)*L15),0)),(IFERROR((VLOOKUP((AI15&amp;$L$6),Ratesheet!$F$5:$J$455,4,FALSE)*L15),0))))</f>
        <v>0</v>
      </c>
      <c r="AM15" s="138">
        <f>IF(I15="",0,MAX((IFERROR((VLOOKUP((AH15&amp;$M$6),Ratesheet!$F$5:$J$455,4,FALSE)*M15),0)),(IFERROR((VLOOKUP((AI15&amp;$M$6),Ratesheet!$F$5:$J$455,4,FALSE)*M15),0))))</f>
        <v>0</v>
      </c>
      <c r="AN15" s="138">
        <f>IF(I15="",0,MAX((IFERROR((VLOOKUP((AH15&amp;$N$6),Ratesheet!$F$5:$J$455,4,FALSE)*N15),0)),(IFERROR((VLOOKUP((AI15&amp;$N$6),Ratesheet!$F$5:$J$455,4,FALSE)*N15),0))))</f>
        <v>0</v>
      </c>
      <c r="AO15" s="138">
        <f>IF(I15="",0,MAX((IFERROR((VLOOKUP((AH15&amp;$O$6),Ratesheet!$F$5:$J$455,4,FALSE)*O15),0)),(IFERROR((VLOOKUP((AI15&amp;$O$6),Ratesheet!$F$5:$J$455,4,FALSE)*O15),0))))</f>
        <v>0</v>
      </c>
      <c r="AP15" s="138">
        <f>IF(I15="",0,MAX((IFERROR((VLOOKUP((AH15&amp;$P$6),Ratesheet!$F$5:$J$455,4,FALSE)*P15),0)),(IFERROR((VLOOKUP((AI15&amp;$P$6),Ratesheet!$F$5:$J$455,4,FALSE)*P15),0))))</f>
        <v>0</v>
      </c>
      <c r="AQ15" s="138">
        <f>IF(I15="",0,MAX((IFERROR((VLOOKUP((AH15&amp;$Q$6),Ratesheet!$F$5:$J$455,4,FALSE)*Q15),0)),(IFERROR((VLOOKUP((AI15&amp;$Q$6),Ratesheet!$F$5:$J$455,4,FALSE)*Q15),0))))</f>
        <v>0</v>
      </c>
      <c r="AR15" s="138">
        <f>IF(I15="",0,MAX((IFERROR((VLOOKUP((AH15&amp;$R$6),Ratesheet!$F$5:$J$455,4,FALSE)*R15),0)),(IFERROR((VLOOKUP((AI15&amp;$R$6),Ratesheet!$F$5:$J$455,4,FALSE)*R15),0))))</f>
        <v>0</v>
      </c>
      <c r="AS15" s="138">
        <f>IF(I15="",0,MAX((IFERROR((VLOOKUP((AH15&amp;$S$6),Ratesheet!$F$5:$J$455,4,FALSE)*S15),0)),(IFERROR((VLOOKUP((AI15&amp;$S$6),Ratesheet!$F$5:$J$455,4,FALSE)*S15),0))))</f>
        <v>0</v>
      </c>
      <c r="AT15" s="138">
        <f>IF(I15="",0,MAX((IFERROR((VLOOKUP((AI15&amp;$T$6),Ratesheet!$F$5:$J$455,4,FALSE)*T15),0)),(IFERROR((VLOOKUP((AJ15&amp;$T$6),Ratesheet!$F$5:$J$455,4,FALSE)*T15),0))))</f>
        <v>0</v>
      </c>
      <c r="AU15" s="139">
        <f>IF(I15="",0,MAX((IFERROR((VLOOKUP((AH15&amp;$U$6),Ratesheet!$F$5:$J$455,4,FALSE)*U15),0)),(IFERROR((VLOOKUP((AI15&amp;$U$6),Ratesheet!$F$5:$J$455,4,FALSE)*U15),0))))</f>
        <v>0</v>
      </c>
      <c r="AV15" s="138">
        <f t="shared" si="3"/>
        <v>0</v>
      </c>
      <c r="AW15" s="295">
        <f>IFERROR(AV15*VLOOKUP($C$7,'Ref1'!$B$230:$C$236,2,FALSE),0)</f>
        <v>0</v>
      </c>
      <c r="AX15" s="66" t="str">
        <f t="shared" si="4"/>
        <v xml:space="preserve"> - </v>
      </c>
      <c r="AY15" s="138">
        <f>IF(I15="",0,MAX((IFERROR((VLOOKUP((AH15&amp;$J$6),Ratesheet!$F$5:$J$455,5,FALSE)*J15),0)),(IFERROR((VLOOKUP((AX15&amp;$J$6),Ratesheet!$F$5:$J$455,5,FALSE)*J15),0))))</f>
        <v>0</v>
      </c>
      <c r="AZ15" s="138">
        <f>IF(I15="",0,MAX((IFERROR((VLOOKUP((AH15&amp;$K$6),Ratesheet!$F$5:$J$455,5,FALSE)*K15),0)),(IFERROR((VLOOKUP((AX15&amp;$K$6),Ratesheet!$F$5:$J$455,5,FALSE)*K15),0))))</f>
        <v>0</v>
      </c>
      <c r="BA15" s="138">
        <f>IF(I15="",0,MAX((IFERROR((VLOOKUP((AH15&amp;$L$6),Ratesheet!$F$5:$J$455,5,FALSE)*L15),0)),(IFERROR((VLOOKUP((AX15&amp;$L$6),Ratesheet!$F$5:$J$455,5,FALSE)*L15),0))))</f>
        <v>0</v>
      </c>
      <c r="BB15" s="138">
        <f>IF(I15="",0,MAX((IFERROR((VLOOKUP((AH15&amp;$M$6),Ratesheet!$F$5:$J$455,5,FALSE)*M15),0)),(IFERROR((VLOOKUP((AX15&amp;$M$6),Ratesheet!$F$5:$J$455,5,FALSE)*M15),0))))</f>
        <v>0</v>
      </c>
      <c r="BC15" s="138">
        <f>IF(I15="",0,MAX((IFERROR((VLOOKUP((AH15&amp;$N$6),Ratesheet!$F$5:$J$455,5,FALSE)*N15),0)),(IFERROR((VLOOKUP((AX15&amp;$N$6),Ratesheet!$F$5:$J$455,5,FALSE)*N15),0))))</f>
        <v>0</v>
      </c>
      <c r="BD15" s="138">
        <f>IF(I15="",0,MAX((IFERROR((VLOOKUP((AH15&amp;$O$6),Ratesheet!$F$5:$J$455,5,FALSE)*O15),0)),(IFERROR((VLOOKUP((AX15&amp;$O$6),Ratesheet!$F$5:$J$455,5,FALSE)*O15),0))))</f>
        <v>0</v>
      </c>
      <c r="BE15" s="138">
        <f>IF(I15="",0,MAX((IFERROR((VLOOKUP((AH15&amp;$P$6),Ratesheet!$F$5:$J$455,5,FALSE)*P15),0)),(IFERROR((VLOOKUP((AX15&amp;$P$6),Ratesheet!$F$5:$J$455,5,FALSE)*P15),0))))</f>
        <v>0</v>
      </c>
      <c r="BF15" s="138">
        <f>IF(I15="",0,MAX((IFERROR((VLOOKUP((AH15&amp;$Q$6),Ratesheet!$F$5:$J$455,5,FALSE)*Q15),0)),(IFERROR((VLOOKUP((AX15&amp;$Q$6),Ratesheet!$F$5:$J$455,5,FALSE)*Q15),0))))</f>
        <v>0</v>
      </c>
      <c r="BG15" s="138">
        <f>IF(I15="",0,MAX((IFERROR((VLOOKUP((AH15&amp;$R$6),Ratesheet!$F$5:$J$455,5,FALSE)*R15),0)),(IFERROR((VLOOKUP((AX15&amp;$R$6),Ratesheet!$F$5:$J$455,5,FALSE)*R15),0))))</f>
        <v>0</v>
      </c>
      <c r="BH15" s="138">
        <f>IF(I15="",0,MAX((IFERROR((VLOOKUP((AH15&amp;$S$6),Ratesheet!$F$5:$J$455,5,FALSE)*S15),0)),(IFERROR((VLOOKUP((AX15&amp;$S$6),Ratesheet!$F$5:$J$455,5,FALSE)*S15),0))))</f>
        <v>0</v>
      </c>
      <c r="BI15" s="138">
        <f>IF(J15="",0,MAX((IFERROR((VLOOKUP((AI15&amp;$T$6),Ratesheet!$F$5:$J$455,5,FALSE)*T15),0)),(IFERROR((VLOOKUP((AY15&amp;$T$6),Ratesheet!$F$5:$J$455,5,FALSE)*T15),0))))</f>
        <v>0</v>
      </c>
      <c r="BJ15" s="139">
        <f>IF(I15="",0,MAX((IFERROR((VLOOKUP((AH15&amp;$U$6),Ratesheet!$F$5:$J$455,5,FALSE)*U15),0)),(IFERROR((VLOOKUP((AX15&amp;$U$6),Ratesheet!$F$5:$J$455,5,FALSE)*U15),0))))</f>
        <v>0</v>
      </c>
      <c r="BK15" s="138">
        <f t="shared" si="5"/>
        <v>0</v>
      </c>
      <c r="BL15" s="138">
        <f>IFERROR(BK15*VLOOKUP($C$7,'Ref1'!$B$230:$C$236,2,FALSE),0)</f>
        <v>0</v>
      </c>
    </row>
    <row r="16" spans="1:64" ht="11.25" customHeight="1">
      <c r="A16" s="419"/>
      <c r="B16" s="420"/>
      <c r="C16" s="420"/>
      <c r="D16" s="420"/>
      <c r="E16" s="90"/>
      <c r="F16" s="862"/>
      <c r="G16" s="863"/>
      <c r="H16" s="567" t="str">
        <f>IF(F16="","",MainSheet!$B$6)</f>
        <v/>
      </c>
      <c r="I16" s="567"/>
      <c r="J16" s="592"/>
      <c r="K16" s="592"/>
      <c r="L16" s="592"/>
      <c r="M16" s="592"/>
      <c r="N16" s="592"/>
      <c r="O16" s="592"/>
      <c r="P16" s="592"/>
      <c r="Q16" s="592"/>
      <c r="R16" s="592"/>
      <c r="S16" s="592"/>
      <c r="T16" s="595"/>
      <c r="U16" s="593"/>
      <c r="V16" s="594">
        <f t="shared" si="0"/>
        <v>0</v>
      </c>
      <c r="W16" s="66"/>
      <c r="X16" s="66"/>
      <c r="Y16" s="66"/>
      <c r="AH16" s="66" t="str">
        <f t="shared" si="1"/>
        <v xml:space="preserve"> - </v>
      </c>
      <c r="AI16" s="66" t="str">
        <f t="shared" si="2"/>
        <v xml:space="preserve"> - </v>
      </c>
      <c r="AJ16" s="138">
        <f>IF(I16="",0,MAX((IFERROR((VLOOKUP((AH16&amp;$J$6),Ratesheet!$F$5:$J$455,4,FALSE)*J16),0)),(IFERROR((VLOOKUP((AI16&amp;$J$6),Ratesheet!$F$5:$J$455,4,FALSE)*J16),0))))</f>
        <v>0</v>
      </c>
      <c r="AK16" s="138">
        <f>IF(I16="",0,MAX((IFERROR((VLOOKUP((AH16&amp;$K$6),Ratesheet!$F$5:$J$455,4,FALSE)*K16),0)),(IFERROR((VLOOKUP((AI16&amp;$K$6),Ratesheet!$F$5:$J$455,4,FALSE)*K16),0))))</f>
        <v>0</v>
      </c>
      <c r="AL16" s="138">
        <f>IF(I16="",0,MAX((IFERROR((VLOOKUP((AH16&amp;$L$6),Ratesheet!$F$5:$J$455,4,FALSE)*L16),0)),(IFERROR((VLOOKUP((AI16&amp;$L$6),Ratesheet!$F$5:$J$455,4,FALSE)*L16),0))))</f>
        <v>0</v>
      </c>
      <c r="AM16" s="138">
        <f>IF(I16="",0,MAX((IFERROR((VLOOKUP((AH16&amp;$M$6),Ratesheet!$F$5:$J$455,4,FALSE)*M16),0)),(IFERROR((VLOOKUP((AI16&amp;$M$6),Ratesheet!$F$5:$J$455,4,FALSE)*M16),0))))</f>
        <v>0</v>
      </c>
      <c r="AN16" s="138">
        <f>IF(I16="",0,MAX((IFERROR((VLOOKUP((AH16&amp;$N$6),Ratesheet!$F$5:$J$455,4,FALSE)*N16),0)),(IFERROR((VLOOKUP((AI16&amp;$N$6),Ratesheet!$F$5:$J$455,4,FALSE)*N16),0))))</f>
        <v>0</v>
      </c>
      <c r="AO16" s="138">
        <f>IF(I16="",0,MAX((IFERROR((VLOOKUP((AH16&amp;$O$6),Ratesheet!$F$5:$J$455,4,FALSE)*O16),0)),(IFERROR((VLOOKUP((AI16&amp;$O$6),Ratesheet!$F$5:$J$455,4,FALSE)*O16),0))))</f>
        <v>0</v>
      </c>
      <c r="AP16" s="138">
        <f>IF(I16="",0,MAX((IFERROR((VLOOKUP((AH16&amp;$P$6),Ratesheet!$F$5:$J$455,4,FALSE)*P16),0)),(IFERROR((VLOOKUP((AI16&amp;$P$6),Ratesheet!$F$5:$J$455,4,FALSE)*P16),0))))</f>
        <v>0</v>
      </c>
      <c r="AQ16" s="138">
        <f>IF(I16="",0,MAX((IFERROR((VLOOKUP((AH16&amp;$Q$6),Ratesheet!$F$5:$J$455,4,FALSE)*Q16),0)),(IFERROR((VLOOKUP((AI16&amp;$Q$6),Ratesheet!$F$5:$J$455,4,FALSE)*Q16),0))))</f>
        <v>0</v>
      </c>
      <c r="AR16" s="138">
        <f>IF(I16="",0,MAX((IFERROR((VLOOKUP((AH16&amp;$R$6),Ratesheet!$F$5:$J$455,4,FALSE)*R16),0)),(IFERROR((VLOOKUP((AI16&amp;$R$6),Ratesheet!$F$5:$J$455,4,FALSE)*R16),0))))</f>
        <v>0</v>
      </c>
      <c r="AS16" s="138">
        <f>IF(I16="",0,MAX((IFERROR((VLOOKUP((AH16&amp;$S$6),Ratesheet!$F$5:$J$455,4,FALSE)*S16),0)),(IFERROR((VLOOKUP((AI16&amp;$S$6),Ratesheet!$F$5:$J$455,4,FALSE)*S16),0))))</f>
        <v>0</v>
      </c>
      <c r="AT16" s="138">
        <f>IF(I16="",0,MAX((IFERROR((VLOOKUP((AI16&amp;$T$6),Ratesheet!$F$5:$J$455,4,FALSE)*T16),0)),(IFERROR((VLOOKUP((AJ16&amp;$T$6),Ratesheet!$F$5:$J$455,4,FALSE)*T16),0))))</f>
        <v>0</v>
      </c>
      <c r="AU16" s="139">
        <f>IF(I16="",0,MAX((IFERROR((VLOOKUP((AH16&amp;$U$6),Ratesheet!$F$5:$J$455,4,FALSE)*U16),0)),(IFERROR((VLOOKUP((AI16&amp;$U$6),Ratesheet!$F$5:$J$455,4,FALSE)*U16),0))))</f>
        <v>0</v>
      </c>
      <c r="AV16" s="138">
        <f t="shared" si="3"/>
        <v>0</v>
      </c>
      <c r="AW16" s="295">
        <f>IFERROR(AV16*VLOOKUP($C$7,'Ref1'!$B$230:$C$236,2,FALSE),0)</f>
        <v>0</v>
      </c>
      <c r="AX16" s="66" t="str">
        <f t="shared" si="4"/>
        <v xml:space="preserve"> - </v>
      </c>
      <c r="AY16" s="138">
        <f>IF(I16="",0,MAX((IFERROR((VLOOKUP((AH16&amp;$J$6),Ratesheet!$F$5:$J$455,5,FALSE)*J16),0)),(IFERROR((VLOOKUP((AX16&amp;$J$6),Ratesheet!$F$5:$J$455,5,FALSE)*J16),0))))</f>
        <v>0</v>
      </c>
      <c r="AZ16" s="138">
        <f>IF(I16="",0,MAX((IFERROR((VLOOKUP((AH16&amp;$K$6),Ratesheet!$F$5:$J$455,5,FALSE)*K16),0)),(IFERROR((VLOOKUP((AX16&amp;$K$6),Ratesheet!$F$5:$J$455,5,FALSE)*K16),0))))</f>
        <v>0</v>
      </c>
      <c r="BA16" s="138">
        <f>IF(I16="",0,MAX((IFERROR((VLOOKUP((AH16&amp;$L$6),Ratesheet!$F$5:$J$455,5,FALSE)*L16),0)),(IFERROR((VLOOKUP((AX16&amp;$L$6),Ratesheet!$F$5:$J$455,5,FALSE)*L16),0))))</f>
        <v>0</v>
      </c>
      <c r="BB16" s="138">
        <f>IF(I16="",0,MAX((IFERROR((VLOOKUP((AH16&amp;$M$6),Ratesheet!$F$5:$J$455,5,FALSE)*M16),0)),(IFERROR((VLOOKUP((AX16&amp;$M$6),Ratesheet!$F$5:$J$455,5,FALSE)*M16),0))))</f>
        <v>0</v>
      </c>
      <c r="BC16" s="138">
        <f>IF(I16="",0,MAX((IFERROR((VLOOKUP((AH16&amp;$N$6),Ratesheet!$F$5:$J$455,5,FALSE)*N16),0)),(IFERROR((VLOOKUP((AX16&amp;$N$6),Ratesheet!$F$5:$J$455,5,FALSE)*N16),0))))</f>
        <v>0</v>
      </c>
      <c r="BD16" s="138">
        <f>IF(I16="",0,MAX((IFERROR((VLOOKUP((AH16&amp;$O$6),Ratesheet!$F$5:$J$455,5,FALSE)*O16),0)),(IFERROR((VLOOKUP((AX16&amp;$O$6),Ratesheet!$F$5:$J$455,5,FALSE)*O16),0))))</f>
        <v>0</v>
      </c>
      <c r="BE16" s="138">
        <f>IF(I16="",0,MAX((IFERROR((VLOOKUP((AH16&amp;$P$6),Ratesheet!$F$5:$J$455,5,FALSE)*P16),0)),(IFERROR((VLOOKUP((AX16&amp;$P$6),Ratesheet!$F$5:$J$455,5,FALSE)*P16),0))))</f>
        <v>0</v>
      </c>
      <c r="BF16" s="138">
        <f>IF(I16="",0,MAX((IFERROR((VLOOKUP((AH16&amp;$Q$6),Ratesheet!$F$5:$J$455,5,FALSE)*Q16),0)),(IFERROR((VLOOKUP((AX16&amp;$Q$6),Ratesheet!$F$5:$J$455,5,FALSE)*Q16),0))))</f>
        <v>0</v>
      </c>
      <c r="BG16" s="138">
        <f>IF(I16="",0,MAX((IFERROR((VLOOKUP((AH16&amp;$R$6),Ratesheet!$F$5:$J$455,5,FALSE)*R16),0)),(IFERROR((VLOOKUP((AX16&amp;$R$6),Ratesheet!$F$5:$J$455,5,FALSE)*R16),0))))</f>
        <v>0</v>
      </c>
      <c r="BH16" s="138">
        <f>IF(I16="",0,MAX((IFERROR((VLOOKUP((AH16&amp;$S$6),Ratesheet!$F$5:$J$455,5,FALSE)*S16),0)),(IFERROR((VLOOKUP((AX16&amp;$S$6),Ratesheet!$F$5:$J$455,5,FALSE)*S16),0))))</f>
        <v>0</v>
      </c>
      <c r="BI16" s="138">
        <f>IF(J16="",0,MAX((IFERROR((VLOOKUP((AI16&amp;$T$6),Ratesheet!$F$5:$J$455,5,FALSE)*T16),0)),(IFERROR((VLOOKUP((AY16&amp;$T$6),Ratesheet!$F$5:$J$455,5,FALSE)*T16),0))))</f>
        <v>0</v>
      </c>
      <c r="BJ16" s="139">
        <f>IF(I16="",0,MAX((IFERROR((VLOOKUP((AH16&amp;$U$6),Ratesheet!$F$5:$J$455,5,FALSE)*U16),0)),(IFERROR((VLOOKUP((AX16&amp;$U$6),Ratesheet!$F$5:$J$455,5,FALSE)*U16),0))))</f>
        <v>0</v>
      </c>
      <c r="BK16" s="138">
        <f t="shared" si="5"/>
        <v>0</v>
      </c>
      <c r="BL16" s="138">
        <f>IFERROR(BK16*VLOOKUP($C$7,'Ref1'!$B$230:$C$236,2,FALSE),0)</f>
        <v>0</v>
      </c>
    </row>
    <row r="17" spans="1:64" ht="11.25" customHeight="1">
      <c r="A17" s="419"/>
      <c r="B17" s="420"/>
      <c r="C17" s="420"/>
      <c r="D17" s="420"/>
      <c r="E17" s="90"/>
      <c r="F17" s="862"/>
      <c r="G17" s="863"/>
      <c r="H17" s="567" t="str">
        <f>IF(F17="","",MainSheet!$B$6)</f>
        <v/>
      </c>
      <c r="I17" s="567"/>
      <c r="J17" s="592"/>
      <c r="K17" s="592"/>
      <c r="L17" s="592"/>
      <c r="M17" s="592"/>
      <c r="N17" s="592"/>
      <c r="O17" s="592"/>
      <c r="P17" s="592"/>
      <c r="Q17" s="592"/>
      <c r="R17" s="592"/>
      <c r="S17" s="592"/>
      <c r="T17" s="595"/>
      <c r="U17" s="593"/>
      <c r="V17" s="594">
        <f t="shared" si="0"/>
        <v>0</v>
      </c>
      <c r="W17" s="66"/>
      <c r="X17" s="66"/>
      <c r="Y17" s="66"/>
      <c r="AH17" s="66" t="str">
        <f t="shared" si="1"/>
        <v xml:space="preserve"> - </v>
      </c>
      <c r="AI17" s="66" t="str">
        <f t="shared" si="2"/>
        <v xml:space="preserve"> - </v>
      </c>
      <c r="AJ17" s="138">
        <f>IF(I17="",0,MAX((IFERROR((VLOOKUP((AH17&amp;$J$6),Ratesheet!$F$5:$J$455,4,FALSE)*J17),0)),(IFERROR((VLOOKUP((AI17&amp;$J$6),Ratesheet!$F$5:$J$455,4,FALSE)*J17),0))))</f>
        <v>0</v>
      </c>
      <c r="AK17" s="138">
        <f>IF(I17="",0,MAX((IFERROR((VLOOKUP((AH17&amp;$K$6),Ratesheet!$F$5:$J$455,4,FALSE)*K17),0)),(IFERROR((VLOOKUP((AI17&amp;$K$6),Ratesheet!$F$5:$J$455,4,FALSE)*K17),0))))</f>
        <v>0</v>
      </c>
      <c r="AL17" s="138">
        <f>IF(I17="",0,MAX((IFERROR((VLOOKUP((AH17&amp;$L$6),Ratesheet!$F$5:$J$455,4,FALSE)*L17),0)),(IFERROR((VLOOKUP((AI17&amp;$L$6),Ratesheet!$F$5:$J$455,4,FALSE)*L17),0))))</f>
        <v>0</v>
      </c>
      <c r="AM17" s="138">
        <f>IF(I17="",0,MAX((IFERROR((VLOOKUP((AH17&amp;$M$6),Ratesheet!$F$5:$J$455,4,FALSE)*M17),0)),(IFERROR((VLOOKUP((AI17&amp;$M$6),Ratesheet!$F$5:$J$455,4,FALSE)*M17),0))))</f>
        <v>0</v>
      </c>
      <c r="AN17" s="138">
        <f>IF(I17="",0,MAX((IFERROR((VLOOKUP((AH17&amp;$N$6),Ratesheet!$F$5:$J$455,4,FALSE)*N17),0)),(IFERROR((VLOOKUP((AI17&amp;$N$6),Ratesheet!$F$5:$J$455,4,FALSE)*N17),0))))</f>
        <v>0</v>
      </c>
      <c r="AO17" s="138">
        <f>IF(I17="",0,MAX((IFERROR((VLOOKUP((AH17&amp;$O$6),Ratesheet!$F$5:$J$455,4,FALSE)*O17),0)),(IFERROR((VLOOKUP((AI17&amp;$O$6),Ratesheet!$F$5:$J$455,4,FALSE)*O17),0))))</f>
        <v>0</v>
      </c>
      <c r="AP17" s="138">
        <f>IF(I17="",0,MAX((IFERROR((VLOOKUP((AH17&amp;$P$6),Ratesheet!$F$5:$J$455,4,FALSE)*P17),0)),(IFERROR((VLOOKUP((AI17&amp;$P$6),Ratesheet!$F$5:$J$455,4,FALSE)*P17),0))))</f>
        <v>0</v>
      </c>
      <c r="AQ17" s="138">
        <f>IF(I17="",0,MAX((IFERROR((VLOOKUP((AH17&amp;$Q$6),Ratesheet!$F$5:$J$455,4,FALSE)*Q17),0)),(IFERROR((VLOOKUP((AI17&amp;$Q$6),Ratesheet!$F$5:$J$455,4,FALSE)*Q17),0))))</f>
        <v>0</v>
      </c>
      <c r="AR17" s="138">
        <f>IF(I17="",0,MAX((IFERROR((VLOOKUP((AH17&amp;$R$6),Ratesheet!$F$5:$J$455,4,FALSE)*R17),0)),(IFERROR((VLOOKUP((AI17&amp;$R$6),Ratesheet!$F$5:$J$455,4,FALSE)*R17),0))))</f>
        <v>0</v>
      </c>
      <c r="AS17" s="138">
        <f>IF(I17="",0,MAX((IFERROR((VLOOKUP((AH17&amp;$S$6),Ratesheet!$F$5:$J$455,4,FALSE)*S17),0)),(IFERROR((VLOOKUP((AI17&amp;$S$6),Ratesheet!$F$5:$J$455,4,FALSE)*S17),0))))</f>
        <v>0</v>
      </c>
      <c r="AT17" s="138">
        <f>IF(I17="",0,MAX((IFERROR((VLOOKUP((AI17&amp;$T$6),Ratesheet!$F$5:$J$455,4,FALSE)*T17),0)),(IFERROR((VLOOKUP((AJ17&amp;$T$6),Ratesheet!$F$5:$J$455,4,FALSE)*T17),0))))</f>
        <v>0</v>
      </c>
      <c r="AU17" s="139">
        <f>IF(I17="",0,MAX((IFERROR((VLOOKUP((AH17&amp;$U$6),Ratesheet!$F$5:$J$455,4,FALSE)*U17),0)),(IFERROR((VLOOKUP((AI17&amp;$U$6),Ratesheet!$F$5:$J$455,4,FALSE)*U17),0))))</f>
        <v>0</v>
      </c>
      <c r="AV17" s="138">
        <f t="shared" si="3"/>
        <v>0</v>
      </c>
      <c r="AW17" s="295">
        <f>IFERROR(AV17*VLOOKUP($C$7,'Ref1'!$B$230:$C$236,2,FALSE),0)</f>
        <v>0</v>
      </c>
      <c r="AX17" s="66" t="str">
        <f t="shared" si="4"/>
        <v xml:space="preserve"> - </v>
      </c>
      <c r="AY17" s="138">
        <f>IF(I17="",0,MAX((IFERROR((VLOOKUP((AH17&amp;$J$6),Ratesheet!$F$5:$J$455,5,FALSE)*J17),0)),(IFERROR((VLOOKUP((AX17&amp;$J$6),Ratesheet!$F$5:$J$455,5,FALSE)*J17),0))))</f>
        <v>0</v>
      </c>
      <c r="AZ17" s="138">
        <f>IF(I17="",0,MAX((IFERROR((VLOOKUP((AH17&amp;$K$6),Ratesheet!$F$5:$J$455,5,FALSE)*K17),0)),(IFERROR((VLOOKUP((AX17&amp;$K$6),Ratesheet!$F$5:$J$455,5,FALSE)*K17),0))))</f>
        <v>0</v>
      </c>
      <c r="BA17" s="138">
        <f>IF(I17="",0,MAX((IFERROR((VLOOKUP((AH17&amp;$L$6),Ratesheet!$F$5:$J$455,5,FALSE)*L17),0)),(IFERROR((VLOOKUP((AX17&amp;$L$6),Ratesheet!$F$5:$J$455,5,FALSE)*L17),0))))</f>
        <v>0</v>
      </c>
      <c r="BB17" s="138">
        <f>IF(I17="",0,MAX((IFERROR((VLOOKUP((AH17&amp;$M$6),Ratesheet!$F$5:$J$455,5,FALSE)*M17),0)),(IFERROR((VLOOKUP((AX17&amp;$M$6),Ratesheet!$F$5:$J$455,5,FALSE)*M17),0))))</f>
        <v>0</v>
      </c>
      <c r="BC17" s="138">
        <f>IF(I17="",0,MAX((IFERROR((VLOOKUP((AH17&amp;$N$6),Ratesheet!$F$5:$J$455,5,FALSE)*N17),0)),(IFERROR((VLOOKUP((AX17&amp;$N$6),Ratesheet!$F$5:$J$455,5,FALSE)*N17),0))))</f>
        <v>0</v>
      </c>
      <c r="BD17" s="138">
        <f>IF(I17="",0,MAX((IFERROR((VLOOKUP((AH17&amp;$O$6),Ratesheet!$F$5:$J$455,5,FALSE)*O17),0)),(IFERROR((VLOOKUP((AX17&amp;$O$6),Ratesheet!$F$5:$J$455,5,FALSE)*O17),0))))</f>
        <v>0</v>
      </c>
      <c r="BE17" s="138">
        <f>IF(I17="",0,MAX((IFERROR((VLOOKUP((AH17&amp;$P$6),Ratesheet!$F$5:$J$455,5,FALSE)*P17),0)),(IFERROR((VLOOKUP((AX17&amp;$P$6),Ratesheet!$F$5:$J$455,5,FALSE)*P17),0))))</f>
        <v>0</v>
      </c>
      <c r="BF17" s="138">
        <f>IF(I17="",0,MAX((IFERROR((VLOOKUP((AH17&amp;$Q$6),Ratesheet!$F$5:$J$455,5,FALSE)*Q17),0)),(IFERROR((VLOOKUP((AX17&amp;$Q$6),Ratesheet!$F$5:$J$455,5,FALSE)*Q17),0))))</f>
        <v>0</v>
      </c>
      <c r="BG17" s="138">
        <f>IF(I17="",0,MAX((IFERROR((VLOOKUP((AH17&amp;$R$6),Ratesheet!$F$5:$J$455,5,FALSE)*R17),0)),(IFERROR((VLOOKUP((AX17&amp;$R$6),Ratesheet!$F$5:$J$455,5,FALSE)*R17),0))))</f>
        <v>0</v>
      </c>
      <c r="BH17" s="138">
        <f>IF(I17="",0,MAX((IFERROR((VLOOKUP((AH17&amp;$S$6),Ratesheet!$F$5:$J$455,5,FALSE)*S17),0)),(IFERROR((VLOOKUP((AX17&amp;$S$6),Ratesheet!$F$5:$J$455,5,FALSE)*S17),0))))</f>
        <v>0</v>
      </c>
      <c r="BI17" s="138">
        <f>IF(J17="",0,MAX((IFERROR((VLOOKUP((AI17&amp;$T$6),Ratesheet!$F$5:$J$455,5,FALSE)*T17),0)),(IFERROR((VLOOKUP((AY17&amp;$T$6),Ratesheet!$F$5:$J$455,5,FALSE)*T17),0))))</f>
        <v>0</v>
      </c>
      <c r="BJ17" s="139">
        <f>IF(I17="",0,MAX((IFERROR((VLOOKUP((AH17&amp;$U$6),Ratesheet!$F$5:$J$455,5,FALSE)*U17),0)),(IFERROR((VLOOKUP((AX17&amp;$U$6),Ratesheet!$F$5:$J$455,5,FALSE)*U17),0))))</f>
        <v>0</v>
      </c>
      <c r="BK17" s="138">
        <f t="shared" si="5"/>
        <v>0</v>
      </c>
      <c r="BL17" s="138">
        <f>IFERROR(BK17*VLOOKUP($C$7,'Ref1'!$B$230:$C$236,2,FALSE),0)</f>
        <v>0</v>
      </c>
    </row>
    <row r="18" spans="1:64" ht="11.25" customHeight="1">
      <c r="A18" s="421"/>
      <c r="B18" s="420"/>
      <c r="C18" s="420"/>
      <c r="D18" s="420"/>
      <c r="E18" s="142"/>
      <c r="F18" s="862"/>
      <c r="G18" s="863"/>
      <c r="H18" s="567" t="str">
        <f>IF(F18="","",MainSheet!$B$6)</f>
        <v/>
      </c>
      <c r="I18" s="567"/>
      <c r="J18" s="592"/>
      <c r="K18" s="592"/>
      <c r="L18" s="592"/>
      <c r="M18" s="592"/>
      <c r="N18" s="592"/>
      <c r="O18" s="592"/>
      <c r="P18" s="592"/>
      <c r="Q18" s="592"/>
      <c r="R18" s="592"/>
      <c r="S18" s="592"/>
      <c r="T18" s="595"/>
      <c r="U18" s="593"/>
      <c r="V18" s="594">
        <f t="shared" si="0"/>
        <v>0</v>
      </c>
      <c r="W18" s="66"/>
      <c r="X18" s="66"/>
      <c r="Y18" s="66"/>
      <c r="AH18" s="66" t="str">
        <f t="shared" si="1"/>
        <v xml:space="preserve"> - </v>
      </c>
      <c r="AI18" s="66" t="str">
        <f t="shared" si="2"/>
        <v xml:space="preserve"> - </v>
      </c>
      <c r="AJ18" s="138">
        <f>IF(I18="",0,MAX((IFERROR((VLOOKUP((AH18&amp;$J$6),Ratesheet!$F$5:$J$455,4,FALSE)*J18),0)),(IFERROR((VLOOKUP((AI18&amp;$J$6),Ratesheet!$F$5:$J$455,4,FALSE)*J18),0))))</f>
        <v>0</v>
      </c>
      <c r="AK18" s="138">
        <f>IF(I18="",0,MAX((IFERROR((VLOOKUP((AH18&amp;$K$6),Ratesheet!$F$5:$J$455,4,FALSE)*K18),0)),(IFERROR((VLOOKUP((AI18&amp;$K$6),Ratesheet!$F$5:$J$455,4,FALSE)*K18),0))))</f>
        <v>0</v>
      </c>
      <c r="AL18" s="138">
        <f>IF(I18="",0,MAX((IFERROR((VLOOKUP((AH18&amp;$L$6),Ratesheet!$F$5:$J$455,4,FALSE)*L18),0)),(IFERROR((VLOOKUP((AI18&amp;$L$6),Ratesheet!$F$5:$J$455,4,FALSE)*L18),0))))</f>
        <v>0</v>
      </c>
      <c r="AM18" s="138">
        <f>IF(I18="",0,MAX((IFERROR((VLOOKUP((AH18&amp;$M$6),Ratesheet!$F$5:$J$455,4,FALSE)*M18),0)),(IFERROR((VLOOKUP((AI18&amp;$M$6),Ratesheet!$F$5:$J$455,4,FALSE)*M18),0))))</f>
        <v>0</v>
      </c>
      <c r="AN18" s="138">
        <f>IF(I18="",0,MAX((IFERROR((VLOOKUP((AH18&amp;$N$6),Ratesheet!$F$5:$J$455,4,FALSE)*N18),0)),(IFERROR((VLOOKUP((AI18&amp;$N$6),Ratesheet!$F$5:$J$455,4,FALSE)*N18),0))))</f>
        <v>0</v>
      </c>
      <c r="AO18" s="138">
        <f>IF(I18="",0,MAX((IFERROR((VLOOKUP((AH18&amp;$O$6),Ratesheet!$F$5:$J$455,4,FALSE)*O18),0)),(IFERROR((VLOOKUP((AI18&amp;$O$6),Ratesheet!$F$5:$J$455,4,FALSE)*O18),0))))</f>
        <v>0</v>
      </c>
      <c r="AP18" s="138">
        <f>IF(I18="",0,MAX((IFERROR((VLOOKUP((AH18&amp;$P$6),Ratesheet!$F$5:$J$455,4,FALSE)*P18),0)),(IFERROR((VLOOKUP((AI18&amp;$P$6),Ratesheet!$F$5:$J$455,4,FALSE)*P18),0))))</f>
        <v>0</v>
      </c>
      <c r="AQ18" s="138">
        <f>IF(I18="",0,MAX((IFERROR((VLOOKUP((AH18&amp;$Q$6),Ratesheet!$F$5:$J$455,4,FALSE)*Q18),0)),(IFERROR((VLOOKUP((AI18&amp;$Q$6),Ratesheet!$F$5:$J$455,4,FALSE)*Q18),0))))</f>
        <v>0</v>
      </c>
      <c r="AR18" s="138">
        <f>IF(I18="",0,MAX((IFERROR((VLOOKUP((AH18&amp;$R$6),Ratesheet!$F$5:$J$455,4,FALSE)*R18),0)),(IFERROR((VLOOKUP((AI18&amp;$R$6),Ratesheet!$F$5:$J$455,4,FALSE)*R18),0))))</f>
        <v>0</v>
      </c>
      <c r="AS18" s="138">
        <f>IF(I18="",0,MAX((IFERROR((VLOOKUP((AH18&amp;$S$6),Ratesheet!$F$5:$J$455,4,FALSE)*S18),0)),(IFERROR((VLOOKUP((AI18&amp;$S$6),Ratesheet!$F$5:$J$455,4,FALSE)*S18),0))))</f>
        <v>0</v>
      </c>
      <c r="AT18" s="138">
        <f>IF(I18="",0,MAX((IFERROR((VLOOKUP((AI18&amp;$T$6),Ratesheet!$F$5:$J$455,4,FALSE)*T18),0)),(IFERROR((VLOOKUP((AJ18&amp;$T$6),Ratesheet!$F$5:$J$455,4,FALSE)*T18),0))))</f>
        <v>0</v>
      </c>
      <c r="AU18" s="139">
        <f>IF(I18="",0,MAX((IFERROR((VLOOKUP((AH18&amp;$U$6),Ratesheet!$F$5:$J$455,4,FALSE)*U18),0)),(IFERROR((VLOOKUP((AI18&amp;$U$6),Ratesheet!$F$5:$J$455,4,FALSE)*U18),0))))</f>
        <v>0</v>
      </c>
      <c r="AV18" s="138">
        <f t="shared" si="3"/>
        <v>0</v>
      </c>
      <c r="AW18" s="295">
        <f>IFERROR(AV18*VLOOKUP($C$7,'Ref1'!$B$230:$C$236,2,FALSE),0)</f>
        <v>0</v>
      </c>
      <c r="AX18" s="66" t="str">
        <f t="shared" si="4"/>
        <v xml:space="preserve"> - </v>
      </c>
      <c r="AY18" s="138">
        <f>IF(I18="",0,MAX((IFERROR((VLOOKUP((AH18&amp;$J$6),Ratesheet!$F$5:$J$455,5,FALSE)*J18),0)),(IFERROR((VLOOKUP((AX18&amp;$J$6),Ratesheet!$F$5:$J$455,5,FALSE)*J18),0))))</f>
        <v>0</v>
      </c>
      <c r="AZ18" s="138">
        <f>IF(I18="",0,MAX((IFERROR((VLOOKUP((AH18&amp;$K$6),Ratesheet!$F$5:$J$455,5,FALSE)*K18),0)),(IFERROR((VLOOKUP((AX18&amp;$K$6),Ratesheet!$F$5:$J$455,5,FALSE)*K18),0))))</f>
        <v>0</v>
      </c>
      <c r="BA18" s="138">
        <f>IF(I18="",0,MAX((IFERROR((VLOOKUP((AH18&amp;$L$6),Ratesheet!$F$5:$J$455,5,FALSE)*L18),0)),(IFERROR((VLOOKUP((AX18&amp;$L$6),Ratesheet!$F$5:$J$455,5,FALSE)*L18),0))))</f>
        <v>0</v>
      </c>
      <c r="BB18" s="138">
        <f>IF(I18="",0,MAX((IFERROR((VLOOKUP((AH18&amp;$M$6),Ratesheet!$F$5:$J$455,5,FALSE)*M18),0)),(IFERROR((VLOOKUP((AX18&amp;$M$6),Ratesheet!$F$5:$J$455,5,FALSE)*M18),0))))</f>
        <v>0</v>
      </c>
      <c r="BC18" s="138">
        <f>IF(I18="",0,MAX((IFERROR((VLOOKUP((AH18&amp;$N$6),Ratesheet!$F$5:$J$455,5,FALSE)*N18),0)),(IFERROR((VLOOKUP((AX18&amp;$N$6),Ratesheet!$F$5:$J$455,5,FALSE)*N18),0))))</f>
        <v>0</v>
      </c>
      <c r="BD18" s="138">
        <f>IF(I18="",0,MAX((IFERROR((VLOOKUP((AH18&amp;$O$6),Ratesheet!$F$5:$J$455,5,FALSE)*O18),0)),(IFERROR((VLOOKUP((AX18&amp;$O$6),Ratesheet!$F$5:$J$455,5,FALSE)*O18),0))))</f>
        <v>0</v>
      </c>
      <c r="BE18" s="138">
        <f>IF(I18="",0,MAX((IFERROR((VLOOKUP((AH18&amp;$P$6),Ratesheet!$F$5:$J$455,5,FALSE)*P18),0)),(IFERROR((VLOOKUP((AX18&amp;$P$6),Ratesheet!$F$5:$J$455,5,FALSE)*P18),0))))</f>
        <v>0</v>
      </c>
      <c r="BF18" s="138">
        <f>IF(I18="",0,MAX((IFERROR((VLOOKUP((AH18&amp;$Q$6),Ratesheet!$F$5:$J$455,5,FALSE)*Q18),0)),(IFERROR((VLOOKUP((AX18&amp;$Q$6),Ratesheet!$F$5:$J$455,5,FALSE)*Q18),0))))</f>
        <v>0</v>
      </c>
      <c r="BG18" s="138">
        <f>IF(I18="",0,MAX((IFERROR((VLOOKUP((AH18&amp;$R$6),Ratesheet!$F$5:$J$455,5,FALSE)*R18),0)),(IFERROR((VLOOKUP((AX18&amp;$R$6),Ratesheet!$F$5:$J$455,5,FALSE)*R18),0))))</f>
        <v>0</v>
      </c>
      <c r="BH18" s="138">
        <f>IF(I18="",0,MAX((IFERROR((VLOOKUP((AH18&amp;$S$6),Ratesheet!$F$5:$J$455,5,FALSE)*S18),0)),(IFERROR((VLOOKUP((AX18&amp;$S$6),Ratesheet!$F$5:$J$455,5,FALSE)*S18),0))))</f>
        <v>0</v>
      </c>
      <c r="BI18" s="138">
        <f>IF(J18="",0,MAX((IFERROR((VLOOKUP((AI18&amp;$T$6),Ratesheet!$F$5:$J$455,5,FALSE)*T18),0)),(IFERROR((VLOOKUP((AY18&amp;$T$6),Ratesheet!$F$5:$J$455,5,FALSE)*T18),0))))</f>
        <v>0</v>
      </c>
      <c r="BJ18" s="139">
        <f>IF(I18="",0,MAX((IFERROR((VLOOKUP((AH18&amp;$U$6),Ratesheet!$F$5:$J$455,5,FALSE)*U18),0)),(IFERROR((VLOOKUP((AX18&amp;$U$6),Ratesheet!$F$5:$J$455,5,FALSE)*U18),0))))</f>
        <v>0</v>
      </c>
      <c r="BK18" s="138">
        <f t="shared" si="5"/>
        <v>0</v>
      </c>
      <c r="BL18" s="138">
        <f>IFERROR(BK18*VLOOKUP($C$7,'Ref1'!$B$230:$C$236,2,FALSE),0)</f>
        <v>0</v>
      </c>
    </row>
    <row r="19" spans="1:64" ht="11.25" customHeight="1">
      <c r="A19" s="422"/>
      <c r="B19" s="423"/>
      <c r="C19" s="423"/>
      <c r="D19" s="423"/>
      <c r="E19" s="142"/>
      <c r="F19" s="862"/>
      <c r="G19" s="863"/>
      <c r="H19" s="567" t="str">
        <f>IF(F19="","",MainSheet!$B$6)</f>
        <v/>
      </c>
      <c r="I19" s="567"/>
      <c r="J19" s="592"/>
      <c r="K19" s="592"/>
      <c r="L19" s="592"/>
      <c r="M19" s="595"/>
      <c r="N19" s="592"/>
      <c r="O19" s="592"/>
      <c r="P19" s="592"/>
      <c r="Q19" s="592"/>
      <c r="R19" s="592"/>
      <c r="S19" s="596"/>
      <c r="T19" s="619"/>
      <c r="U19" s="593"/>
      <c r="V19" s="594">
        <f t="shared" si="0"/>
        <v>0</v>
      </c>
      <c r="W19" s="66"/>
      <c r="X19" s="66"/>
      <c r="Y19" s="66"/>
      <c r="AH19" s="66" t="str">
        <f t="shared" si="1"/>
        <v xml:space="preserve"> - </v>
      </c>
      <c r="AI19" s="66" t="str">
        <f t="shared" si="2"/>
        <v xml:space="preserve"> - </v>
      </c>
      <c r="AJ19" s="138">
        <f>IF(I19="",0,MAX((IFERROR((VLOOKUP((AH19&amp;$J$6),Ratesheet!$F$5:$J$455,4,FALSE)*J19),0)),(IFERROR((VLOOKUP((AI19&amp;$J$6),Ratesheet!$F$5:$J$455,4,FALSE)*J19),0))))</f>
        <v>0</v>
      </c>
      <c r="AK19" s="138">
        <f>IF(I19="",0,MAX((IFERROR((VLOOKUP((AH19&amp;$K$6),Ratesheet!$F$5:$J$455,4,FALSE)*K19),0)),(IFERROR((VLOOKUP((AI19&amp;$K$6),Ratesheet!$F$5:$J$455,4,FALSE)*K19),0))))</f>
        <v>0</v>
      </c>
      <c r="AL19" s="138">
        <f>IF(I19="",0,MAX((IFERROR((VLOOKUP((AH19&amp;$L$6),Ratesheet!$F$5:$J$455,4,FALSE)*L19),0)),(IFERROR((VLOOKUP((AI19&amp;$L$6),Ratesheet!$F$5:$J$455,4,FALSE)*L19),0))))</f>
        <v>0</v>
      </c>
      <c r="AM19" s="138">
        <f>IF(I19="",0,MAX((IFERROR((VLOOKUP((AH19&amp;$M$6),Ratesheet!$F$5:$J$455,4,FALSE)*M19),0)),(IFERROR((VLOOKUP((AI19&amp;$M$6),Ratesheet!$F$5:$J$455,4,FALSE)*M19),0))))</f>
        <v>0</v>
      </c>
      <c r="AN19" s="138">
        <f>IF(I19="",0,MAX((IFERROR((VLOOKUP((AH19&amp;$N$6),Ratesheet!$F$5:$J$455,4,FALSE)*N19),0)),(IFERROR((VLOOKUP((AI19&amp;$N$6),Ratesheet!$F$5:$J$455,4,FALSE)*N19),0))))</f>
        <v>0</v>
      </c>
      <c r="AO19" s="138">
        <f>IF(I19="",0,MAX((IFERROR((VLOOKUP((AH19&amp;$O$6),Ratesheet!$F$5:$J$455,4,FALSE)*O19),0)),(IFERROR((VLOOKUP((AI19&amp;$O$6),Ratesheet!$F$5:$J$455,4,FALSE)*O19),0))))</f>
        <v>0</v>
      </c>
      <c r="AP19" s="138">
        <f>IF(I19="",0,MAX((IFERROR((VLOOKUP((AH19&amp;$P$6),Ratesheet!$F$5:$J$455,4,FALSE)*P19),0)),(IFERROR((VLOOKUP((AI19&amp;$P$6),Ratesheet!$F$5:$J$455,4,FALSE)*P19),0))))</f>
        <v>0</v>
      </c>
      <c r="AQ19" s="138">
        <f>IF(I19="",0,MAX((IFERROR((VLOOKUP((AH19&amp;$Q$6),Ratesheet!$F$5:$J$455,4,FALSE)*Q19),0)),(IFERROR((VLOOKUP((AI19&amp;$Q$6),Ratesheet!$F$5:$J$455,4,FALSE)*Q19),0))))</f>
        <v>0</v>
      </c>
      <c r="AR19" s="138">
        <f>IF(I19="",0,MAX((IFERROR((VLOOKUP((AH19&amp;$R$6),Ratesheet!$F$5:$J$455,4,FALSE)*R19),0)),(IFERROR((VLOOKUP((AI19&amp;$R$6),Ratesheet!$F$5:$J$455,4,FALSE)*R19),0))))</f>
        <v>0</v>
      </c>
      <c r="AS19" s="138">
        <f>IF(I19="",0,MAX((IFERROR((VLOOKUP((AH19&amp;$S$6),Ratesheet!$F$5:$J$455,4,FALSE)*S19),0)),(IFERROR((VLOOKUP((AI19&amp;$S$6),Ratesheet!$F$5:$J$455,4,FALSE)*S19),0))))</f>
        <v>0</v>
      </c>
      <c r="AT19" s="138">
        <f>IF(I19="",0,MAX((IFERROR((VLOOKUP((AI19&amp;$T$6),Ratesheet!$F$5:$J$455,4,FALSE)*T19),0)),(IFERROR((VLOOKUP((AJ19&amp;$T$6),Ratesheet!$F$5:$J$455,4,FALSE)*T19),0))))</f>
        <v>0</v>
      </c>
      <c r="AU19" s="139">
        <f>IF(I19="",0,MAX((IFERROR((VLOOKUP((AH19&amp;$U$6),Ratesheet!$F$5:$J$455,4,FALSE)*U19),0)),(IFERROR((VLOOKUP((AI19&amp;$U$6),Ratesheet!$F$5:$J$455,4,FALSE)*U19),0))))</f>
        <v>0</v>
      </c>
      <c r="AV19" s="138">
        <f t="shared" si="3"/>
        <v>0</v>
      </c>
      <c r="AW19" s="295">
        <f>IFERROR(AV19*VLOOKUP($C$7,'Ref1'!$B$230:$C$236,2,FALSE),0)</f>
        <v>0</v>
      </c>
      <c r="AX19" s="66" t="str">
        <f t="shared" si="4"/>
        <v xml:space="preserve"> - </v>
      </c>
      <c r="AY19" s="138">
        <f>IF(I19="",0,MAX((IFERROR((VLOOKUP((AH19&amp;$J$6),Ratesheet!$F$5:$J$455,5,FALSE)*J19),0)),(IFERROR((VLOOKUP((AX19&amp;$J$6),Ratesheet!$F$5:$J$455,5,FALSE)*J19),0))))</f>
        <v>0</v>
      </c>
      <c r="AZ19" s="138">
        <f>IF(I19="",0,MAX((IFERROR((VLOOKUP((AH19&amp;$K$6),Ratesheet!$F$5:$J$455,5,FALSE)*K19),0)),(IFERROR((VLOOKUP((AX19&amp;$K$6),Ratesheet!$F$5:$J$455,5,FALSE)*K19),0))))</f>
        <v>0</v>
      </c>
      <c r="BA19" s="138">
        <f>IF(I19="",0,MAX((IFERROR((VLOOKUP((AH19&amp;$L$6),Ratesheet!$F$5:$J$455,5,FALSE)*L19),0)),(IFERROR((VLOOKUP((AX19&amp;$L$6),Ratesheet!$F$5:$J$455,5,FALSE)*L19),0))))</f>
        <v>0</v>
      </c>
      <c r="BB19" s="138">
        <f>IF(I19="",0,MAX((IFERROR((VLOOKUP((AH19&amp;$M$6),Ratesheet!$F$5:$J$455,5,FALSE)*M19),0)),(IFERROR((VLOOKUP((AX19&amp;$M$6),Ratesheet!$F$5:$J$455,5,FALSE)*M19),0))))</f>
        <v>0</v>
      </c>
      <c r="BC19" s="138">
        <f>IF(I19="",0,MAX((IFERROR((VLOOKUP((AH19&amp;$N$6),Ratesheet!$F$5:$J$455,5,FALSE)*N19),0)),(IFERROR((VLOOKUP((AX19&amp;$N$6),Ratesheet!$F$5:$J$455,5,FALSE)*N19),0))))</f>
        <v>0</v>
      </c>
      <c r="BD19" s="138">
        <f>IF(I19="",0,MAX((IFERROR((VLOOKUP((AH19&amp;$O$6),Ratesheet!$F$5:$J$455,5,FALSE)*O19),0)),(IFERROR((VLOOKUP((AX19&amp;$O$6),Ratesheet!$F$5:$J$455,5,FALSE)*O19),0))))</f>
        <v>0</v>
      </c>
      <c r="BE19" s="138">
        <f>IF(I19="",0,MAX((IFERROR((VLOOKUP((AH19&amp;$P$6),Ratesheet!$F$5:$J$455,5,FALSE)*P19),0)),(IFERROR((VLOOKUP((AX19&amp;$P$6),Ratesheet!$F$5:$J$455,5,FALSE)*P19),0))))</f>
        <v>0</v>
      </c>
      <c r="BF19" s="138">
        <f>IF(I19="",0,MAX((IFERROR((VLOOKUP((AH19&amp;$Q$6),Ratesheet!$F$5:$J$455,5,FALSE)*Q19),0)),(IFERROR((VLOOKUP((AX19&amp;$Q$6),Ratesheet!$F$5:$J$455,5,FALSE)*Q19),0))))</f>
        <v>0</v>
      </c>
      <c r="BG19" s="138">
        <f>IF(I19="",0,MAX((IFERROR((VLOOKUP((AH19&amp;$R$6),Ratesheet!$F$5:$J$455,5,FALSE)*R19),0)),(IFERROR((VLOOKUP((AX19&amp;$R$6),Ratesheet!$F$5:$J$455,5,FALSE)*R19),0))))</f>
        <v>0</v>
      </c>
      <c r="BH19" s="138">
        <f>IF(I19="",0,MAX((IFERROR((VLOOKUP((AH19&amp;$S$6),Ratesheet!$F$5:$J$455,5,FALSE)*S19),0)),(IFERROR((VLOOKUP((AX19&amp;$S$6),Ratesheet!$F$5:$J$455,5,FALSE)*S19),0))))</f>
        <v>0</v>
      </c>
      <c r="BI19" s="138">
        <f>IF(J19="",0,MAX((IFERROR((VLOOKUP((AI19&amp;$T$6),Ratesheet!$F$5:$J$455,5,FALSE)*T19),0)),(IFERROR((VLOOKUP((AY19&amp;$T$6),Ratesheet!$F$5:$J$455,5,FALSE)*T19),0))))</f>
        <v>0</v>
      </c>
      <c r="BJ19" s="139">
        <f>IF(I19="",0,MAX((IFERROR((VLOOKUP((AH19&amp;$U$6),Ratesheet!$F$5:$J$455,5,FALSE)*U19),0)),(IFERROR((VLOOKUP((AX19&amp;$U$6),Ratesheet!$F$5:$J$455,5,FALSE)*U19),0))))</f>
        <v>0</v>
      </c>
      <c r="BK19" s="138">
        <f t="shared" si="5"/>
        <v>0</v>
      </c>
      <c r="BL19" s="138">
        <f>IFERROR(BK19*VLOOKUP($C$7,'Ref1'!$B$230:$C$236,2,FALSE),0)</f>
        <v>0</v>
      </c>
    </row>
    <row r="20" spans="1:64" ht="11.25" customHeight="1">
      <c r="A20" s="422"/>
      <c r="B20" s="424"/>
      <c r="C20" s="425"/>
      <c r="D20" s="425"/>
      <c r="E20" s="142"/>
      <c r="F20" s="862"/>
      <c r="G20" s="863"/>
      <c r="H20" s="567" t="str">
        <f>IF(F20="","",MainSheet!$B$6)</f>
        <v/>
      </c>
      <c r="I20" s="567"/>
      <c r="J20" s="592"/>
      <c r="K20" s="592"/>
      <c r="L20" s="592"/>
      <c r="M20" s="595"/>
      <c r="N20" s="592"/>
      <c r="O20" s="592"/>
      <c r="P20" s="592"/>
      <c r="Q20" s="592"/>
      <c r="R20" s="592"/>
      <c r="S20" s="596"/>
      <c r="T20" s="619"/>
      <c r="U20" s="593"/>
      <c r="V20" s="594">
        <f t="shared" si="0"/>
        <v>0</v>
      </c>
      <c r="W20" s="66"/>
      <c r="X20" s="66"/>
      <c r="Y20" s="66"/>
      <c r="AH20" s="66" t="str">
        <f t="shared" si="1"/>
        <v xml:space="preserve"> - </v>
      </c>
      <c r="AI20" s="66" t="str">
        <f t="shared" si="2"/>
        <v xml:space="preserve"> - </v>
      </c>
      <c r="AJ20" s="138">
        <f>IF(I20="",0,MAX((IFERROR((VLOOKUP((AH20&amp;$J$6),Ratesheet!$F$5:$J$455,4,FALSE)*J20),0)),(IFERROR((VLOOKUP((AI20&amp;$J$6),Ratesheet!$F$5:$J$455,4,FALSE)*J20),0))))</f>
        <v>0</v>
      </c>
      <c r="AK20" s="138">
        <f>IF(I20="",0,MAX((IFERROR((VLOOKUP((AH20&amp;$K$6),Ratesheet!$F$5:$J$455,4,FALSE)*K20),0)),(IFERROR((VLOOKUP((AI20&amp;$K$6),Ratesheet!$F$5:$J$455,4,FALSE)*K20),0))))</f>
        <v>0</v>
      </c>
      <c r="AL20" s="138">
        <f>IF(I20="",0,MAX((IFERROR((VLOOKUP((AH20&amp;$L$6),Ratesheet!$F$5:$J$455,4,FALSE)*L20),0)),(IFERROR((VLOOKUP((AI20&amp;$L$6),Ratesheet!$F$5:$J$455,4,FALSE)*L20),0))))</f>
        <v>0</v>
      </c>
      <c r="AM20" s="138">
        <f>IF(I20="",0,MAX((IFERROR((VLOOKUP((AH20&amp;$M$6),Ratesheet!$F$5:$J$455,4,FALSE)*M20),0)),(IFERROR((VLOOKUP((AI20&amp;$M$6),Ratesheet!$F$5:$J$455,4,FALSE)*M20),0))))</f>
        <v>0</v>
      </c>
      <c r="AN20" s="138">
        <f>IF(I20="",0,MAX((IFERROR((VLOOKUP((AH20&amp;$N$6),Ratesheet!$F$5:$J$455,4,FALSE)*N20),0)),(IFERROR((VLOOKUP((AI20&amp;$N$6),Ratesheet!$F$5:$J$455,4,FALSE)*N20),0))))</f>
        <v>0</v>
      </c>
      <c r="AO20" s="138">
        <f>IF(I20="",0,MAX((IFERROR((VLOOKUP((AH20&amp;$O$6),Ratesheet!$F$5:$J$455,4,FALSE)*O20),0)),(IFERROR((VLOOKUP((AI20&amp;$O$6),Ratesheet!$F$5:$J$455,4,FALSE)*O20),0))))</f>
        <v>0</v>
      </c>
      <c r="AP20" s="138">
        <f>IF(I20="",0,MAX((IFERROR((VLOOKUP((AH20&amp;$P$6),Ratesheet!$F$5:$J$455,4,FALSE)*P20),0)),(IFERROR((VLOOKUP((AI20&amp;$P$6),Ratesheet!$F$5:$J$455,4,FALSE)*P20),0))))</f>
        <v>0</v>
      </c>
      <c r="AQ20" s="138">
        <f>IF(I20="",0,MAX((IFERROR((VLOOKUP((AH20&amp;$Q$6),Ratesheet!$F$5:$J$455,4,FALSE)*Q20),0)),(IFERROR((VLOOKUP((AI20&amp;$Q$6),Ratesheet!$F$5:$J$455,4,FALSE)*Q20),0))))</f>
        <v>0</v>
      </c>
      <c r="AR20" s="138">
        <f>IF(I20="",0,MAX((IFERROR((VLOOKUP((AH20&amp;$R$6),Ratesheet!$F$5:$J$455,4,FALSE)*R20),0)),(IFERROR((VLOOKUP((AI20&amp;$R$6),Ratesheet!$F$5:$J$455,4,FALSE)*R20),0))))</f>
        <v>0</v>
      </c>
      <c r="AS20" s="138">
        <f>IF(I20="",0,MAX((IFERROR((VLOOKUP((AH20&amp;$S$6),Ratesheet!$F$5:$J$455,4,FALSE)*S20),0)),(IFERROR((VLOOKUP((AI20&amp;$S$6),Ratesheet!$F$5:$J$455,4,FALSE)*S20),0))))</f>
        <v>0</v>
      </c>
      <c r="AT20" s="138">
        <f>IF(I20="",0,MAX((IFERROR((VLOOKUP((AI20&amp;$T$6),Ratesheet!$F$5:$J$455,4,FALSE)*T20),0)),(IFERROR((VLOOKUP((AJ20&amp;$T$6),Ratesheet!$F$5:$J$455,4,FALSE)*T20),0))))</f>
        <v>0</v>
      </c>
      <c r="AU20" s="139">
        <f>IF(I20="",0,MAX((IFERROR((VLOOKUP((AH20&amp;$U$6),Ratesheet!$F$5:$J$455,4,FALSE)*U20),0)),(IFERROR((VLOOKUP((AI20&amp;$U$6),Ratesheet!$F$5:$J$455,4,FALSE)*U20),0))))</f>
        <v>0</v>
      </c>
      <c r="AV20" s="138">
        <f t="shared" si="3"/>
        <v>0</v>
      </c>
      <c r="AW20" s="295">
        <f>IFERROR(AV20*VLOOKUP($C$7,'Ref1'!$B$230:$C$236,2,FALSE),0)</f>
        <v>0</v>
      </c>
      <c r="AX20" s="66" t="str">
        <f t="shared" si="4"/>
        <v xml:space="preserve"> - </v>
      </c>
      <c r="AY20" s="138">
        <f>IF(I20="",0,MAX((IFERROR((VLOOKUP((AH20&amp;$J$6),Ratesheet!$F$5:$J$455,5,FALSE)*J20),0)),(IFERROR((VLOOKUP((AX20&amp;$J$6),Ratesheet!$F$5:$J$455,5,FALSE)*J20),0))))</f>
        <v>0</v>
      </c>
      <c r="AZ20" s="138">
        <f>IF(I20="",0,MAX((IFERROR((VLOOKUP((AH20&amp;$K$6),Ratesheet!$F$5:$J$455,5,FALSE)*K20),0)),(IFERROR((VLOOKUP((AX20&amp;$K$6),Ratesheet!$F$5:$J$455,5,FALSE)*K20),0))))</f>
        <v>0</v>
      </c>
      <c r="BA20" s="138">
        <f>IF(I20="",0,MAX((IFERROR((VLOOKUP((AH20&amp;$L$6),Ratesheet!$F$5:$J$455,5,FALSE)*L20),0)),(IFERROR((VLOOKUP((AX20&amp;$L$6),Ratesheet!$F$5:$J$455,5,FALSE)*L20),0))))</f>
        <v>0</v>
      </c>
      <c r="BB20" s="138">
        <f>IF(I20="",0,MAX((IFERROR((VLOOKUP((AH20&amp;$M$6),Ratesheet!$F$5:$J$455,5,FALSE)*M20),0)),(IFERROR((VLOOKUP((AX20&amp;$M$6),Ratesheet!$F$5:$J$455,5,FALSE)*M20),0))))</f>
        <v>0</v>
      </c>
      <c r="BC20" s="138">
        <f>IF(I20="",0,MAX((IFERROR((VLOOKUP((AH20&amp;$N$6),Ratesheet!$F$5:$J$455,5,FALSE)*N20),0)),(IFERROR((VLOOKUP((AX20&amp;$N$6),Ratesheet!$F$5:$J$455,5,FALSE)*N20),0))))</f>
        <v>0</v>
      </c>
      <c r="BD20" s="138">
        <f>IF(I20="",0,MAX((IFERROR((VLOOKUP((AH20&amp;$O$6),Ratesheet!$F$5:$J$455,5,FALSE)*O20),0)),(IFERROR((VLOOKUP((AX20&amp;$O$6),Ratesheet!$F$5:$J$455,5,FALSE)*O20),0))))</f>
        <v>0</v>
      </c>
      <c r="BE20" s="138">
        <f>IF(I20="",0,MAX((IFERROR((VLOOKUP((AH20&amp;$P$6),Ratesheet!$F$5:$J$455,5,FALSE)*P20),0)),(IFERROR((VLOOKUP((AX20&amp;$P$6),Ratesheet!$F$5:$J$455,5,FALSE)*P20),0))))</f>
        <v>0</v>
      </c>
      <c r="BF20" s="138">
        <f>IF(I20="",0,MAX((IFERROR((VLOOKUP((AH20&amp;$Q$6),Ratesheet!$F$5:$J$455,5,FALSE)*Q20),0)),(IFERROR((VLOOKUP((AX20&amp;$Q$6),Ratesheet!$F$5:$J$455,5,FALSE)*Q20),0))))</f>
        <v>0</v>
      </c>
      <c r="BG20" s="138">
        <f>IF(I20="",0,MAX((IFERROR((VLOOKUP((AH20&amp;$R$6),Ratesheet!$F$5:$J$455,5,FALSE)*R20),0)),(IFERROR((VLOOKUP((AX20&amp;$R$6),Ratesheet!$F$5:$J$455,5,FALSE)*R20),0))))</f>
        <v>0</v>
      </c>
      <c r="BH20" s="138">
        <f>IF(I20="",0,MAX((IFERROR((VLOOKUP((AH20&amp;$S$6),Ratesheet!$F$5:$J$455,5,FALSE)*S20),0)),(IFERROR((VLOOKUP((AX20&amp;$S$6),Ratesheet!$F$5:$J$455,5,FALSE)*S20),0))))</f>
        <v>0</v>
      </c>
      <c r="BI20" s="138">
        <f>IF(J20="",0,MAX((IFERROR((VLOOKUP((AI20&amp;$T$6),Ratesheet!$F$5:$J$455,5,FALSE)*T20),0)),(IFERROR((VLOOKUP((AY20&amp;$T$6),Ratesheet!$F$5:$J$455,5,FALSE)*T20),0))))</f>
        <v>0</v>
      </c>
      <c r="BJ20" s="139">
        <f>IF(I20="",0,MAX((IFERROR((VLOOKUP((AH20&amp;$U$6),Ratesheet!$F$5:$J$455,5,FALSE)*U20),0)),(IFERROR((VLOOKUP((AX20&amp;$U$6),Ratesheet!$F$5:$J$455,5,FALSE)*U20),0))))</f>
        <v>0</v>
      </c>
      <c r="BK20" s="138">
        <f t="shared" si="5"/>
        <v>0</v>
      </c>
      <c r="BL20" s="138">
        <f>IFERROR(BK20*VLOOKUP($C$7,'Ref1'!$B$230:$C$236,2,FALSE),0)</f>
        <v>0</v>
      </c>
    </row>
    <row r="21" spans="1:64" s="66" customFormat="1" ht="11.25" customHeight="1">
      <c r="A21" s="426"/>
      <c r="B21" s="424"/>
      <c r="C21" s="427"/>
      <c r="D21" s="427"/>
      <c r="E21" s="140"/>
      <c r="F21" s="862"/>
      <c r="G21" s="863"/>
      <c r="H21" s="567" t="str">
        <f>IF(F21="","",MainSheet!$B$6)</f>
        <v/>
      </c>
      <c r="I21" s="567"/>
      <c r="J21" s="592"/>
      <c r="K21" s="592"/>
      <c r="L21" s="592"/>
      <c r="M21" s="595"/>
      <c r="N21" s="592"/>
      <c r="O21" s="592"/>
      <c r="P21" s="592"/>
      <c r="Q21" s="592"/>
      <c r="R21" s="592"/>
      <c r="S21" s="596"/>
      <c r="T21" s="619"/>
      <c r="U21" s="593"/>
      <c r="V21" s="594">
        <f t="shared" si="0"/>
        <v>0</v>
      </c>
      <c r="AB21" s="57"/>
      <c r="AH21" s="66" t="str">
        <f t="shared" si="1"/>
        <v xml:space="preserve"> - </v>
      </c>
      <c r="AI21" s="66" t="str">
        <f t="shared" si="2"/>
        <v xml:space="preserve"> - </v>
      </c>
      <c r="AJ21" s="138">
        <f>IF(I21="",0,MAX((IFERROR((VLOOKUP((AH21&amp;$J$6),Ratesheet!$F$5:$J$455,4,FALSE)*J21),0)),(IFERROR((VLOOKUP((AI21&amp;$J$6),Ratesheet!$F$5:$J$455,4,FALSE)*J21),0))))</f>
        <v>0</v>
      </c>
      <c r="AK21" s="138">
        <f>IF(I21="",0,MAX((IFERROR((VLOOKUP((AH21&amp;$K$6),Ratesheet!$F$5:$J$455,4,FALSE)*K21),0)),(IFERROR((VLOOKUP((AI21&amp;$K$6),Ratesheet!$F$5:$J$455,4,FALSE)*K21),0))))</f>
        <v>0</v>
      </c>
      <c r="AL21" s="138">
        <f>IF(I21="",0,MAX((IFERROR((VLOOKUP((AH21&amp;$L$6),Ratesheet!$F$5:$J$455,4,FALSE)*L21),0)),(IFERROR((VLOOKUP((AI21&amp;$L$6),Ratesheet!$F$5:$J$455,4,FALSE)*L21),0))))</f>
        <v>0</v>
      </c>
      <c r="AM21" s="138">
        <f>IF(I21="",0,MAX((IFERROR((VLOOKUP((AH21&amp;$M$6),Ratesheet!$F$5:$J$455,4,FALSE)*M21),0)),(IFERROR((VLOOKUP((AI21&amp;$M$6),Ratesheet!$F$5:$J$455,4,FALSE)*M21),0))))</f>
        <v>0</v>
      </c>
      <c r="AN21" s="138">
        <f>IF(I21="",0,MAX((IFERROR((VLOOKUP((AH21&amp;$N$6),Ratesheet!$F$5:$J$455,4,FALSE)*N21),0)),(IFERROR((VLOOKUP((AI21&amp;$N$6),Ratesheet!$F$5:$J$455,4,FALSE)*N21),0))))</f>
        <v>0</v>
      </c>
      <c r="AO21" s="138">
        <f>IF(I21="",0,MAX((IFERROR((VLOOKUP((AH21&amp;$O$6),Ratesheet!$F$5:$J$455,4,FALSE)*O21),0)),(IFERROR((VLOOKUP((AI21&amp;$O$6),Ratesheet!$F$5:$J$455,4,FALSE)*O21),0))))</f>
        <v>0</v>
      </c>
      <c r="AP21" s="138">
        <f>IF(I21="",0,MAX((IFERROR((VLOOKUP((AH21&amp;$P$6),Ratesheet!$F$5:$J$455,4,FALSE)*P21),0)),(IFERROR((VLOOKUP((AI21&amp;$P$6),Ratesheet!$F$5:$J$455,4,FALSE)*P21),0))))</f>
        <v>0</v>
      </c>
      <c r="AQ21" s="138">
        <f>IF(I21="",0,MAX((IFERROR((VLOOKUP((AH21&amp;$Q$6),Ratesheet!$F$5:$J$455,4,FALSE)*Q21),0)),(IFERROR((VLOOKUP((AI21&amp;$Q$6),Ratesheet!$F$5:$J$455,4,FALSE)*Q21),0))))</f>
        <v>0</v>
      </c>
      <c r="AR21" s="138">
        <f>IF(I21="",0,MAX((IFERROR((VLOOKUP((AH21&amp;$R$6),Ratesheet!$F$5:$J$455,4,FALSE)*R21),0)),(IFERROR((VLOOKUP((AI21&amp;$R$6),Ratesheet!$F$5:$J$455,4,FALSE)*R21),0))))</f>
        <v>0</v>
      </c>
      <c r="AS21" s="138">
        <f>IF(I21="",0,MAX((IFERROR((VLOOKUP((AH21&amp;$S$6),Ratesheet!$F$5:$J$455,4,FALSE)*S21),0)),(IFERROR((VLOOKUP((AI21&amp;$S$6),Ratesheet!$F$5:$J$455,4,FALSE)*S21),0))))</f>
        <v>0</v>
      </c>
      <c r="AT21" s="138">
        <f>IF(I21="",0,MAX((IFERROR((VLOOKUP((AI21&amp;$T$6),Ratesheet!$F$5:$J$455,4,FALSE)*T21),0)),(IFERROR((VLOOKUP((AJ21&amp;$T$6),Ratesheet!$F$5:$J$455,4,FALSE)*T21),0))))</f>
        <v>0</v>
      </c>
      <c r="AU21" s="139">
        <f>IF(I21="",0,MAX((IFERROR((VLOOKUP((AH21&amp;$U$6),Ratesheet!$F$5:$J$455,4,FALSE)*U21),0)),(IFERROR((VLOOKUP((AI21&amp;$U$6),Ratesheet!$F$5:$J$455,4,FALSE)*U21),0))))</f>
        <v>0</v>
      </c>
      <c r="AV21" s="138">
        <f t="shared" si="3"/>
        <v>0</v>
      </c>
      <c r="AW21" s="295">
        <f>IFERROR(AV21*VLOOKUP($C$7,'Ref1'!$B$230:$C$236,2,FALSE),0)</f>
        <v>0</v>
      </c>
      <c r="AX21" s="66" t="str">
        <f t="shared" si="4"/>
        <v xml:space="preserve"> - </v>
      </c>
      <c r="AY21" s="138">
        <f>IF(I21="",0,MAX((IFERROR((VLOOKUP((AH21&amp;$J$6),Ratesheet!$F$5:$J$455,5,FALSE)*J21),0)),(IFERROR((VLOOKUP((AX21&amp;$J$6),Ratesheet!$F$5:$J$455,5,FALSE)*J21),0))))</f>
        <v>0</v>
      </c>
      <c r="AZ21" s="138">
        <f>IF(I21="",0,MAX((IFERROR((VLOOKUP((AH21&amp;$K$6),Ratesheet!$F$5:$J$455,5,FALSE)*K21),0)),(IFERROR((VLOOKUP((AX21&amp;$K$6),Ratesheet!$F$5:$J$455,5,FALSE)*K21),0))))</f>
        <v>0</v>
      </c>
      <c r="BA21" s="138">
        <f>IF(I21="",0,MAX((IFERROR((VLOOKUP((AH21&amp;$L$6),Ratesheet!$F$5:$J$455,5,FALSE)*L21),0)),(IFERROR((VLOOKUP((AX21&amp;$L$6),Ratesheet!$F$5:$J$455,5,FALSE)*L21),0))))</f>
        <v>0</v>
      </c>
      <c r="BB21" s="138">
        <f>IF(I21="",0,MAX((IFERROR((VLOOKUP((AH21&amp;$M$6),Ratesheet!$F$5:$J$455,5,FALSE)*M21),0)),(IFERROR((VLOOKUP((AX21&amp;$M$6),Ratesheet!$F$5:$J$455,5,FALSE)*M21),0))))</f>
        <v>0</v>
      </c>
      <c r="BC21" s="138">
        <f>IF(I21="",0,MAX((IFERROR((VLOOKUP((AH21&amp;$N$6),Ratesheet!$F$5:$J$455,5,FALSE)*N21),0)),(IFERROR((VLOOKUP((AX21&amp;$N$6),Ratesheet!$F$5:$J$455,5,FALSE)*N21),0))))</f>
        <v>0</v>
      </c>
      <c r="BD21" s="138">
        <f>IF(I21="",0,MAX((IFERROR((VLOOKUP((AH21&amp;$O$6),Ratesheet!$F$5:$J$455,5,FALSE)*O21),0)),(IFERROR((VLOOKUP((AX21&amp;$O$6),Ratesheet!$F$5:$J$455,5,FALSE)*O21),0))))</f>
        <v>0</v>
      </c>
      <c r="BE21" s="138">
        <f>IF(I21="",0,MAX((IFERROR((VLOOKUP((AH21&amp;$P$6),Ratesheet!$F$5:$J$455,5,FALSE)*P21),0)),(IFERROR((VLOOKUP((AX21&amp;$P$6),Ratesheet!$F$5:$J$455,5,FALSE)*P21),0))))</f>
        <v>0</v>
      </c>
      <c r="BF21" s="138">
        <f>IF(I21="",0,MAX((IFERROR((VLOOKUP((AH21&amp;$Q$6),Ratesheet!$F$5:$J$455,5,FALSE)*Q21),0)),(IFERROR((VLOOKUP((AX21&amp;$Q$6),Ratesheet!$F$5:$J$455,5,FALSE)*Q21),0))))</f>
        <v>0</v>
      </c>
      <c r="BG21" s="138">
        <f>IF(I21="",0,MAX((IFERROR((VLOOKUP((AH21&amp;$R$6),Ratesheet!$F$5:$J$455,5,FALSE)*R21),0)),(IFERROR((VLOOKUP((AX21&amp;$R$6),Ratesheet!$F$5:$J$455,5,FALSE)*R21),0))))</f>
        <v>0</v>
      </c>
      <c r="BH21" s="138">
        <f>IF(I21="",0,MAX((IFERROR((VLOOKUP((AH21&amp;$S$6),Ratesheet!$F$5:$J$455,5,FALSE)*S21),0)),(IFERROR((VLOOKUP((AX21&amp;$S$6),Ratesheet!$F$5:$J$455,5,FALSE)*S21),0))))</f>
        <v>0</v>
      </c>
      <c r="BI21" s="138">
        <f>IF(J21="",0,MAX((IFERROR((VLOOKUP((AI21&amp;$T$6),Ratesheet!$F$5:$J$455,5,FALSE)*T21),0)),(IFERROR((VLOOKUP((AY21&amp;$T$6),Ratesheet!$F$5:$J$455,5,FALSE)*T21),0))))</f>
        <v>0</v>
      </c>
      <c r="BJ21" s="139">
        <f>IF(I21="",0,MAX((IFERROR((VLOOKUP((AH21&amp;$U$6),Ratesheet!$F$5:$J$455,5,FALSE)*U21),0)),(IFERROR((VLOOKUP((AX21&amp;$U$6),Ratesheet!$F$5:$J$455,5,FALSE)*U21),0))))</f>
        <v>0</v>
      </c>
      <c r="BK21" s="138">
        <f t="shared" si="5"/>
        <v>0</v>
      </c>
      <c r="BL21" s="138">
        <f>IFERROR(BK21*VLOOKUP($C$7,'Ref1'!$B$230:$C$236,2,FALSE),0)</f>
        <v>0</v>
      </c>
    </row>
    <row r="22" spans="1:64" ht="11.25" customHeight="1">
      <c r="A22" s="426"/>
      <c r="B22" s="424"/>
      <c r="C22" s="427"/>
      <c r="D22" s="427"/>
      <c r="E22" s="90"/>
      <c r="F22" s="862"/>
      <c r="G22" s="863"/>
      <c r="H22" s="567" t="str">
        <f>IF(F22="","",MainSheet!$B$6)</f>
        <v/>
      </c>
      <c r="I22" s="567"/>
      <c r="J22" s="592"/>
      <c r="K22" s="592"/>
      <c r="L22" s="592"/>
      <c r="M22" s="595"/>
      <c r="N22" s="592"/>
      <c r="O22" s="592"/>
      <c r="P22" s="592"/>
      <c r="Q22" s="592"/>
      <c r="R22" s="592"/>
      <c r="S22" s="596"/>
      <c r="T22" s="619"/>
      <c r="U22" s="593"/>
      <c r="V22" s="594">
        <f t="shared" si="0"/>
        <v>0</v>
      </c>
      <c r="W22" s="66"/>
      <c r="X22" s="66"/>
      <c r="Y22" s="66"/>
      <c r="AH22" s="66" t="str">
        <f t="shared" si="1"/>
        <v xml:space="preserve"> - </v>
      </c>
      <c r="AI22" s="66" t="str">
        <f t="shared" si="2"/>
        <v xml:space="preserve"> - </v>
      </c>
      <c r="AJ22" s="138">
        <f>IF(I22="",0,MAX((IFERROR((VLOOKUP((AH22&amp;$J$6),Ratesheet!$F$5:$J$455,4,FALSE)*J22),0)),(IFERROR((VLOOKUP((AI22&amp;$J$6),Ratesheet!$F$5:$J$455,4,FALSE)*J22),0))))</f>
        <v>0</v>
      </c>
      <c r="AK22" s="138">
        <f>IF(I22="",0,MAX((IFERROR((VLOOKUP((AH22&amp;$K$6),Ratesheet!$F$5:$J$455,4,FALSE)*K22),0)),(IFERROR((VLOOKUP((AI22&amp;$K$6),Ratesheet!$F$5:$J$455,4,FALSE)*K22),0))))</f>
        <v>0</v>
      </c>
      <c r="AL22" s="138">
        <f>IF(I22="",0,MAX((IFERROR((VLOOKUP((AH22&amp;$L$6),Ratesheet!$F$5:$J$455,4,FALSE)*L22),0)),(IFERROR((VLOOKUP((AI22&amp;$L$6),Ratesheet!$F$5:$J$455,4,FALSE)*L22),0))))</f>
        <v>0</v>
      </c>
      <c r="AM22" s="138">
        <f>IF(I22="",0,MAX((IFERROR((VLOOKUP((AH22&amp;$M$6),Ratesheet!$F$5:$J$455,4,FALSE)*M22),0)),(IFERROR((VLOOKUP((AI22&amp;$M$6),Ratesheet!$F$5:$J$455,4,FALSE)*M22),0))))</f>
        <v>0</v>
      </c>
      <c r="AN22" s="138">
        <f>IF(I22="",0,MAX((IFERROR((VLOOKUP((AH22&amp;$N$6),Ratesheet!$F$5:$J$455,4,FALSE)*N22),0)),(IFERROR((VLOOKUP((AI22&amp;$N$6),Ratesheet!$F$5:$J$455,4,FALSE)*N22),0))))</f>
        <v>0</v>
      </c>
      <c r="AO22" s="138">
        <f>IF(I22="",0,MAX((IFERROR((VLOOKUP((AH22&amp;$O$6),Ratesheet!$F$5:$J$455,4,FALSE)*O22),0)),(IFERROR((VLOOKUP((AI22&amp;$O$6),Ratesheet!$F$5:$J$455,4,FALSE)*O22),0))))</f>
        <v>0</v>
      </c>
      <c r="AP22" s="138">
        <f>IF(I22="",0,MAX((IFERROR((VLOOKUP((AH22&amp;$P$6),Ratesheet!$F$5:$J$455,4,FALSE)*P22),0)),(IFERROR((VLOOKUP((AI22&amp;$P$6),Ratesheet!$F$5:$J$455,4,FALSE)*P22),0))))</f>
        <v>0</v>
      </c>
      <c r="AQ22" s="138">
        <f>IF(I22="",0,MAX((IFERROR((VLOOKUP((AH22&amp;$Q$6),Ratesheet!$F$5:$J$455,4,FALSE)*Q22),0)),(IFERROR((VLOOKUP((AI22&amp;$Q$6),Ratesheet!$F$5:$J$455,4,FALSE)*Q22),0))))</f>
        <v>0</v>
      </c>
      <c r="AR22" s="138">
        <f>IF(I22="",0,MAX((IFERROR((VLOOKUP((AH22&amp;$R$6),Ratesheet!$F$5:$J$455,4,FALSE)*R22),0)),(IFERROR((VLOOKUP((AI22&amp;$R$6),Ratesheet!$F$5:$J$455,4,FALSE)*R22),0))))</f>
        <v>0</v>
      </c>
      <c r="AS22" s="138">
        <f>IF(I22="",0,MAX((IFERROR((VLOOKUP((AH22&amp;$S$6),Ratesheet!$F$5:$J$455,4,FALSE)*S22),0)),(IFERROR((VLOOKUP((AI22&amp;$S$6),Ratesheet!$F$5:$J$455,4,FALSE)*S22),0))))</f>
        <v>0</v>
      </c>
      <c r="AT22" s="138">
        <f>IF(I22="",0,MAX((IFERROR((VLOOKUP((AI22&amp;$T$6),Ratesheet!$F$5:$J$455,4,FALSE)*T22),0)),(IFERROR((VLOOKUP((AJ22&amp;$T$6),Ratesheet!$F$5:$J$455,4,FALSE)*T22),0))))</f>
        <v>0</v>
      </c>
      <c r="AU22" s="139">
        <f>IF(I22="",0,MAX((IFERROR((VLOOKUP((AH22&amp;$U$6),Ratesheet!$F$5:$J$455,4,FALSE)*U22),0)),(IFERROR((VLOOKUP((AI22&amp;$U$6),Ratesheet!$F$5:$J$455,4,FALSE)*U22),0))))</f>
        <v>0</v>
      </c>
      <c r="AV22" s="138">
        <f t="shared" si="3"/>
        <v>0</v>
      </c>
      <c r="AW22" s="295">
        <f>IFERROR(AV22*VLOOKUP($C$7,'Ref1'!$B$230:$C$236,2,FALSE),0)</f>
        <v>0</v>
      </c>
      <c r="AX22" s="66" t="str">
        <f t="shared" si="4"/>
        <v xml:space="preserve"> - </v>
      </c>
      <c r="AY22" s="138">
        <f>IF(I22="",0,MAX((IFERROR((VLOOKUP((AH22&amp;$J$6),Ratesheet!$F$5:$J$455,5,FALSE)*J22),0)),(IFERROR((VLOOKUP((AX22&amp;$J$6),Ratesheet!$F$5:$J$455,5,FALSE)*J22),0))))</f>
        <v>0</v>
      </c>
      <c r="AZ22" s="138">
        <f>IF(I22="",0,MAX((IFERROR((VLOOKUP((AH22&amp;$K$6),Ratesheet!$F$5:$J$455,5,FALSE)*K22),0)),(IFERROR((VLOOKUP((AX22&amp;$K$6),Ratesheet!$F$5:$J$455,5,FALSE)*K22),0))))</f>
        <v>0</v>
      </c>
      <c r="BA22" s="138">
        <f>IF(I22="",0,MAX((IFERROR((VLOOKUP((AH22&amp;$L$6),Ratesheet!$F$5:$J$455,5,FALSE)*L22),0)),(IFERROR((VLOOKUP((AX22&amp;$L$6),Ratesheet!$F$5:$J$455,5,FALSE)*L22),0))))</f>
        <v>0</v>
      </c>
      <c r="BB22" s="138">
        <f>IF(I22="",0,MAX((IFERROR((VLOOKUP((AH22&amp;$M$6),Ratesheet!$F$5:$J$455,5,FALSE)*M22),0)),(IFERROR((VLOOKUP((AX22&amp;$M$6),Ratesheet!$F$5:$J$455,5,FALSE)*M22),0))))</f>
        <v>0</v>
      </c>
      <c r="BC22" s="138">
        <f>IF(I22="",0,MAX((IFERROR((VLOOKUP((AH22&amp;$N$6),Ratesheet!$F$5:$J$455,5,FALSE)*N22),0)),(IFERROR((VLOOKUP((AX22&amp;$N$6),Ratesheet!$F$5:$J$455,5,FALSE)*N22),0))))</f>
        <v>0</v>
      </c>
      <c r="BD22" s="138">
        <f>IF(I22="",0,MAX((IFERROR((VLOOKUP((AH22&amp;$O$6),Ratesheet!$F$5:$J$455,5,FALSE)*O22),0)),(IFERROR((VLOOKUP((AX22&amp;$O$6),Ratesheet!$F$5:$J$455,5,FALSE)*O22),0))))</f>
        <v>0</v>
      </c>
      <c r="BE22" s="138">
        <f>IF(I22="",0,MAX((IFERROR((VLOOKUP((AH22&amp;$P$6),Ratesheet!$F$5:$J$455,5,FALSE)*P22),0)),(IFERROR((VLOOKUP((AX22&amp;$P$6),Ratesheet!$F$5:$J$455,5,FALSE)*P22),0))))</f>
        <v>0</v>
      </c>
      <c r="BF22" s="138">
        <f>IF(I22="",0,MAX((IFERROR((VLOOKUP((AH22&amp;$Q$6),Ratesheet!$F$5:$J$455,5,FALSE)*Q22),0)),(IFERROR((VLOOKUP((AX22&amp;$Q$6),Ratesheet!$F$5:$J$455,5,FALSE)*Q22),0))))</f>
        <v>0</v>
      </c>
      <c r="BG22" s="138">
        <f>IF(I22="",0,MAX((IFERROR((VLOOKUP((AH22&amp;$R$6),Ratesheet!$F$5:$J$455,5,FALSE)*R22),0)),(IFERROR((VLOOKUP((AX22&amp;$R$6),Ratesheet!$F$5:$J$455,5,FALSE)*R22),0))))</f>
        <v>0</v>
      </c>
      <c r="BH22" s="138">
        <f>IF(I22="",0,MAX((IFERROR((VLOOKUP((AH22&amp;$S$6),Ratesheet!$F$5:$J$455,5,FALSE)*S22),0)),(IFERROR((VLOOKUP((AX22&amp;$S$6),Ratesheet!$F$5:$J$455,5,FALSE)*S22),0))))</f>
        <v>0</v>
      </c>
      <c r="BI22" s="138">
        <f>IF(J22="",0,MAX((IFERROR((VLOOKUP((AI22&amp;$T$6),Ratesheet!$F$5:$J$455,5,FALSE)*T22),0)),(IFERROR((VLOOKUP((AY22&amp;$T$6),Ratesheet!$F$5:$J$455,5,FALSE)*T22),0))))</f>
        <v>0</v>
      </c>
      <c r="BJ22" s="139">
        <f>IF(I22="",0,MAX((IFERROR((VLOOKUP((AH22&amp;$U$6),Ratesheet!$F$5:$J$455,5,FALSE)*U22),0)),(IFERROR((VLOOKUP((AX22&amp;$U$6),Ratesheet!$F$5:$J$455,5,FALSE)*U22),0))))</f>
        <v>0</v>
      </c>
      <c r="BK22" s="138">
        <f t="shared" si="5"/>
        <v>0</v>
      </c>
      <c r="BL22" s="138">
        <f>IFERROR(BK22*VLOOKUP($C$7,'Ref1'!$B$230:$C$236,2,FALSE),0)</f>
        <v>0</v>
      </c>
    </row>
    <row r="23" spans="1:64" ht="11.25" customHeight="1" thickBot="1">
      <c r="A23" s="426"/>
      <c r="B23" s="424"/>
      <c r="C23" s="427"/>
      <c r="D23" s="427"/>
      <c r="E23" s="142"/>
      <c r="F23" s="860"/>
      <c r="G23" s="861"/>
      <c r="H23" s="568" t="str">
        <f>IF(F23="","",MainSheet!$B$6)</f>
        <v/>
      </c>
      <c r="I23" s="567"/>
      <c r="J23" s="597"/>
      <c r="K23" s="597"/>
      <c r="L23" s="597"/>
      <c r="M23" s="598"/>
      <c r="N23" s="597"/>
      <c r="O23" s="597"/>
      <c r="P23" s="597"/>
      <c r="Q23" s="597"/>
      <c r="R23" s="597"/>
      <c r="S23" s="597"/>
      <c r="T23" s="598"/>
      <c r="U23" s="599"/>
      <c r="V23" s="600">
        <f t="shared" si="0"/>
        <v>0</v>
      </c>
      <c r="W23" s="66"/>
      <c r="X23" s="66"/>
      <c r="Y23" s="66"/>
      <c r="AH23" s="66" t="str">
        <f t="shared" si="1"/>
        <v xml:space="preserve"> - </v>
      </c>
      <c r="AI23" s="66" t="str">
        <f t="shared" si="2"/>
        <v xml:space="preserve"> - </v>
      </c>
      <c r="AJ23" s="138">
        <f>IF(I23="",0,MAX((IFERROR((VLOOKUP((AH23&amp;$J$6),Ratesheet!$F$5:$J$455,4,FALSE)*J23),0)),(IFERROR((VLOOKUP((AI23&amp;$J$6),Ratesheet!$F$5:$J$455,4,FALSE)*J23),0))))</f>
        <v>0</v>
      </c>
      <c r="AK23" s="138">
        <f>IF(I23="",0,MAX((IFERROR((VLOOKUP((AH23&amp;$K$6),Ratesheet!$F$5:$J$455,4,FALSE)*K23),0)),(IFERROR((VLOOKUP((AI23&amp;$K$6),Ratesheet!$F$5:$J$455,4,FALSE)*K23),0))))</f>
        <v>0</v>
      </c>
      <c r="AL23" s="138">
        <f>IF(I23="",0,MAX((IFERROR((VLOOKUP((AH23&amp;$L$6),Ratesheet!$F$5:$J$455,4,FALSE)*L23),0)),(IFERROR((VLOOKUP((AI23&amp;$L$6),Ratesheet!$F$5:$J$455,4,FALSE)*L23),0))))</f>
        <v>0</v>
      </c>
      <c r="AM23" s="138">
        <f>IF(I23="",0,MAX((IFERROR((VLOOKUP((AH23&amp;$M$6),Ratesheet!$F$5:$J$455,4,FALSE)*M23),0)),(IFERROR((VLOOKUP((AI23&amp;$M$6),Ratesheet!$F$5:$J$455,4,FALSE)*M23),0))))</f>
        <v>0</v>
      </c>
      <c r="AN23" s="138">
        <f>IF(I23="",0,MAX((IFERROR((VLOOKUP((AH23&amp;$N$6),Ratesheet!$F$5:$J$455,4,FALSE)*N23),0)),(IFERROR((VLOOKUP((AI23&amp;$N$6),Ratesheet!$F$5:$J$455,4,FALSE)*N23),0))))</f>
        <v>0</v>
      </c>
      <c r="AO23" s="138">
        <f>IF(I23="",0,MAX((IFERROR((VLOOKUP((AH23&amp;$O$6),Ratesheet!$F$5:$J$455,4,FALSE)*O23),0)),(IFERROR((VLOOKUP((AI23&amp;$O$6),Ratesheet!$F$5:$J$455,4,FALSE)*O23),0))))</f>
        <v>0</v>
      </c>
      <c r="AP23" s="138">
        <f>IF(I23="",0,MAX((IFERROR((VLOOKUP((AH23&amp;$P$6),Ratesheet!$F$5:$J$455,4,FALSE)*P23),0)),(IFERROR((VLOOKUP((AI23&amp;$P$6),Ratesheet!$F$5:$J$455,4,FALSE)*P23),0))))</f>
        <v>0</v>
      </c>
      <c r="AQ23" s="138">
        <f>IF(I23="",0,MAX((IFERROR((VLOOKUP((AH23&amp;$Q$6),Ratesheet!$F$5:$J$455,4,FALSE)*Q23),0)),(IFERROR((VLOOKUP((AI23&amp;$Q$6),Ratesheet!$F$5:$J$455,4,FALSE)*Q23),0))))</f>
        <v>0</v>
      </c>
      <c r="AR23" s="138">
        <f>IF(I23="",0,MAX((IFERROR((VLOOKUP((AH23&amp;$R$6),Ratesheet!$F$5:$J$455,4,FALSE)*R23),0)),(IFERROR((VLOOKUP((AI23&amp;$R$6),Ratesheet!$F$5:$J$455,4,FALSE)*R23),0))))</f>
        <v>0</v>
      </c>
      <c r="AS23" s="138">
        <f>IF(I23="",0,MAX((IFERROR((VLOOKUP((AH23&amp;$S$6),Ratesheet!$F$5:$J$455,4,FALSE)*S23),0)),(IFERROR((VLOOKUP((AI23&amp;$S$6),Ratesheet!$F$5:$J$455,4,FALSE)*S23),0))))</f>
        <v>0</v>
      </c>
      <c r="AT23" s="138">
        <f>IF(I23="",0,MAX((IFERROR((VLOOKUP((AI23&amp;$T$6),Ratesheet!$F$5:$J$455,4,FALSE)*T23),0)),(IFERROR((VLOOKUP((AJ23&amp;$T$6),Ratesheet!$F$5:$J$455,4,FALSE)*T23),0))))</f>
        <v>0</v>
      </c>
      <c r="AU23" s="139">
        <f>IF(I23="",0,MAX((IFERROR((VLOOKUP((AH23&amp;$U$6),Ratesheet!$F$5:$J$455,4,FALSE)*U23),0)),(IFERROR((VLOOKUP((AI23&amp;$U$6),Ratesheet!$F$5:$J$455,4,FALSE)*U23),0))))</f>
        <v>0</v>
      </c>
      <c r="AV23" s="138">
        <f t="shared" si="3"/>
        <v>0</v>
      </c>
      <c r="AW23" s="295">
        <f>IFERROR(AV23*VLOOKUP($C$7,'Ref1'!$B$230:$C$236,2,FALSE),0)</f>
        <v>0</v>
      </c>
      <c r="AX23" s="66" t="str">
        <f t="shared" si="4"/>
        <v xml:space="preserve"> - </v>
      </c>
      <c r="AY23" s="138">
        <f>IF(I23="",0,MAX((IFERROR((VLOOKUP((AH23&amp;$J$6),Ratesheet!$F$5:$J$455,5,FALSE)*J23),0)),(IFERROR((VLOOKUP((AX23&amp;$J$6),Ratesheet!$F$5:$J$455,5,FALSE)*J23),0))))</f>
        <v>0</v>
      </c>
      <c r="AZ23" s="138">
        <f>IF(I23="",0,MAX((IFERROR((VLOOKUP((AH23&amp;$K$6),Ratesheet!$F$5:$J$455,5,FALSE)*K23),0)),(IFERROR((VLOOKUP((AX23&amp;$K$6),Ratesheet!$F$5:$J$455,5,FALSE)*K23),0))))</f>
        <v>0</v>
      </c>
      <c r="BA23" s="138">
        <f>IF(I23="",0,MAX((IFERROR((VLOOKUP((AH23&amp;$L$6),Ratesheet!$F$5:$J$455,5,FALSE)*L23),0)),(IFERROR((VLOOKUP((AX23&amp;$L$6),Ratesheet!$F$5:$J$455,5,FALSE)*L23),0))))</f>
        <v>0</v>
      </c>
      <c r="BB23" s="138">
        <f>IF(I23="",0,MAX((IFERROR((VLOOKUP((AH23&amp;$M$6),Ratesheet!$F$5:$J$455,5,FALSE)*M23),0)),(IFERROR((VLOOKUP((AX23&amp;$M$6),Ratesheet!$F$5:$J$455,5,FALSE)*M23),0))))</f>
        <v>0</v>
      </c>
      <c r="BC23" s="138">
        <f>IF(I23="",0,MAX((IFERROR((VLOOKUP((AH23&amp;$N$6),Ratesheet!$F$5:$J$455,5,FALSE)*N23),0)),(IFERROR((VLOOKUP((AX23&amp;$N$6),Ratesheet!$F$5:$J$455,5,FALSE)*N23),0))))</f>
        <v>0</v>
      </c>
      <c r="BD23" s="138">
        <f>IF(I23="",0,MAX((IFERROR((VLOOKUP((AH23&amp;$O$6),Ratesheet!$F$5:$J$455,5,FALSE)*O23),0)),(IFERROR((VLOOKUP((AX23&amp;$O$6),Ratesheet!$F$5:$J$455,5,FALSE)*O23),0))))</f>
        <v>0</v>
      </c>
      <c r="BE23" s="138">
        <f>IF(I23="",0,MAX((IFERROR((VLOOKUP((AH23&amp;$P$6),Ratesheet!$F$5:$J$455,5,FALSE)*P23),0)),(IFERROR((VLOOKUP((AX23&amp;$P$6),Ratesheet!$F$5:$J$455,5,FALSE)*P23),0))))</f>
        <v>0</v>
      </c>
      <c r="BF23" s="138">
        <f>IF(I23="",0,MAX((IFERROR((VLOOKUP((AH23&amp;$Q$6),Ratesheet!$F$5:$J$455,5,FALSE)*Q23),0)),(IFERROR((VLOOKUP((AX23&amp;$Q$6),Ratesheet!$F$5:$J$455,5,FALSE)*Q23),0))))</f>
        <v>0</v>
      </c>
      <c r="BG23" s="138">
        <f>IF(I23="",0,MAX((IFERROR((VLOOKUP((AH23&amp;$R$6),Ratesheet!$F$5:$J$455,5,FALSE)*R23),0)),(IFERROR((VLOOKUP((AX23&amp;$R$6),Ratesheet!$F$5:$J$455,5,FALSE)*R23),0))))</f>
        <v>0</v>
      </c>
      <c r="BH23" s="138">
        <f>IF(I23="",0,MAX((IFERROR((VLOOKUP((AH23&amp;$S$6),Ratesheet!$F$5:$J$455,5,FALSE)*S23),0)),(IFERROR((VLOOKUP((AX23&amp;$S$6),Ratesheet!$F$5:$J$455,5,FALSE)*S23),0))))</f>
        <v>0</v>
      </c>
      <c r="BI23" s="138">
        <f>IF(J23="",0,MAX((IFERROR((VLOOKUP((AI23&amp;$T$6),Ratesheet!$F$5:$J$455,5,FALSE)*T23),0)),(IFERROR((VLOOKUP((AY23&amp;$T$6),Ratesheet!$F$5:$J$455,5,FALSE)*T23),0))))</f>
        <v>0</v>
      </c>
      <c r="BJ23" s="139">
        <f>IF(I23="",0,MAX((IFERROR((VLOOKUP((AH23&amp;$U$6),Ratesheet!$F$5:$J$455,5,FALSE)*U23),0)),(IFERROR((VLOOKUP((AX23&amp;$U$6),Ratesheet!$F$5:$J$455,5,FALSE)*U23),0))))</f>
        <v>0</v>
      </c>
      <c r="BK23" s="138">
        <f t="shared" si="5"/>
        <v>0</v>
      </c>
      <c r="BL23" s="138">
        <f>IFERROR(BK23*VLOOKUP($C$7,'Ref1'!$B$230:$C$236,2,FALSE),0)</f>
        <v>0</v>
      </c>
    </row>
    <row r="24" spans="1:64" ht="16.5" customHeight="1" thickTop="1">
      <c r="A24" s="426"/>
      <c r="B24" s="424"/>
      <c r="C24" s="427"/>
      <c r="D24" s="427"/>
      <c r="E24" s="142"/>
      <c r="F24" s="677" t="s">
        <v>164</v>
      </c>
      <c r="G24" s="678"/>
      <c r="H24" s="255"/>
      <c r="I24" s="255"/>
      <c r="J24" s="601">
        <f t="shared" ref="J24:V24" si="6">SUM(J8:J23)</f>
        <v>0</v>
      </c>
      <c r="K24" s="601">
        <f t="shared" si="6"/>
        <v>0</v>
      </c>
      <c r="L24" s="601">
        <f t="shared" si="6"/>
        <v>0</v>
      </c>
      <c r="M24" s="602">
        <f t="shared" si="6"/>
        <v>0</v>
      </c>
      <c r="N24" s="601">
        <f t="shared" si="6"/>
        <v>0</v>
      </c>
      <c r="O24" s="601">
        <f t="shared" si="6"/>
        <v>0</v>
      </c>
      <c r="P24" s="601">
        <f t="shared" si="6"/>
        <v>0</v>
      </c>
      <c r="Q24" s="601">
        <f t="shared" si="6"/>
        <v>0</v>
      </c>
      <c r="R24" s="601">
        <f t="shared" si="6"/>
        <v>0</v>
      </c>
      <c r="S24" s="601">
        <f t="shared" si="6"/>
        <v>0</v>
      </c>
      <c r="T24" s="602"/>
      <c r="U24" s="603">
        <f t="shared" si="6"/>
        <v>0</v>
      </c>
      <c r="V24" s="604">
        <f t="shared" si="6"/>
        <v>0</v>
      </c>
      <c r="W24" s="66"/>
      <c r="X24" s="66"/>
      <c r="AV24" s="141">
        <f>SUM(AV8:AV23)</f>
        <v>0</v>
      </c>
      <c r="AW24" s="141">
        <f>SUM(AW8:AW23)</f>
        <v>0</v>
      </c>
      <c r="AY24" s="141"/>
      <c r="AZ24" s="141"/>
      <c r="BA24" s="141"/>
      <c r="BB24" s="141"/>
      <c r="BC24" s="141"/>
      <c r="BD24" s="141"/>
      <c r="BE24" s="141"/>
      <c r="BF24" s="141"/>
      <c r="BG24" s="141"/>
      <c r="BH24" s="141"/>
      <c r="BI24" s="141"/>
      <c r="BJ24" s="141"/>
      <c r="BK24" s="141">
        <f>SUM(BK8:BK23)</f>
        <v>0</v>
      </c>
      <c r="BL24" s="141">
        <f>SUM(BL8:BL23)</f>
        <v>0</v>
      </c>
    </row>
    <row r="25" spans="1:64" ht="9.75" customHeight="1">
      <c r="A25" s="426"/>
      <c r="B25" s="424"/>
      <c r="C25" s="427"/>
      <c r="D25" s="427"/>
      <c r="E25" s="142"/>
      <c r="F25" s="302"/>
      <c r="G25" s="251"/>
      <c r="H25" s="251"/>
      <c r="I25" s="251"/>
      <c r="J25" s="253"/>
      <c r="K25" s="253"/>
      <c r="L25" s="253"/>
      <c r="M25" s="253"/>
      <c r="N25" s="253"/>
      <c r="O25" s="253"/>
      <c r="P25" s="253"/>
      <c r="Q25" s="253"/>
      <c r="R25" s="253"/>
      <c r="S25" s="253"/>
      <c r="T25" s="253"/>
      <c r="U25" s="256"/>
      <c r="V25" s="285"/>
    </row>
    <row r="26" spans="1:64" ht="14.25" hidden="1" customHeight="1">
      <c r="A26" s="417"/>
      <c r="B26" s="416"/>
      <c r="C26" s="418"/>
      <c r="D26" s="418"/>
      <c r="E26" s="142"/>
      <c r="F26" s="418"/>
      <c r="G26" s="418"/>
      <c r="H26" s="681" t="s">
        <v>165</v>
      </c>
      <c r="I26" s="682"/>
      <c r="J26" s="410">
        <f t="shared" ref="J26:U26" si="7">IF(ISERROR(J24/$V$24),0,J24/$V$24)</f>
        <v>0</v>
      </c>
      <c r="K26" s="411">
        <f t="shared" si="7"/>
        <v>0</v>
      </c>
      <c r="L26" s="412">
        <f t="shared" si="7"/>
        <v>0</v>
      </c>
      <c r="M26" s="410">
        <f t="shared" si="7"/>
        <v>0</v>
      </c>
      <c r="N26" s="412">
        <f t="shared" si="7"/>
        <v>0</v>
      </c>
      <c r="O26" s="410">
        <f t="shared" si="7"/>
        <v>0</v>
      </c>
      <c r="P26" s="411">
        <f t="shared" si="7"/>
        <v>0</v>
      </c>
      <c r="Q26" s="411">
        <f t="shared" si="7"/>
        <v>0</v>
      </c>
      <c r="R26" s="411">
        <f t="shared" si="7"/>
        <v>0</v>
      </c>
      <c r="S26" s="411">
        <f t="shared" si="7"/>
        <v>0</v>
      </c>
      <c r="T26" s="620"/>
      <c r="U26" s="412">
        <f t="shared" si="7"/>
        <v>0</v>
      </c>
      <c r="V26" s="286"/>
      <c r="AI26" s="76"/>
    </row>
    <row r="27" spans="1:64" ht="14.25" hidden="1" customHeight="1" thickBot="1">
      <c r="A27" s="281"/>
      <c r="B27" s="74"/>
      <c r="C27" s="75"/>
      <c r="D27" s="75"/>
      <c r="E27" s="142"/>
      <c r="F27" s="418"/>
      <c r="G27" s="418"/>
      <c r="H27" s="712" t="s">
        <v>166</v>
      </c>
      <c r="I27" s="713"/>
      <c r="J27" s="725">
        <v>0.1</v>
      </c>
      <c r="K27" s="726"/>
      <c r="L27" s="727"/>
      <c r="M27" s="725">
        <v>0.2</v>
      </c>
      <c r="N27" s="727"/>
      <c r="O27" s="725">
        <v>0.7</v>
      </c>
      <c r="P27" s="726"/>
      <c r="Q27" s="726"/>
      <c r="R27" s="726"/>
      <c r="S27" s="726"/>
      <c r="T27" s="726"/>
      <c r="U27" s="727"/>
      <c r="V27" s="286"/>
      <c r="AI27" s="76"/>
    </row>
    <row r="28" spans="1:64" ht="21.75" customHeight="1">
      <c r="A28" s="281"/>
      <c r="B28" s="74"/>
      <c r="C28" s="75"/>
      <c r="D28" s="75"/>
      <c r="E28" s="142"/>
      <c r="F28" s="300"/>
      <c r="G28" s="301"/>
      <c r="H28" s="245"/>
      <c r="I28" s="245"/>
      <c r="J28" s="65"/>
      <c r="K28" s="65"/>
      <c r="L28" s="65"/>
      <c r="M28" s="65"/>
      <c r="N28" s="65"/>
      <c r="O28" s="65"/>
      <c r="P28" s="65"/>
      <c r="Q28" s="65"/>
      <c r="R28" s="65"/>
      <c r="S28" s="65"/>
      <c r="T28" s="65"/>
      <c r="U28" s="65"/>
      <c r="V28" s="286"/>
      <c r="AI28" s="76"/>
    </row>
    <row r="29" spans="1:64" ht="14.25" customHeight="1">
      <c r="A29" s="719" t="str">
        <f>"F E E    B R E A K  D O W N   "</f>
        <v xml:space="preserve">F E E    B R E A K  D O W N   </v>
      </c>
      <c r="B29" s="720"/>
      <c r="C29" s="720"/>
      <c r="D29" s="720"/>
      <c r="E29" s="720"/>
      <c r="F29" s="720"/>
      <c r="G29" s="720"/>
      <c r="H29" s="296" t="str">
        <f>" All Values in ( "&amp;C7&amp;" )"</f>
        <v xml:space="preserve"> All Values in ( INR )</v>
      </c>
      <c r="I29" s="297"/>
      <c r="J29" s="78"/>
      <c r="L29" s="728" t="s">
        <v>167</v>
      </c>
      <c r="M29" s="729"/>
      <c r="N29" s="729"/>
      <c r="O29" s="729"/>
      <c r="P29" s="729"/>
      <c r="Q29" s="729"/>
      <c r="R29" s="729"/>
      <c r="S29" s="729"/>
      <c r="T29" s="729"/>
      <c r="U29" s="730"/>
      <c r="V29" s="275"/>
      <c r="AI29" s="76"/>
    </row>
    <row r="30" spans="1:64" s="40" customFormat="1" ht="19.5" customHeight="1">
      <c r="A30" s="714" t="str">
        <f>"Total Engagement Value"</f>
        <v>Total Engagement Value</v>
      </c>
      <c r="B30" s="715"/>
      <c r="C30" s="716"/>
      <c r="D30" s="717">
        <f>Q31</f>
        <v>0</v>
      </c>
      <c r="E30" s="718"/>
      <c r="F30" s="856"/>
      <c r="G30" s="683"/>
      <c r="H30" s="683"/>
      <c r="I30" s="684"/>
      <c r="J30" s="143"/>
      <c r="L30" s="444"/>
      <c r="M30" s="857" t="s">
        <v>168</v>
      </c>
      <c r="N30" s="857"/>
      <c r="O30" s="857"/>
      <c r="P30" s="857"/>
      <c r="Q30" s="254" t="s">
        <v>169</v>
      </c>
      <c r="R30" s="254"/>
      <c r="S30" s="710" t="s">
        <v>170</v>
      </c>
      <c r="T30" s="858"/>
      <c r="U30" s="859"/>
      <c r="V30" s="287"/>
      <c r="AI30" s="79"/>
    </row>
    <row r="31" spans="1:64" s="40" customFormat="1" ht="27.75" customHeight="1">
      <c r="A31" s="723" t="s">
        <v>171</v>
      </c>
      <c r="B31" s="724"/>
      <c r="C31" s="724"/>
      <c r="D31" s="724" t="s">
        <v>207</v>
      </c>
      <c r="E31" s="731"/>
      <c r="F31" s="627" t="s">
        <v>173</v>
      </c>
      <c r="G31" s="627" t="s">
        <v>174</v>
      </c>
      <c r="H31" s="679" t="s">
        <v>175</v>
      </c>
      <c r="I31" s="680"/>
      <c r="J31" s="143"/>
      <c r="L31" s="847" t="s">
        <v>176</v>
      </c>
      <c r="M31" s="721"/>
      <c r="N31" s="721"/>
      <c r="O31" s="721"/>
      <c r="P31" s="721"/>
      <c r="Q31" s="662">
        <f>AW24</f>
        <v>0</v>
      </c>
      <c r="R31" s="662"/>
      <c r="S31" s="662">
        <f>Q31</f>
        <v>0</v>
      </c>
      <c r="T31" s="854"/>
      <c r="U31" s="855"/>
      <c r="V31" s="287"/>
      <c r="AI31" s="79"/>
    </row>
    <row r="32" spans="1:64" s="40" customFormat="1" ht="12.75" customHeight="1">
      <c r="A32" s="849" t="s">
        <v>84</v>
      </c>
      <c r="B32" s="850"/>
      <c r="C32" s="851"/>
      <c r="D32" s="734" t="str">
        <f>C4</f>
        <v>India - R&amp;C</v>
      </c>
      <c r="E32" s="852"/>
      <c r="F32" s="525">
        <f>V24</f>
        <v>0</v>
      </c>
      <c r="G32" s="527">
        <f>IF(C8=MainSheet!B12,(D30-(SUM(G33:G40))),0)</f>
        <v>0</v>
      </c>
      <c r="H32" s="825">
        <f>IF($C$8='Ref1'!B301,'Ref1'!G301,0)</f>
        <v>0</v>
      </c>
      <c r="I32" s="826"/>
      <c r="J32" s="143"/>
      <c r="L32" s="853" t="str">
        <f>"Proposed Fee (Home Office)" &amp;" - "&amp;IF(D32=0,"",D32)</f>
        <v>Proposed Fee (Home Office) - India - R&amp;C</v>
      </c>
      <c r="M32" s="722"/>
      <c r="N32" s="722"/>
      <c r="O32" s="722"/>
      <c r="P32" s="722"/>
      <c r="Q32" s="664">
        <f>D30</f>
        <v>0</v>
      </c>
      <c r="R32" s="664"/>
      <c r="S32" s="665">
        <f>S31*S35</f>
        <v>0</v>
      </c>
      <c r="T32" s="845"/>
      <c r="U32" s="846"/>
      <c r="V32" s="287"/>
      <c r="AI32" s="79"/>
    </row>
    <row r="33" spans="1:35" s="40" customFormat="1" ht="12.75" customHeight="1">
      <c r="A33" s="667" t="s">
        <v>90</v>
      </c>
      <c r="B33" s="668"/>
      <c r="C33" s="668"/>
      <c r="D33" s="669"/>
      <c r="E33" s="669"/>
      <c r="F33" s="525">
        <f>IF($C$8='Ref1'!B302,'Ref1'!H302,0)</f>
        <v>0</v>
      </c>
      <c r="G33" s="527">
        <f>IF($C$8='Ref1'!B302,'Ref1'!F302,0)</f>
        <v>0</v>
      </c>
      <c r="H33" s="825">
        <f>IF($C$8='Ref1'!B302,'Ref1'!G302,0)</f>
        <v>0</v>
      </c>
      <c r="I33" s="826"/>
      <c r="J33" s="143"/>
      <c r="L33" s="847" t="s">
        <v>177</v>
      </c>
      <c r="M33" s="721"/>
      <c r="N33" s="721"/>
      <c r="O33" s="721"/>
      <c r="P33" s="721"/>
      <c r="Q33" s="744">
        <f>IF(((Q31-Q32)+0.0000001)&lt;0,0,((Q31-Q32)+0.0000001))</f>
        <v>9.9999999999999995E-8</v>
      </c>
      <c r="R33" s="745"/>
      <c r="S33" s="736">
        <f>IF(((S31-S32)+0.0000001)&lt;0,0,((S31-S32)+0.0000001))</f>
        <v>9.9999999999999995E-8</v>
      </c>
      <c r="T33" s="744"/>
      <c r="U33" s="848"/>
      <c r="V33" s="287"/>
      <c r="AI33" s="79"/>
    </row>
    <row r="34" spans="1:35" s="40" customFormat="1" ht="12.75" customHeight="1">
      <c r="A34" s="840" t="s">
        <v>90</v>
      </c>
      <c r="B34" s="841"/>
      <c r="C34" s="842"/>
      <c r="D34" s="670"/>
      <c r="E34" s="843"/>
      <c r="F34" s="525">
        <f>IF($C$8='Ref1'!B303,'Ref1'!H303,0)</f>
        <v>0</v>
      </c>
      <c r="G34" s="527">
        <f>IF($C$8='Ref1'!B303,'Ref1'!F303,0)</f>
        <v>0</v>
      </c>
      <c r="H34" s="825">
        <f>IF($C$8='Ref1'!B303,'Ref1'!G303,0)</f>
        <v>0</v>
      </c>
      <c r="I34" s="826"/>
      <c r="J34" s="143"/>
      <c r="L34" s="844" t="s">
        <v>178</v>
      </c>
      <c r="M34" s="742"/>
      <c r="N34" s="742"/>
      <c r="O34" s="742"/>
      <c r="P34" s="743"/>
      <c r="Q34" s="738">
        <f>IF((IF(ISERROR(Q33/Q31),0,Q33/Q31)+0.00000001)&lt;0,0,(IF(ISERROR(Q33/Q31),0,Q33/Q31)+0.00000001))</f>
        <v>1E-8</v>
      </c>
      <c r="R34" s="739"/>
      <c r="S34" s="738">
        <f>IF(((1-S35)+0.000001)&lt;0,0,((1-S35)+0.000001))</f>
        <v>0.720001</v>
      </c>
      <c r="T34" s="832"/>
      <c r="U34" s="833"/>
      <c r="V34" s="287"/>
      <c r="AI34" s="79"/>
    </row>
    <row r="35" spans="1:35" s="40" customFormat="1" ht="12" customHeight="1">
      <c r="A35" s="667"/>
      <c r="B35" s="668"/>
      <c r="C35" s="668"/>
      <c r="D35" s="669"/>
      <c r="E35" s="669"/>
      <c r="F35" s="525">
        <f>IF($C$8='Ref1'!B304,'Ref1'!H304,0)</f>
        <v>0</v>
      </c>
      <c r="G35" s="527">
        <f>IF($C$8='Ref1'!B304,'Ref1'!F304,0)</f>
        <v>0</v>
      </c>
      <c r="H35" s="825">
        <f>IF($C$8='Ref1'!B304,'Ref1'!G304,0)</f>
        <v>0</v>
      </c>
      <c r="I35" s="826"/>
      <c r="J35" s="143"/>
      <c r="L35" s="834" t="s">
        <v>170</v>
      </c>
      <c r="M35" s="835"/>
      <c r="N35" s="835"/>
      <c r="O35" s="835"/>
      <c r="P35" s="835"/>
      <c r="Q35" s="836">
        <f>1-Q34</f>
        <v>0.99999998999999995</v>
      </c>
      <c r="R35" s="836"/>
      <c r="S35" s="837">
        <v>0.28000000000000003</v>
      </c>
      <c r="T35" s="838"/>
      <c r="U35" s="839"/>
      <c r="V35" s="287"/>
      <c r="AI35" s="79"/>
    </row>
    <row r="36" spans="1:35" s="40" customFormat="1" ht="12.75" customHeight="1">
      <c r="A36" s="827"/>
      <c r="B36" s="668"/>
      <c r="C36" s="668"/>
      <c r="D36" s="669"/>
      <c r="E36" s="669"/>
      <c r="F36" s="525">
        <f>IF($C$8='Ref1'!B305,'Ref1'!H305,0)</f>
        <v>0</v>
      </c>
      <c r="G36" s="527">
        <f>IF($C$8='Ref1'!B305,'Ref1'!F305,0)</f>
        <v>0</v>
      </c>
      <c r="H36" s="825">
        <f>IF($C$8='Ref1'!B305,'Ref1'!G305,0)</f>
        <v>0</v>
      </c>
      <c r="I36" s="826"/>
      <c r="J36" s="143"/>
      <c r="L36" s="145"/>
      <c r="S36" s="246"/>
      <c r="T36" s="246"/>
      <c r="V36" s="287"/>
      <c r="AI36" s="79"/>
    </row>
    <row r="37" spans="1:35" s="40" customFormat="1" ht="12.75" customHeight="1">
      <c r="A37" s="827"/>
      <c r="B37" s="668"/>
      <c r="C37" s="668"/>
      <c r="D37" s="669"/>
      <c r="E37" s="669"/>
      <c r="F37" s="525">
        <f>IF($C$8='Ref1'!B306,'Ref1'!H306,0)</f>
        <v>0</v>
      </c>
      <c r="G37" s="527">
        <f>IF($C$8='Ref1'!B306,'Ref1'!F306,0)</f>
        <v>0</v>
      </c>
      <c r="H37" s="825">
        <f>IF($C$8='Ref1'!B306,'Ref1'!G306,0)</f>
        <v>0</v>
      </c>
      <c r="I37" s="826"/>
      <c r="J37" s="143"/>
      <c r="L37" s="145"/>
      <c r="S37" s="246"/>
      <c r="T37" s="246"/>
      <c r="V37" s="287"/>
      <c r="AI37" s="79"/>
    </row>
    <row r="38" spans="1:35" s="40" customFormat="1" ht="12.75" customHeight="1">
      <c r="A38" s="827"/>
      <c r="B38" s="668"/>
      <c r="C38" s="668"/>
      <c r="D38" s="669"/>
      <c r="E38" s="669"/>
      <c r="F38" s="525">
        <f>IF($C$8='Ref1'!B307,'Ref1'!H307,0)</f>
        <v>0</v>
      </c>
      <c r="G38" s="527">
        <f>IF($C$8='Ref1'!B307,'Ref1'!F307,0)</f>
        <v>0</v>
      </c>
      <c r="H38" s="825">
        <f>IF($C$8='Ref1'!B307,'Ref1'!G307,0)</f>
        <v>0</v>
      </c>
      <c r="I38" s="826"/>
      <c r="J38" s="143"/>
      <c r="L38" s="145"/>
      <c r="S38" s="246"/>
      <c r="T38" s="246"/>
      <c r="V38" s="287"/>
      <c r="AI38" s="79"/>
    </row>
    <row r="39" spans="1:35" s="40" customFormat="1" ht="12.75" customHeight="1">
      <c r="A39" s="830"/>
      <c r="B39" s="831"/>
      <c r="C39" s="831"/>
      <c r="D39" s="669"/>
      <c r="E39" s="669"/>
      <c r="F39" s="525">
        <f>IF($C$8='Ref1'!B308,'Ref1'!H308,0)</f>
        <v>0</v>
      </c>
      <c r="G39" s="527">
        <f>IF($C$8=MainSheet!$B$12,(SUMIFS(Expenses!$J$7:$J$31,Expenses!$C$7:$C$31,('Ref1'!C311))),0)</f>
        <v>0</v>
      </c>
      <c r="H39" s="825">
        <f>IF($C$8=MainSheet!$B$12,((SUMIFS(Expenses!$Q$7:$Q$31,Expenses!$C$7:$C$31,('Ref1'!C311)))),0)</f>
        <v>0</v>
      </c>
      <c r="I39" s="826"/>
      <c r="J39" s="143"/>
      <c r="L39" s="145"/>
      <c r="S39" s="246"/>
      <c r="T39" s="246"/>
      <c r="V39" s="287"/>
      <c r="AI39" s="79"/>
    </row>
    <row r="40" spans="1:35" s="40" customFormat="1" ht="12.75" customHeight="1" thickBot="1">
      <c r="A40" s="481" t="str">
        <f>PRFIIO!A42</f>
        <v>GST</v>
      </c>
      <c r="B40" s="824"/>
      <c r="C40" s="824"/>
      <c r="D40" s="669"/>
      <c r="E40" s="669"/>
      <c r="F40" s="562"/>
      <c r="G40" s="562"/>
      <c r="H40" s="756">
        <v>0</v>
      </c>
      <c r="I40" s="757"/>
      <c r="J40" s="143"/>
      <c r="L40" s="760" t="s">
        <v>181</v>
      </c>
      <c r="M40" s="747"/>
      <c r="N40" s="760" t="s">
        <v>182</v>
      </c>
      <c r="O40" s="747"/>
      <c r="P40" s="746" t="s">
        <v>183</v>
      </c>
      <c r="Q40" s="747"/>
      <c r="R40" s="746" t="s">
        <v>184</v>
      </c>
      <c r="S40" s="747"/>
      <c r="T40" s="621"/>
      <c r="U40" s="79"/>
      <c r="V40" s="377"/>
      <c r="AI40" s="79"/>
    </row>
    <row r="41" spans="1:35" s="40" customFormat="1" ht="16.5" customHeight="1" thickTop="1">
      <c r="A41" s="754" t="s">
        <v>164</v>
      </c>
      <c r="B41" s="755"/>
      <c r="C41" s="755"/>
      <c r="D41" s="755"/>
      <c r="E41" s="823"/>
      <c r="F41" s="528">
        <f>SUM(F32:F40)</f>
        <v>0</v>
      </c>
      <c r="G41" s="528">
        <f>SUM(G32:G40)</f>
        <v>0</v>
      </c>
      <c r="H41" s="758">
        <f>SUM(H32:I40)</f>
        <v>0</v>
      </c>
      <c r="I41" s="759"/>
      <c r="J41" s="143"/>
      <c r="L41" s="587" t="s">
        <v>185</v>
      </c>
      <c r="M41" s="261" t="s">
        <v>186</v>
      </c>
      <c r="N41" s="587" t="s">
        <v>185</v>
      </c>
      <c r="O41" s="261" t="s">
        <v>186</v>
      </c>
      <c r="P41" s="760" t="s">
        <v>187</v>
      </c>
      <c r="Q41" s="747"/>
      <c r="R41" s="760" t="s">
        <v>188</v>
      </c>
      <c r="S41" s="747"/>
      <c r="T41" s="621"/>
      <c r="U41" s="79"/>
      <c r="V41" s="377"/>
      <c r="AI41" s="79"/>
    </row>
    <row r="42" spans="1:35" s="40" customFormat="1" ht="19.5" customHeight="1">
      <c r="A42" s="288"/>
      <c r="F42" s="753"/>
      <c r="G42" s="753"/>
      <c r="H42" s="247"/>
      <c r="I42" s="245"/>
      <c r="J42" s="147"/>
      <c r="K42" s="265" t="str">
        <f>C7</f>
        <v>INR</v>
      </c>
      <c r="L42" s="589">
        <f>G41</f>
        <v>0</v>
      </c>
      <c r="M42" s="589">
        <f>IFERROR(L42/(V24+Expenses!E33),0)</f>
        <v>0</v>
      </c>
      <c r="N42" s="590">
        <f>G32</f>
        <v>0</v>
      </c>
      <c r="O42" s="264">
        <f>IFERROR(N42/V24,0)</f>
        <v>0</v>
      </c>
      <c r="P42" s="761">
        <f>IFERROR(IF(AND(U42&lt;0,N42&lt;0),((U42*-1)-(N42*5%))/N42,(U42-(N42*5%))/N42),0)</f>
        <v>0</v>
      </c>
      <c r="Q42" s="762"/>
      <c r="R42" s="761">
        <f>IFERROR(IF(AND(W42&lt;0,L42&lt;0),((W42*-1)-(G32*5%))/L42,(W42-(G32*5%))/L42),0)</f>
        <v>0</v>
      </c>
      <c r="S42" s="762"/>
      <c r="T42" s="622"/>
      <c r="U42" s="79">
        <f>IFERROR(N42-V42,0)</f>
        <v>0</v>
      </c>
      <c r="V42" s="377">
        <f>IFERROR(BL24,0)</f>
        <v>0</v>
      </c>
      <c r="W42" s="79">
        <f>IFERROR(L42-V42-(G41-G32),0)</f>
        <v>0</v>
      </c>
      <c r="X42" s="79"/>
      <c r="AI42" s="79"/>
    </row>
    <row r="43" spans="1:35" s="40" customFormat="1" ht="18" customHeight="1" thickBot="1">
      <c r="A43" s="288"/>
      <c r="F43" s="148"/>
      <c r="G43" s="245"/>
      <c r="H43" s="245"/>
      <c r="I43" s="245"/>
      <c r="J43" s="147"/>
      <c r="K43" s="262" t="s">
        <v>191</v>
      </c>
      <c r="L43" s="589">
        <f>(IFERROR((L42/VLOOKUP(K43,'Ref1'!$B$230:$C$236,2,FALSE)),0))*VLOOKUP($C$7,'Ref1'!$B$239:$C$240,2,0)</f>
        <v>0</v>
      </c>
      <c r="M43" s="589">
        <f>IFERROR(L43/(V24+Expenses!E33),0)</f>
        <v>0</v>
      </c>
      <c r="N43" s="590">
        <f>(IFERROR((N42/VLOOKUP(K42,'Ref1'!$B$230:$C$236,2,FALSE)),0))*VLOOKUP($C$7,'Ref1'!$B$239:$C$240,2,0)</f>
        <v>0</v>
      </c>
      <c r="O43" s="264">
        <f>IFERROR(N43/V24,0)</f>
        <v>0</v>
      </c>
      <c r="P43" s="763"/>
      <c r="Q43" s="764"/>
      <c r="R43" s="763"/>
      <c r="S43" s="764"/>
      <c r="T43" s="622"/>
      <c r="U43" s="79">
        <f>IFERROR(M43-V43,0)</f>
        <v>0</v>
      </c>
      <c r="V43" s="377">
        <f>IFERROR(BK24,0)</f>
        <v>0</v>
      </c>
      <c r="AI43" s="79"/>
    </row>
    <row r="44" spans="1:35" s="40" customFormat="1" ht="12" customHeight="1" thickBot="1">
      <c r="A44" s="288"/>
      <c r="D44" s="117"/>
      <c r="E44" s="248" t="s">
        <v>192</v>
      </c>
      <c r="F44" s="828">
        <f>IFERROR(G32/Q31,0)</f>
        <v>0</v>
      </c>
      <c r="G44" s="829"/>
      <c r="I44" s="249"/>
      <c r="U44" s="79"/>
      <c r="V44" s="377"/>
      <c r="AI44" s="79"/>
    </row>
    <row r="45" spans="1:35" s="40" customFormat="1" ht="12" customHeight="1">
      <c r="A45" s="289"/>
      <c r="E45" s="74"/>
      <c r="F45" s="117"/>
      <c r="G45" s="74"/>
      <c r="H45" s="74"/>
      <c r="I45" s="74"/>
      <c r="J45" s="117"/>
      <c r="K45" s="78"/>
      <c r="L45" s="765" t="str">
        <f>PRFIIO!L47</f>
        <v xml:space="preserve">Gross Contribution Margin is derived after considering direct staff cost, mangement fees , Sub-contractor cost and other direct cost. 
Net Contribution Margin is derived after considering direct staff cost, mangement fees and other direct cost. </v>
      </c>
      <c r="M45" s="765"/>
      <c r="N45" s="765"/>
      <c r="O45" s="765"/>
      <c r="P45" s="765"/>
      <c r="Q45" s="765"/>
      <c r="R45" s="765"/>
      <c r="S45" s="765"/>
      <c r="T45" s="765"/>
      <c r="U45" s="765"/>
      <c r="V45" s="766"/>
      <c r="AI45" s="79"/>
    </row>
    <row r="46" spans="1:35" s="40" customFormat="1" ht="24" customHeight="1">
      <c r="A46" s="290"/>
      <c r="E46" s="117"/>
      <c r="F46" s="117"/>
      <c r="G46" s="117"/>
      <c r="H46" s="117"/>
      <c r="I46" s="117"/>
      <c r="J46" s="117"/>
      <c r="K46" s="117"/>
      <c r="L46" s="765"/>
      <c r="M46" s="765"/>
      <c r="N46" s="765"/>
      <c r="O46" s="765"/>
      <c r="P46" s="765"/>
      <c r="Q46" s="765"/>
      <c r="R46" s="765"/>
      <c r="S46" s="765"/>
      <c r="T46" s="765"/>
      <c r="U46" s="765"/>
      <c r="V46" s="766"/>
      <c r="AI46" s="79"/>
    </row>
    <row r="47" spans="1:35" s="40" customFormat="1" ht="26.25" customHeight="1">
      <c r="A47" s="291"/>
      <c r="B47" s="292"/>
      <c r="C47" s="292"/>
      <c r="D47" s="292"/>
      <c r="E47" s="293"/>
      <c r="F47" s="294"/>
      <c r="G47" s="293"/>
      <c r="H47" s="293"/>
      <c r="I47" s="293"/>
      <c r="J47" s="750"/>
      <c r="K47" s="750"/>
      <c r="L47" s="767"/>
      <c r="M47" s="767"/>
      <c r="N47" s="767"/>
      <c r="O47" s="767"/>
      <c r="P47" s="767"/>
      <c r="Q47" s="767"/>
      <c r="R47" s="767"/>
      <c r="S47" s="767"/>
      <c r="T47" s="767"/>
      <c r="U47" s="767"/>
      <c r="V47" s="768"/>
      <c r="AI47" s="79"/>
    </row>
    <row r="48" spans="1:35" s="40" customFormat="1" ht="12" customHeight="1">
      <c r="A48" s="117"/>
      <c r="B48" s="117"/>
      <c r="C48" s="117"/>
      <c r="D48" s="117"/>
      <c r="E48" s="117"/>
      <c r="F48" s="127"/>
      <c r="G48" s="127"/>
      <c r="H48" s="127"/>
      <c r="I48" s="127"/>
      <c r="J48" s="78"/>
      <c r="K48" s="78"/>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row>
    <row r="49" spans="1:35" s="40" customFormat="1" ht="12" customHeight="1">
      <c r="A49" s="117"/>
      <c r="B49" s="565"/>
      <c r="C49" s="130" t="s">
        <v>194</v>
      </c>
      <c r="D49" s="117"/>
      <c r="E49" s="117"/>
      <c r="F49" s="151" t="s">
        <v>195</v>
      </c>
      <c r="G49" s="128"/>
      <c r="H49" s="128"/>
      <c r="I49" s="128"/>
      <c r="J49" s="78"/>
      <c r="K49" s="78"/>
      <c r="L49" s="117"/>
      <c r="M49" s="117"/>
      <c r="N49" s="152" t="s">
        <v>196</v>
      </c>
      <c r="O49" s="117" t="s">
        <v>197</v>
      </c>
      <c r="P49" s="117"/>
      <c r="Q49" s="117"/>
      <c r="R49" s="117"/>
      <c r="S49" s="117"/>
      <c r="T49" s="117"/>
      <c r="U49" s="117"/>
      <c r="V49" s="117"/>
      <c r="W49" s="117"/>
      <c r="X49" s="117"/>
      <c r="Y49" s="117"/>
      <c r="Z49" s="117"/>
      <c r="AA49" s="117"/>
      <c r="AB49" s="117"/>
      <c r="AC49" s="117"/>
      <c r="AD49" s="117"/>
      <c r="AE49" s="117"/>
      <c r="AF49" s="117"/>
      <c r="AG49" s="117"/>
    </row>
    <row r="50" spans="1:35" s="40" customFormat="1" ht="12" customHeight="1">
      <c r="A50" s="78"/>
      <c r="B50" s="563"/>
      <c r="C50" s="130" t="s">
        <v>198</v>
      </c>
      <c r="D50" s="74"/>
      <c r="E50" s="117"/>
      <c r="F50" s="153" t="s">
        <v>199</v>
      </c>
      <c r="G50" s="153"/>
      <c r="H50" s="153"/>
      <c r="I50" s="153"/>
      <c r="J50" s="154"/>
      <c r="K50" s="154"/>
      <c r="L50" s="117"/>
      <c r="M50" s="117"/>
      <c r="N50" s="117"/>
      <c r="O50" s="117" t="s">
        <v>200</v>
      </c>
      <c r="P50" s="117"/>
      <c r="Q50" s="117"/>
      <c r="R50" s="117"/>
      <c r="S50" s="117"/>
      <c r="T50" s="117"/>
      <c r="U50" s="117"/>
      <c r="V50" s="117"/>
      <c r="W50" s="117"/>
      <c r="X50" s="117"/>
      <c r="Y50" s="117"/>
      <c r="Z50" s="117"/>
      <c r="AA50" s="117"/>
      <c r="AB50" s="117"/>
      <c r="AC50" s="117"/>
      <c r="AD50" s="117"/>
      <c r="AE50" s="117"/>
      <c r="AF50" s="117"/>
      <c r="AG50" s="117"/>
    </row>
    <row r="51" spans="1:35" ht="13.8">
      <c r="A51" s="78"/>
      <c r="B51" s="74"/>
      <c r="C51" s="74"/>
      <c r="D51" s="74"/>
      <c r="E51" s="74"/>
      <c r="F51" s="153" t="s">
        <v>201</v>
      </c>
      <c r="G51" s="74"/>
      <c r="H51" s="74"/>
      <c r="I51" s="74"/>
      <c r="J51" s="78"/>
      <c r="K51" s="78"/>
      <c r="L51" s="78"/>
      <c r="M51" s="78"/>
      <c r="N51" s="78"/>
      <c r="O51" s="78"/>
      <c r="P51" s="78"/>
      <c r="Q51" s="78"/>
      <c r="R51" s="78"/>
      <c r="S51" s="78"/>
      <c r="T51" s="78"/>
      <c r="U51" s="78"/>
      <c r="V51" s="78"/>
      <c r="W51" s="78"/>
      <c r="X51" s="78"/>
      <c r="Y51" s="78"/>
      <c r="Z51" s="78"/>
      <c r="AA51" s="78"/>
      <c r="AB51" s="78"/>
      <c r="AC51" s="78"/>
      <c r="AD51" s="78"/>
      <c r="AE51" s="78"/>
      <c r="AF51" s="78"/>
      <c r="AG51" s="78"/>
      <c r="AH51" s="78"/>
      <c r="AI51" s="78"/>
    </row>
    <row r="52" spans="1:35" ht="12.75" customHeight="1">
      <c r="A52" s="78"/>
      <c r="B52" s="74"/>
      <c r="C52" s="74"/>
      <c r="D52" s="74"/>
      <c r="E52" s="74"/>
      <c r="F52" s="74"/>
      <c r="G52" s="74"/>
      <c r="H52" s="74"/>
      <c r="I52" s="74"/>
      <c r="J52" s="78"/>
      <c r="K52" s="78"/>
      <c r="L52" s="78"/>
      <c r="M52" s="78"/>
      <c r="N52" s="78"/>
    </row>
    <row r="53" spans="1:35" ht="22.5" customHeight="1">
      <c r="A53" s="84"/>
      <c r="B53" s="84"/>
      <c r="C53" s="257"/>
      <c r="D53" s="258" t="s">
        <v>208</v>
      </c>
      <c r="E53" s="258"/>
      <c r="F53" s="258"/>
      <c r="G53" s="479" t="s">
        <v>202</v>
      </c>
      <c r="H53" s="480" t="s">
        <v>203</v>
      </c>
      <c r="I53" s="479" t="s">
        <v>204</v>
      </c>
      <c r="J53" s="478"/>
      <c r="K53" s="78"/>
      <c r="L53" s="78"/>
      <c r="M53" s="78"/>
      <c r="N53" s="78"/>
      <c r="U53" s="82" t="s">
        <v>209</v>
      </c>
      <c r="V53" s="326"/>
    </row>
    <row r="54" spans="1:35" ht="21" hidden="1" customHeight="1">
      <c r="A54" s="751"/>
      <c r="B54" s="751"/>
      <c r="C54" s="259"/>
      <c r="D54" s="259"/>
      <c r="E54" s="260"/>
      <c r="F54" s="92"/>
      <c r="G54" s="74"/>
      <c r="H54" s="74"/>
      <c r="I54" s="74"/>
      <c r="J54" s="78"/>
      <c r="K54" s="78"/>
      <c r="L54" s="78"/>
      <c r="M54" s="78"/>
      <c r="N54" s="78"/>
    </row>
    <row r="55" spans="1:35" ht="6.75" hidden="1" customHeight="1">
      <c r="A55" s="78"/>
      <c r="B55" s="74"/>
      <c r="C55" s="74"/>
      <c r="D55" s="74"/>
      <c r="E55" s="74"/>
      <c r="F55" s="74"/>
      <c r="G55" s="74"/>
      <c r="H55" s="74"/>
      <c r="I55" s="74"/>
      <c r="J55" s="78"/>
      <c r="K55" s="78"/>
      <c r="L55" s="78"/>
      <c r="M55" s="78"/>
      <c r="N55" s="78"/>
    </row>
    <row r="56" spans="1:35" ht="18" hidden="1">
      <c r="A56" s="78"/>
      <c r="B56" s="74"/>
      <c r="C56" s="74"/>
      <c r="D56" s="74"/>
      <c r="E56" s="74"/>
      <c r="F56" s="74"/>
      <c r="G56" s="74"/>
      <c r="H56" s="74"/>
      <c r="I56" s="74"/>
      <c r="J56" s="78"/>
      <c r="K56" s="78"/>
      <c r="L56" s="78"/>
      <c r="M56" s="78"/>
      <c r="N56" s="78"/>
      <c r="U56" s="82"/>
      <c r="V56" s="155"/>
    </row>
    <row r="59" spans="1:35" ht="12.75" customHeight="1"/>
    <row r="60" spans="1:35" ht="12.75" customHeight="1"/>
    <row r="61" spans="1:35" ht="12.75" customHeight="1"/>
    <row r="62" spans="1:35" ht="12.75" customHeight="1"/>
    <row r="63" spans="1:35" ht="12.75" customHeight="1"/>
    <row r="64" spans="1:35"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sheetData>
  <sheetProtection algorithmName="SHA-512" hashValue="gDhzOSCrxzVrB6txAhajfbQoPqmhsMzGJYWHdh3RVZf38vAaQQ4kxz4AmGiuGzXCoiwKjmlpzbqEp96pymMe5g==" saltValue="smAdXqIiIBPdiiLJ1eXrWg==" spinCount="100000" sheet="1" selectLockedCells="1"/>
  <mergeCells count="111">
    <mergeCell ref="C4:D4"/>
    <mergeCell ref="C5:D5"/>
    <mergeCell ref="C6:D6"/>
    <mergeCell ref="F6:G7"/>
    <mergeCell ref="H6:I6"/>
    <mergeCell ref="J6:J7"/>
    <mergeCell ref="F11:G11"/>
    <mergeCell ref="F12:G12"/>
    <mergeCell ref="F13:G13"/>
    <mergeCell ref="F14:G14"/>
    <mergeCell ref="F15:G15"/>
    <mergeCell ref="F16:G16"/>
    <mergeCell ref="AY6:BL6"/>
    <mergeCell ref="C7:D7"/>
    <mergeCell ref="C8:D8"/>
    <mergeCell ref="F8:G8"/>
    <mergeCell ref="F9:G9"/>
    <mergeCell ref="F10:G10"/>
    <mergeCell ref="Q6:Q7"/>
    <mergeCell ref="R6:R7"/>
    <mergeCell ref="S6:S7"/>
    <mergeCell ref="U6:U7"/>
    <mergeCell ref="V6:V7"/>
    <mergeCell ref="AJ6:AW6"/>
    <mergeCell ref="K6:K7"/>
    <mergeCell ref="L6:L7"/>
    <mergeCell ref="M6:M7"/>
    <mergeCell ref="N6:N7"/>
    <mergeCell ref="O6:O7"/>
    <mergeCell ref="P6:P7"/>
    <mergeCell ref="T6:T7"/>
    <mergeCell ref="J27:L27"/>
    <mergeCell ref="M27:N27"/>
    <mergeCell ref="O27:U27"/>
    <mergeCell ref="F23:G23"/>
    <mergeCell ref="F24:G24"/>
    <mergeCell ref="H26:I26"/>
    <mergeCell ref="H27:I27"/>
    <mergeCell ref="F17:G17"/>
    <mergeCell ref="F18:G18"/>
    <mergeCell ref="F19:G19"/>
    <mergeCell ref="F22:G22"/>
    <mergeCell ref="F21:G21"/>
    <mergeCell ref="F20:G20"/>
    <mergeCell ref="H31:I31"/>
    <mergeCell ref="L31:P31"/>
    <mergeCell ref="Q31:R31"/>
    <mergeCell ref="S31:U31"/>
    <mergeCell ref="A29:G29"/>
    <mergeCell ref="A30:C30"/>
    <mergeCell ref="D30:E30"/>
    <mergeCell ref="F30:I30"/>
    <mergeCell ref="M30:P30"/>
    <mergeCell ref="S30:U30"/>
    <mergeCell ref="A31:C31"/>
    <mergeCell ref="D31:E31"/>
    <mergeCell ref="L29:U29"/>
    <mergeCell ref="S32:U32"/>
    <mergeCell ref="A33:C33"/>
    <mergeCell ref="D33:E33"/>
    <mergeCell ref="H33:I33"/>
    <mergeCell ref="L33:P33"/>
    <mergeCell ref="Q33:R33"/>
    <mergeCell ref="S33:U33"/>
    <mergeCell ref="A32:C32"/>
    <mergeCell ref="D32:E32"/>
    <mergeCell ref="H32:I32"/>
    <mergeCell ref="L32:P32"/>
    <mergeCell ref="Q32:R32"/>
    <mergeCell ref="S34:U34"/>
    <mergeCell ref="A35:C35"/>
    <mergeCell ref="D35:E35"/>
    <mergeCell ref="H35:I35"/>
    <mergeCell ref="L35:P35"/>
    <mergeCell ref="Q35:R35"/>
    <mergeCell ref="S35:U35"/>
    <mergeCell ref="A34:C34"/>
    <mergeCell ref="D34:E34"/>
    <mergeCell ref="H34:I34"/>
    <mergeCell ref="L34:P34"/>
    <mergeCell ref="Q34:R34"/>
    <mergeCell ref="H36:I36"/>
    <mergeCell ref="A37:C37"/>
    <mergeCell ref="D37:E37"/>
    <mergeCell ref="H37:I37"/>
    <mergeCell ref="F42:G42"/>
    <mergeCell ref="F44:G44"/>
    <mergeCell ref="J47:K47"/>
    <mergeCell ref="A39:C39"/>
    <mergeCell ref="D39:E39"/>
    <mergeCell ref="H39:I39"/>
    <mergeCell ref="A38:C38"/>
    <mergeCell ref="D38:E38"/>
    <mergeCell ref="H38:I38"/>
    <mergeCell ref="A36:C36"/>
    <mergeCell ref="D36:E36"/>
    <mergeCell ref="A54:B54"/>
    <mergeCell ref="P40:Q40"/>
    <mergeCell ref="A41:E41"/>
    <mergeCell ref="H41:I41"/>
    <mergeCell ref="P41:Q41"/>
    <mergeCell ref="P42:Q43"/>
    <mergeCell ref="L45:V47"/>
    <mergeCell ref="B40:C40"/>
    <mergeCell ref="D40:E40"/>
    <mergeCell ref="H40:I40"/>
    <mergeCell ref="R40:S40"/>
    <mergeCell ref="R41:S41"/>
    <mergeCell ref="R42:S43"/>
    <mergeCell ref="L40:M40"/>
    <mergeCell ref="N40:O40"/>
  </mergeCells>
  <conditionalFormatting sqref="H44">
    <cfRule type="colorScale" priority="19">
      <colorScale>
        <cfvo type="num" val="0.4"/>
        <cfvo type="num" val="0.5"/>
        <cfvo type="num" val="0.7"/>
        <color rgb="FFF8696B"/>
        <color theme="9" tint="0.39997558519241921"/>
        <color rgb="FF63BE7B"/>
      </colorScale>
    </cfRule>
  </conditionalFormatting>
  <conditionalFormatting sqref="J27:L27">
    <cfRule type="cellIs" dxfId="41" priority="11" operator="greaterThan">
      <formula>$J$26+$K$26+$L$26</formula>
    </cfRule>
  </conditionalFormatting>
  <conditionalFormatting sqref="M27:N27">
    <cfRule type="cellIs" dxfId="40" priority="10" operator="greaterThan">
      <formula>$M$26+$N$26</formula>
    </cfRule>
  </conditionalFormatting>
  <conditionalFormatting sqref="O27:U27">
    <cfRule type="cellIs" dxfId="39" priority="9" operator="greaterThan">
      <formula>$O$26+$P$26+$Q$26+$R$26+$S$26+$U$26</formula>
    </cfRule>
  </conditionalFormatting>
  <conditionalFormatting sqref="F44:G44">
    <cfRule type="colorScale" priority="3">
      <colorScale>
        <cfvo type="num" val="0.59499999999999997"/>
        <cfvo type="num" val="0.6"/>
        <color rgb="FFF8696B"/>
        <color rgb="FF63BE7B"/>
      </colorScale>
    </cfRule>
  </conditionalFormatting>
  <conditionalFormatting sqref="P42">
    <cfRule type="colorScale" priority="2">
      <colorScale>
        <cfvo type="num" val="0.3"/>
        <cfvo type="num" val="0.30499999999999999"/>
        <color rgb="FFF8696B"/>
        <color rgb="FF63BE7B"/>
      </colorScale>
    </cfRule>
  </conditionalFormatting>
  <conditionalFormatting sqref="R42">
    <cfRule type="colorScale" priority="1">
      <colorScale>
        <cfvo type="num" val="0.3"/>
        <cfvo type="num" val="0.30499999999999999"/>
        <color rgb="FFF8696B"/>
        <color rgb="FF63BE7B"/>
      </colorScale>
    </cfRule>
  </conditionalFormatting>
  <dataValidations count="6">
    <dataValidation type="decimal" allowBlank="1" showInputMessage="1" showErrorMessage="1" sqref="F40 G32:G40 J32:J40 J8:U23" xr:uid="{00000000-0002-0000-0400-000000000000}">
      <formula1>0</formula1>
      <formula2>9999999999</formula2>
    </dataValidation>
    <dataValidation type="list" allowBlank="1" showInputMessage="1" showErrorMessage="1" sqref="V3 E5" xr:uid="{00000000-0002-0000-0400-000001000000}">
      <formula1>BusinessUnits</formula1>
    </dataValidation>
    <dataValidation type="list" allowBlank="1" showInputMessage="1" showErrorMessage="1" sqref="E9" xr:uid="{00000000-0002-0000-0400-000002000000}">
      <formula1>CurrencyCode</formula1>
    </dataValidation>
    <dataValidation type="list" allowBlank="1" showInputMessage="1" showErrorMessage="1" sqref="E10" xr:uid="{00000000-0002-0000-0400-000003000000}">
      <formula1>"Fixed (incl. Outlays), Fixed (Excl. Outlays),Time and Material"</formula1>
    </dataValidation>
    <dataValidation type="textLength" allowBlank="1" showInputMessage="1" showErrorMessage="1" sqref="E11:E28" xr:uid="{00000000-0002-0000-0400-000004000000}">
      <formula1>0</formula1>
      <formula2>50</formula2>
    </dataValidation>
    <dataValidation type="list" errorStyle="information" allowBlank="1" showInputMessage="1" showErrorMessage="1" sqref="H8:H23" xr:uid="{00000000-0002-0000-0400-000005000000}">
      <formula1>"India"</formula1>
    </dataValidation>
  </dataValidations>
  <printOptions horizontalCentered="1"/>
  <pageMargins left="0.5" right="0.5" top="1" bottom="0.5" header="0.33" footer="0.25"/>
  <pageSetup paperSize="9" scale="72"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inSheet">
                <anchor>
                  <from>
                    <xdr:col>7</xdr:col>
                    <xdr:colOff>167640</xdr:colOff>
                    <xdr:row>0</xdr:row>
                    <xdr:rowOff>91440</xdr:rowOff>
                  </from>
                  <to>
                    <xdr:col>8</xdr:col>
                    <xdr:colOff>381000</xdr:colOff>
                    <xdr:row>2</xdr:row>
                    <xdr:rowOff>106680</xdr:rowOff>
                  </to>
                </anchor>
              </controlPr>
            </control>
          </mc:Choice>
        </mc:AlternateContent>
        <mc:AlternateContent xmlns:mc="http://schemas.openxmlformats.org/markup-compatibility/2006">
          <mc:Choice Requires="x14">
            <control shapeId="24578" r:id="rId5" name="Button 2">
              <controlPr defaultSize="0" print="0" autoFill="0" autoPict="0" macro="[0]!Billings">
                <anchor>
                  <from>
                    <xdr:col>8</xdr:col>
                    <xdr:colOff>685800</xdr:colOff>
                    <xdr:row>0</xdr:row>
                    <xdr:rowOff>83820</xdr:rowOff>
                  </from>
                  <to>
                    <xdr:col>10</xdr:col>
                    <xdr:colOff>548640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6000000}">
          <x14:formula1>
            <xm:f>'Ref1'!$G$278:$G$280</xm:f>
          </x14:formula1>
          <xm:sqref>B40:C40</xm:sqref>
        </x14:dataValidation>
        <x14:dataValidation type="list" allowBlank="1" showInputMessage="1" showErrorMessage="1" xr:uid="{00000000-0002-0000-0400-000008000000}">
          <x14:formula1>
            <xm:f>'Ref1'!$A$278:$A$281</xm:f>
          </x14:formula1>
          <xm:sqref>A33:C39</xm:sqref>
        </x14:dataValidation>
        <x14:dataValidation type="list" errorStyle="information" allowBlank="1" showInputMessage="1" showErrorMessage="1" xr:uid="{A78E215A-7AF0-406B-955D-8C1F00AC57D4}">
          <x14:formula1>
            <xm:f>'Ref1'!$C$244:$C$254</xm:f>
          </x14:formula1>
          <xm:sqref>I8:I23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I94"/>
  <sheetViews>
    <sheetView showGridLines="0" zoomScale="75" zoomScaleNormal="75" workbookViewId="0">
      <selection activeCell="B5" sqref="B5"/>
    </sheetView>
  </sheetViews>
  <sheetFormatPr defaultColWidth="0" defaultRowHeight="13.8" zeroHeight="1"/>
  <cols>
    <col min="1" max="1" width="1.33203125" style="156" customWidth="1"/>
    <col min="2" max="2" width="1.33203125" style="157" customWidth="1"/>
    <col min="3" max="3" width="29.44140625" style="157" bestFit="1" customWidth="1"/>
    <col min="4" max="4" width="38.109375" style="157" customWidth="1"/>
    <col min="5" max="5" width="15.6640625" style="157" bestFit="1" customWidth="1"/>
    <col min="6" max="6" width="16.33203125" style="157" customWidth="1"/>
    <col min="7" max="7" width="13.6640625" style="157" customWidth="1"/>
    <col min="8" max="8" width="15" style="157" customWidth="1"/>
    <col min="9" max="9" width="2.6640625" style="157" customWidth="1"/>
    <col min="10" max="10" width="16" style="157" customWidth="1"/>
    <col min="11" max="11" width="13.6640625" style="157" customWidth="1"/>
    <col min="12" max="12" width="15.109375" style="157" bestFit="1" customWidth="1"/>
    <col min="13" max="13" width="13.44140625" style="157" customWidth="1"/>
    <col min="14" max="14" width="14.6640625" style="157" customWidth="1"/>
    <col min="15" max="15" width="12.6640625" style="157" customWidth="1"/>
    <col min="16" max="16" width="16.44140625" style="157" customWidth="1"/>
    <col min="17" max="17" width="1.5546875" style="157" customWidth="1"/>
    <col min="18" max="18" width="1.33203125" style="156" customWidth="1"/>
    <col min="19" max="20" width="9.109375" style="156" hidden="1" customWidth="1"/>
    <col min="21" max="21" width="20" style="156" hidden="1" customWidth="1"/>
    <col min="22" max="23" width="26" style="156" hidden="1" customWidth="1"/>
    <col min="24" max="25" width="9.109375" style="156" hidden="1" customWidth="1"/>
    <col min="26" max="26" width="1.109375" style="156" hidden="1" customWidth="1"/>
    <col min="27" max="27" width="21.109375" style="156" hidden="1" customWidth="1"/>
    <col min="28" max="28" width="26" style="156" hidden="1" customWidth="1"/>
    <col min="29" max="29" width="9.109375" style="156" hidden="1" customWidth="1"/>
    <col min="30" max="30" width="0.6640625" style="156" customWidth="1"/>
    <col min="31" max="31" width="23.6640625" style="156" customWidth="1"/>
    <col min="32" max="32" width="11.44140625" style="156" customWidth="1"/>
    <col min="33" max="33" width="41.6640625" style="156" customWidth="1"/>
    <col min="34" max="34" width="1.109375" style="156" customWidth="1"/>
    <col min="35" max="35" width="9.109375" style="156" customWidth="1"/>
    <col min="36" max="16384" width="9.109375" style="156" hidden="1"/>
  </cols>
  <sheetData>
    <row r="1" spans="1:34" ht="18.75" customHeight="1">
      <c r="C1" s="310" t="str">
        <f>MainSheet!A1</f>
        <v>Protiviti Member Firm (India)</v>
      </c>
      <c r="O1" s="441" t="str">
        <f>MainSheet!J1</f>
        <v>Project_Template_2023_Apr.23</v>
      </c>
    </row>
    <row r="2" spans="1:34" ht="6" customHeight="1">
      <c r="B2" s="158"/>
      <c r="C2" s="526"/>
      <c r="D2" s="526"/>
      <c r="E2" s="526"/>
      <c r="F2" s="526"/>
      <c r="G2" s="526"/>
      <c r="H2" s="526"/>
      <c r="I2" s="526"/>
      <c r="J2" s="526"/>
      <c r="K2" s="526"/>
      <c r="L2" s="526"/>
      <c r="M2" s="526"/>
      <c r="N2" s="526"/>
      <c r="O2" s="526"/>
      <c r="P2" s="526"/>
      <c r="Q2" s="159"/>
    </row>
    <row r="3" spans="1:34" ht="6" customHeight="1">
      <c r="B3" s="160"/>
      <c r="Q3" s="161"/>
    </row>
    <row r="4" spans="1:34" s="303" customFormat="1" ht="19.5" customHeight="1">
      <c r="B4" s="304"/>
      <c r="C4" s="305" t="str">
        <f>"Expense Breakdown in ("&amp;MainSheet!B9&amp;"): "</f>
        <v xml:space="preserve">Expense Breakdown in (INR): </v>
      </c>
      <c r="D4" s="306"/>
      <c r="E4" s="306"/>
      <c r="F4" s="307"/>
      <c r="G4" s="307"/>
      <c r="H4" s="308"/>
      <c r="I4" s="306"/>
      <c r="J4" s="306"/>
      <c r="K4" s="306"/>
      <c r="L4" s="306"/>
      <c r="M4" s="306"/>
      <c r="N4" s="306"/>
      <c r="O4" s="306"/>
      <c r="P4" s="306"/>
      <c r="Q4" s="309"/>
    </row>
    <row r="5" spans="1:34" ht="9" customHeight="1" thickBot="1">
      <c r="A5" s="162"/>
      <c r="B5" s="160"/>
      <c r="C5" s="163"/>
      <c r="D5" s="163"/>
      <c r="E5" s="163"/>
      <c r="F5" s="164"/>
      <c r="G5" s="164"/>
      <c r="H5" s="163"/>
      <c r="I5" s="163"/>
      <c r="J5" s="163"/>
      <c r="Q5" s="165"/>
      <c r="S5" s="156" t="s">
        <v>210</v>
      </c>
      <c r="T5" s="156">
        <v>1</v>
      </c>
      <c r="U5" s="156" t="str">
        <f t="shared" ref="U5:U14" si="0">S5&amp;T5</f>
        <v>Fixed Fee Plus Outlays1</v>
      </c>
      <c r="V5" s="166" t="s">
        <v>84</v>
      </c>
      <c r="W5" s="166" t="str">
        <f>V5</f>
        <v>Home Office</v>
      </c>
      <c r="X5" s="167">
        <v>0</v>
      </c>
      <c r="Y5" s="167">
        <v>0</v>
      </c>
      <c r="Z5" s="167"/>
    </row>
    <row r="6" spans="1:34" ht="14.4">
      <c r="A6" s="162"/>
      <c r="B6" s="160"/>
      <c r="C6" s="168" t="s">
        <v>211</v>
      </c>
      <c r="D6" s="168" t="s">
        <v>212</v>
      </c>
      <c r="E6" s="168" t="s">
        <v>213</v>
      </c>
      <c r="F6" s="169" t="s">
        <v>214</v>
      </c>
      <c r="G6" s="169" t="s">
        <v>215</v>
      </c>
      <c r="H6" s="375" t="s">
        <v>216</v>
      </c>
      <c r="I6" s="883" t="s">
        <v>217</v>
      </c>
      <c r="J6" s="884"/>
      <c r="K6" s="169" t="s">
        <v>218</v>
      </c>
      <c r="L6" s="169" t="s">
        <v>219</v>
      </c>
      <c r="M6" s="169" t="s">
        <v>220</v>
      </c>
      <c r="N6" s="169" t="s">
        <v>221</v>
      </c>
      <c r="O6" s="169" t="s">
        <v>222</v>
      </c>
      <c r="P6" s="169" t="s">
        <v>223</v>
      </c>
      <c r="Q6" s="374"/>
      <c r="S6" s="156" t="s">
        <v>210</v>
      </c>
      <c r="T6" s="156">
        <v>2</v>
      </c>
      <c r="U6" s="156" t="str">
        <f t="shared" si="0"/>
        <v>Fixed Fee Plus Outlays2</v>
      </c>
      <c r="V6" s="166">
        <v>0</v>
      </c>
      <c r="W6" s="166">
        <f>V6</f>
        <v>0</v>
      </c>
      <c r="X6" s="167">
        <v>0</v>
      </c>
      <c r="Y6" s="167">
        <v>0</v>
      </c>
      <c r="Z6" s="167"/>
      <c r="AD6" s="871" t="s">
        <v>224</v>
      </c>
      <c r="AE6" s="872"/>
      <c r="AF6" s="872"/>
      <c r="AG6" s="872"/>
      <c r="AH6" s="873"/>
    </row>
    <row r="7" spans="1:34" ht="15" thickBot="1">
      <c r="A7" s="162"/>
      <c r="B7" s="160"/>
      <c r="C7" s="571" t="s">
        <v>225</v>
      </c>
      <c r="D7" s="577"/>
      <c r="E7" s="577"/>
      <c r="F7" s="577"/>
      <c r="G7" s="577"/>
      <c r="H7" s="578"/>
      <c r="I7" s="868"/>
      <c r="J7" s="869"/>
      <c r="K7" s="579"/>
      <c r="L7" s="579"/>
      <c r="M7" s="579"/>
      <c r="N7" s="579"/>
      <c r="O7" s="579"/>
      <c r="P7" s="580">
        <f>SUM(K7:O7)+F7</f>
        <v>0</v>
      </c>
      <c r="Q7" s="165">
        <f>SUM(K7:O7)</f>
        <v>0</v>
      </c>
      <c r="S7" s="156" t="s">
        <v>210</v>
      </c>
      <c r="T7" s="156">
        <v>3</v>
      </c>
      <c r="U7" s="156" t="str">
        <f t="shared" si="0"/>
        <v>Fixed Fee Plus Outlays3</v>
      </c>
      <c r="V7" s="166">
        <v>0</v>
      </c>
      <c r="W7" s="166">
        <f>V7</f>
        <v>0</v>
      </c>
      <c r="X7" s="167">
        <v>0</v>
      </c>
      <c r="Y7" s="167">
        <v>0</v>
      </c>
      <c r="Z7" s="167"/>
      <c r="AA7" s="170" t="e">
        <f>#REF!</f>
        <v>#REF!</v>
      </c>
      <c r="AB7" s="171" t="s">
        <v>84</v>
      </c>
      <c r="AC7" s="172">
        <f>SUMIF($C$7:$C$31,AB7,$P$7:$P$31)</f>
        <v>0</v>
      </c>
      <c r="AD7" s="874"/>
      <c r="AE7" s="875"/>
      <c r="AF7" s="875"/>
      <c r="AG7" s="875"/>
      <c r="AH7" s="876"/>
    </row>
    <row r="8" spans="1:34" ht="14.4">
      <c r="A8" s="162"/>
      <c r="B8" s="160"/>
      <c r="C8" s="571" t="s">
        <v>226</v>
      </c>
      <c r="D8" s="581"/>
      <c r="E8" s="577"/>
      <c r="F8" s="577"/>
      <c r="G8" s="577"/>
      <c r="H8" s="578"/>
      <c r="I8" s="868"/>
      <c r="J8" s="869"/>
      <c r="K8" s="579"/>
      <c r="L8" s="579"/>
      <c r="M8" s="579"/>
      <c r="N8" s="579"/>
      <c r="O8" s="579"/>
      <c r="P8" s="580">
        <f t="shared" ref="P8:P23" si="1">SUM(K8:O8)+F8</f>
        <v>0</v>
      </c>
      <c r="Q8" s="165">
        <f t="shared" ref="Q8:Q31" si="2">SUM(K8:O8)</f>
        <v>0</v>
      </c>
      <c r="S8" s="156" t="s">
        <v>210</v>
      </c>
      <c r="T8" s="156">
        <v>4</v>
      </c>
      <c r="U8" s="156" t="str">
        <f t="shared" si="0"/>
        <v>Fixed Fee Plus Outlays4</v>
      </c>
      <c r="V8" s="166">
        <v>0</v>
      </c>
      <c r="W8" s="166">
        <f>V8</f>
        <v>0</v>
      </c>
      <c r="X8" s="167">
        <v>0</v>
      </c>
      <c r="Y8" s="167">
        <v>0</v>
      </c>
      <c r="Z8" s="167"/>
      <c r="AA8" s="170" t="e">
        <f>#REF!</f>
        <v>#REF!</v>
      </c>
      <c r="AB8" s="171" t="s">
        <v>227</v>
      </c>
      <c r="AC8" s="172">
        <f>SUMIF($C$7:$C$31,AB8,$P$7:$P$31)</f>
        <v>0</v>
      </c>
      <c r="AD8" s="173"/>
      <c r="AH8" s="174"/>
    </row>
    <row r="9" spans="1:34" ht="15" customHeight="1">
      <c r="A9" s="162"/>
      <c r="B9" s="160"/>
      <c r="C9" s="571" t="s">
        <v>226</v>
      </c>
      <c r="D9" s="581"/>
      <c r="E9" s="577"/>
      <c r="F9" s="577"/>
      <c r="G9" s="577"/>
      <c r="H9" s="578"/>
      <c r="I9" s="868"/>
      <c r="J9" s="869"/>
      <c r="K9" s="579"/>
      <c r="L9" s="579"/>
      <c r="M9" s="579"/>
      <c r="N9" s="579"/>
      <c r="O9" s="579"/>
      <c r="P9" s="580">
        <f t="shared" si="1"/>
        <v>0</v>
      </c>
      <c r="Q9" s="165">
        <f t="shared" si="2"/>
        <v>0</v>
      </c>
      <c r="S9" s="156" t="s">
        <v>210</v>
      </c>
      <c r="T9" s="156">
        <v>5</v>
      </c>
      <c r="U9" s="156" t="str">
        <f t="shared" si="0"/>
        <v>Fixed Fee Plus Outlays5</v>
      </c>
      <c r="V9" s="166">
        <v>0</v>
      </c>
      <c r="W9" s="166">
        <f>V9</f>
        <v>0</v>
      </c>
      <c r="X9" s="167">
        <v>0</v>
      </c>
      <c r="Y9" s="167">
        <v>0</v>
      </c>
      <c r="Z9" s="167"/>
      <c r="AA9" s="170" t="e">
        <f>#REF!</f>
        <v>#REF!</v>
      </c>
      <c r="AB9" s="171" t="s">
        <v>228</v>
      </c>
      <c r="AC9" s="172">
        <f>SUMIF($C$7:$C$31,AB9,$P$7:$P$31)</f>
        <v>0</v>
      </c>
      <c r="AD9" s="173"/>
      <c r="AE9" s="877" t="s">
        <v>229</v>
      </c>
      <c r="AF9" s="879" t="s">
        <v>230</v>
      </c>
      <c r="AG9" s="880"/>
      <c r="AH9" s="174"/>
    </row>
    <row r="10" spans="1:34" ht="14.4">
      <c r="A10" s="162"/>
      <c r="B10" s="160"/>
      <c r="C10" s="571"/>
      <c r="D10" s="581"/>
      <c r="E10" s="577"/>
      <c r="F10" s="577"/>
      <c r="G10" s="577"/>
      <c r="H10" s="582"/>
      <c r="I10" s="868"/>
      <c r="J10" s="869"/>
      <c r="K10" s="579"/>
      <c r="L10" s="579"/>
      <c r="M10" s="579"/>
      <c r="N10" s="579"/>
      <c r="O10" s="579"/>
      <c r="P10" s="580">
        <f t="shared" si="1"/>
        <v>0</v>
      </c>
      <c r="Q10" s="165">
        <f t="shared" si="2"/>
        <v>0</v>
      </c>
      <c r="V10" s="166"/>
      <c r="X10" s="167"/>
      <c r="Y10" s="167"/>
      <c r="Z10" s="167"/>
      <c r="AA10" s="170"/>
      <c r="AB10" s="171"/>
      <c r="AC10" s="172"/>
      <c r="AD10" s="173"/>
      <c r="AE10" s="878"/>
      <c r="AF10" s="881"/>
      <c r="AG10" s="882"/>
      <c r="AH10" s="174"/>
    </row>
    <row r="11" spans="1:34" ht="14.4">
      <c r="A11" s="162"/>
      <c r="B11" s="160"/>
      <c r="C11" s="571"/>
      <c r="D11" s="581"/>
      <c r="E11" s="577"/>
      <c r="F11" s="577"/>
      <c r="G11" s="577"/>
      <c r="H11" s="582"/>
      <c r="I11" s="868"/>
      <c r="J11" s="869"/>
      <c r="K11" s="579"/>
      <c r="L11" s="579"/>
      <c r="M11" s="579"/>
      <c r="N11" s="579"/>
      <c r="O11" s="579"/>
      <c r="P11" s="580">
        <f t="shared" si="1"/>
        <v>0</v>
      </c>
      <c r="Q11" s="165">
        <f t="shared" si="2"/>
        <v>0</v>
      </c>
      <c r="V11" s="166"/>
      <c r="X11" s="167"/>
      <c r="Y11" s="167"/>
      <c r="Z11" s="167"/>
      <c r="AA11" s="170"/>
      <c r="AB11" s="171"/>
      <c r="AC11" s="172"/>
      <c r="AD11" s="173"/>
      <c r="AE11" s="175" t="s">
        <v>212</v>
      </c>
      <c r="AF11" s="885" t="s">
        <v>231</v>
      </c>
      <c r="AG11" s="886"/>
      <c r="AH11" s="174"/>
    </row>
    <row r="12" spans="1:34" ht="13.5" customHeight="1">
      <c r="A12" s="162"/>
      <c r="B12" s="160"/>
      <c r="C12" s="571"/>
      <c r="D12" s="581"/>
      <c r="E12" s="577"/>
      <c r="F12" s="577"/>
      <c r="G12" s="577"/>
      <c r="H12" s="582"/>
      <c r="I12" s="868"/>
      <c r="J12" s="869"/>
      <c r="K12" s="579"/>
      <c r="L12" s="579"/>
      <c r="M12" s="579"/>
      <c r="N12" s="579"/>
      <c r="O12" s="579"/>
      <c r="P12" s="580">
        <f t="shared" si="1"/>
        <v>0</v>
      </c>
      <c r="Q12" s="165">
        <f t="shared" si="2"/>
        <v>0</v>
      </c>
      <c r="V12" s="166"/>
      <c r="X12" s="167"/>
      <c r="Y12" s="167"/>
      <c r="Z12" s="167"/>
      <c r="AA12" s="170"/>
      <c r="AB12" s="171"/>
      <c r="AC12" s="172"/>
      <c r="AD12" s="173"/>
      <c r="AE12" s="175" t="s">
        <v>214</v>
      </c>
      <c r="AF12" s="865" t="s">
        <v>232</v>
      </c>
      <c r="AG12" s="176" t="s">
        <v>233</v>
      </c>
      <c r="AH12" s="174"/>
    </row>
    <row r="13" spans="1:34" ht="14.4">
      <c r="A13" s="162"/>
      <c r="B13" s="160"/>
      <c r="C13" s="571"/>
      <c r="D13" s="581"/>
      <c r="E13" s="577"/>
      <c r="F13" s="577"/>
      <c r="G13" s="577"/>
      <c r="H13" s="578"/>
      <c r="I13" s="868"/>
      <c r="J13" s="869"/>
      <c r="K13" s="579"/>
      <c r="L13" s="579"/>
      <c r="M13" s="579"/>
      <c r="N13" s="579"/>
      <c r="O13" s="579"/>
      <c r="P13" s="580">
        <f t="shared" si="1"/>
        <v>0</v>
      </c>
      <c r="Q13" s="165">
        <f t="shared" si="2"/>
        <v>0</v>
      </c>
      <c r="S13" s="156" t="s">
        <v>210</v>
      </c>
      <c r="T13" s="156">
        <v>6</v>
      </c>
      <c r="U13" s="156" t="str">
        <f t="shared" si="0"/>
        <v>Fixed Fee Plus Outlays6</v>
      </c>
      <c r="V13" s="166">
        <v>0</v>
      </c>
      <c r="W13" s="166">
        <f>V13</f>
        <v>0</v>
      </c>
      <c r="X13" s="167">
        <v>0</v>
      </c>
      <c r="Y13" s="167">
        <v>0</v>
      </c>
      <c r="Z13" s="167"/>
      <c r="AA13" s="170" t="e">
        <f>#REF!</f>
        <v>#REF!</v>
      </c>
      <c r="AB13" s="171" t="s">
        <v>234</v>
      </c>
      <c r="AC13" s="172">
        <f>SUMIF($C$7:$C$31,AB13,$P$7:$P$31)</f>
        <v>0</v>
      </c>
      <c r="AD13" s="173"/>
      <c r="AE13" s="175" t="s">
        <v>235</v>
      </c>
      <c r="AF13" s="866"/>
      <c r="AG13" s="177" t="s">
        <v>236</v>
      </c>
      <c r="AH13" s="174"/>
    </row>
    <row r="14" spans="1:34" ht="14.4">
      <c r="A14" s="162"/>
      <c r="B14" s="160"/>
      <c r="C14" s="571"/>
      <c r="D14" s="581"/>
      <c r="E14" s="577"/>
      <c r="F14" s="577"/>
      <c r="G14" s="583"/>
      <c r="H14" s="578"/>
      <c r="I14" s="868"/>
      <c r="J14" s="869"/>
      <c r="K14" s="579"/>
      <c r="L14" s="579"/>
      <c r="M14" s="579"/>
      <c r="N14" s="579"/>
      <c r="O14" s="579"/>
      <c r="P14" s="580">
        <f t="shared" si="1"/>
        <v>0</v>
      </c>
      <c r="Q14" s="165">
        <f t="shared" si="2"/>
        <v>0</v>
      </c>
      <c r="S14" s="156" t="s">
        <v>210</v>
      </c>
      <c r="T14" s="156">
        <v>7</v>
      </c>
      <c r="U14" s="156" t="str">
        <f t="shared" si="0"/>
        <v>Fixed Fee Plus Outlays7</v>
      </c>
      <c r="V14" s="166" t="s">
        <v>94</v>
      </c>
      <c r="W14" s="166" t="str">
        <f>V14</f>
        <v>VAT</v>
      </c>
      <c r="X14" s="167">
        <v>0</v>
      </c>
      <c r="Y14" s="167">
        <v>0</v>
      </c>
      <c r="Z14" s="167"/>
      <c r="AA14" s="170" t="e">
        <f>#REF!</f>
        <v>#REF!</v>
      </c>
      <c r="AB14" s="171" t="s">
        <v>237</v>
      </c>
      <c r="AC14" s="172">
        <f>SUMIF($C$7:$C$31,AB14,$P$7:$P$31)</f>
        <v>0</v>
      </c>
      <c r="AD14" s="173"/>
      <c r="AE14" s="175" t="s">
        <v>238</v>
      </c>
      <c r="AF14" s="866"/>
      <c r="AG14" s="177" t="s">
        <v>239</v>
      </c>
      <c r="AH14" s="174"/>
    </row>
    <row r="15" spans="1:34" ht="14.4">
      <c r="A15" s="162"/>
      <c r="B15" s="160"/>
      <c r="C15" s="571"/>
      <c r="D15" s="581"/>
      <c r="E15" s="577"/>
      <c r="F15" s="577"/>
      <c r="G15" s="583"/>
      <c r="H15" s="578"/>
      <c r="I15" s="868"/>
      <c r="J15" s="869"/>
      <c r="K15" s="579"/>
      <c r="L15" s="579"/>
      <c r="M15" s="579"/>
      <c r="N15" s="579"/>
      <c r="O15" s="579"/>
      <c r="P15" s="580">
        <f t="shared" si="1"/>
        <v>0</v>
      </c>
      <c r="Q15" s="165">
        <f t="shared" si="2"/>
        <v>0</v>
      </c>
      <c r="X15" s="167"/>
      <c r="Y15" s="167"/>
      <c r="Z15" s="167"/>
      <c r="AA15" s="170" t="e">
        <f>#REF!</f>
        <v>#REF!</v>
      </c>
      <c r="AB15" s="171" t="s">
        <v>240</v>
      </c>
      <c r="AC15" s="172">
        <f>SUMIF($C$7:$C$31,AB15,$P$7:$P$31)</f>
        <v>0</v>
      </c>
      <c r="AD15" s="173"/>
      <c r="AE15" s="175" t="s">
        <v>217</v>
      </c>
      <c r="AF15" s="866"/>
      <c r="AG15" s="177" t="s">
        <v>241</v>
      </c>
      <c r="AH15" s="174"/>
    </row>
    <row r="16" spans="1:34" ht="14.4">
      <c r="A16" s="162"/>
      <c r="B16" s="160"/>
      <c r="C16" s="571"/>
      <c r="D16" s="581"/>
      <c r="E16" s="577"/>
      <c r="F16" s="577"/>
      <c r="G16" s="583"/>
      <c r="H16" s="578"/>
      <c r="I16" s="868"/>
      <c r="J16" s="869"/>
      <c r="K16" s="579"/>
      <c r="L16" s="579"/>
      <c r="M16" s="579"/>
      <c r="N16" s="579"/>
      <c r="O16" s="579"/>
      <c r="P16" s="580">
        <f t="shared" si="1"/>
        <v>0</v>
      </c>
      <c r="Q16" s="165">
        <f t="shared" si="2"/>
        <v>0</v>
      </c>
      <c r="X16" s="167"/>
      <c r="Y16" s="167"/>
      <c r="Z16" s="167"/>
      <c r="AA16" s="170" t="e">
        <f>#REF!</f>
        <v>#REF!</v>
      </c>
      <c r="AB16" s="171" t="s">
        <v>242</v>
      </c>
      <c r="AC16" s="172">
        <f>SUMIF($C$7:$C$31,AB16,$P$7:$P$31)</f>
        <v>0</v>
      </c>
      <c r="AD16" s="173"/>
      <c r="AE16" s="175" t="s">
        <v>243</v>
      </c>
      <c r="AF16" s="866"/>
      <c r="AG16" s="177" t="s">
        <v>244</v>
      </c>
      <c r="AH16" s="174"/>
    </row>
    <row r="17" spans="1:34" ht="14.4">
      <c r="A17" s="162"/>
      <c r="B17" s="160"/>
      <c r="C17" s="571"/>
      <c r="D17" s="581"/>
      <c r="E17" s="577"/>
      <c r="F17" s="577"/>
      <c r="G17" s="583"/>
      <c r="H17" s="578"/>
      <c r="I17" s="868"/>
      <c r="J17" s="869"/>
      <c r="K17" s="579"/>
      <c r="L17" s="579"/>
      <c r="M17" s="579"/>
      <c r="N17" s="579"/>
      <c r="O17" s="579"/>
      <c r="P17" s="580">
        <f t="shared" si="1"/>
        <v>0</v>
      </c>
      <c r="Q17" s="165">
        <f t="shared" si="2"/>
        <v>0</v>
      </c>
      <c r="X17" s="167"/>
      <c r="Y17" s="167"/>
      <c r="Z17" s="167"/>
      <c r="AA17" s="178"/>
      <c r="AC17" s="178">
        <f>SUM(AC7:AC16)</f>
        <v>0</v>
      </c>
      <c r="AD17" s="173"/>
      <c r="AE17" s="175" t="s">
        <v>245</v>
      </c>
      <c r="AF17" s="866"/>
      <c r="AG17" s="177" t="s">
        <v>246</v>
      </c>
      <c r="AH17" s="174"/>
    </row>
    <row r="18" spans="1:34" ht="14.4">
      <c r="A18" s="162"/>
      <c r="B18" s="160"/>
      <c r="C18" s="571"/>
      <c r="D18" s="581"/>
      <c r="E18" s="577"/>
      <c r="F18" s="577"/>
      <c r="G18" s="583"/>
      <c r="H18" s="578"/>
      <c r="I18" s="868"/>
      <c r="J18" s="869"/>
      <c r="K18" s="579"/>
      <c r="L18" s="579"/>
      <c r="M18" s="579"/>
      <c r="N18" s="579"/>
      <c r="O18" s="579"/>
      <c r="P18" s="580">
        <f t="shared" si="1"/>
        <v>0</v>
      </c>
      <c r="Q18" s="165">
        <f t="shared" si="2"/>
        <v>0</v>
      </c>
      <c r="S18" s="156" t="s">
        <v>145</v>
      </c>
      <c r="T18" s="156" t="s">
        <v>127</v>
      </c>
      <c r="U18" s="156" t="str">
        <f t="shared" ref="U18:U49" si="3">S18&amp;T18</f>
        <v>Fixed Fee (Incl. Outlays)MD</v>
      </c>
      <c r="V18" s="156">
        <v>0</v>
      </c>
      <c r="X18" s="167"/>
      <c r="Y18" s="167"/>
      <c r="Z18" s="167"/>
      <c r="AD18" s="173"/>
      <c r="AE18" s="175" t="s">
        <v>247</v>
      </c>
      <c r="AF18" s="866"/>
      <c r="AG18" s="177" t="s">
        <v>248</v>
      </c>
      <c r="AH18" s="174"/>
    </row>
    <row r="19" spans="1:34" ht="14.4">
      <c r="A19" s="162"/>
      <c r="B19" s="160"/>
      <c r="C19" s="571"/>
      <c r="D19" s="581"/>
      <c r="E19" s="577"/>
      <c r="F19" s="577"/>
      <c r="G19" s="583"/>
      <c r="H19" s="578"/>
      <c r="I19" s="868"/>
      <c r="J19" s="869"/>
      <c r="K19" s="579"/>
      <c r="L19" s="579"/>
      <c r="M19" s="579"/>
      <c r="N19" s="579"/>
      <c r="O19" s="579"/>
      <c r="P19" s="580">
        <f t="shared" si="1"/>
        <v>0</v>
      </c>
      <c r="Q19" s="165">
        <f t="shared" si="2"/>
        <v>0</v>
      </c>
      <c r="S19" s="156" t="s">
        <v>145</v>
      </c>
      <c r="T19" s="156" t="s">
        <v>249</v>
      </c>
      <c r="U19" s="156" t="str">
        <f t="shared" si="3"/>
        <v>Fixed Fee (Incl. Outlays)Dir</v>
      </c>
      <c r="V19" s="156">
        <v>0</v>
      </c>
      <c r="X19" s="167"/>
      <c r="Y19" s="167"/>
      <c r="Z19" s="167"/>
      <c r="AD19" s="173"/>
      <c r="AE19" s="175" t="s">
        <v>220</v>
      </c>
      <c r="AF19" s="866"/>
      <c r="AG19" s="177" t="s">
        <v>250</v>
      </c>
      <c r="AH19" s="174"/>
    </row>
    <row r="20" spans="1:34" ht="14.4">
      <c r="A20" s="162"/>
      <c r="B20" s="160"/>
      <c r="C20" s="571"/>
      <c r="D20" s="581"/>
      <c r="E20" s="577"/>
      <c r="F20" s="577"/>
      <c r="G20" s="583"/>
      <c r="H20" s="578"/>
      <c r="I20" s="584"/>
      <c r="J20" s="585"/>
      <c r="K20" s="579"/>
      <c r="L20" s="579"/>
      <c r="M20" s="579"/>
      <c r="N20" s="579"/>
      <c r="O20" s="579"/>
      <c r="P20" s="580">
        <f t="shared" si="1"/>
        <v>0</v>
      </c>
      <c r="Q20" s="165"/>
      <c r="X20" s="167"/>
      <c r="Y20" s="167"/>
      <c r="Z20" s="167"/>
      <c r="AD20" s="173"/>
      <c r="AE20" s="175" t="s">
        <v>219</v>
      </c>
      <c r="AF20" s="866"/>
      <c r="AG20" s="177"/>
      <c r="AH20" s="174"/>
    </row>
    <row r="21" spans="1:34" ht="14.4">
      <c r="A21" s="162"/>
      <c r="B21" s="160"/>
      <c r="C21" s="571"/>
      <c r="D21" s="581"/>
      <c r="E21" s="577"/>
      <c r="F21" s="577"/>
      <c r="G21" s="583"/>
      <c r="H21" s="582"/>
      <c r="I21" s="868"/>
      <c r="J21" s="869"/>
      <c r="K21" s="579"/>
      <c r="L21" s="579"/>
      <c r="M21" s="579"/>
      <c r="N21" s="579"/>
      <c r="O21" s="579"/>
      <c r="P21" s="580">
        <f t="shared" si="1"/>
        <v>0</v>
      </c>
      <c r="Q21" s="165">
        <f t="shared" si="2"/>
        <v>0</v>
      </c>
      <c r="X21" s="167"/>
      <c r="Y21" s="167"/>
      <c r="Z21" s="167"/>
      <c r="AD21" s="173"/>
      <c r="AE21" s="175" t="s">
        <v>222</v>
      </c>
      <c r="AF21" s="867"/>
      <c r="AG21" s="179" t="s">
        <v>251</v>
      </c>
      <c r="AH21" s="174"/>
    </row>
    <row r="22" spans="1:34" ht="18" customHeight="1">
      <c r="A22" s="162"/>
      <c r="B22" s="160"/>
      <c r="C22" s="571"/>
      <c r="D22" s="581"/>
      <c r="E22" s="577"/>
      <c r="F22" s="577"/>
      <c r="G22" s="583"/>
      <c r="H22" s="582"/>
      <c r="I22" s="870"/>
      <c r="J22" s="869"/>
      <c r="K22" s="579"/>
      <c r="L22" s="579"/>
      <c r="M22" s="579"/>
      <c r="N22" s="579"/>
      <c r="O22" s="579"/>
      <c r="P22" s="580">
        <f t="shared" si="1"/>
        <v>0</v>
      </c>
      <c r="Q22" s="165">
        <f t="shared" si="2"/>
        <v>0</v>
      </c>
      <c r="X22" s="167"/>
      <c r="Y22" s="167"/>
      <c r="Z22" s="167"/>
      <c r="AD22" s="173"/>
      <c r="AE22" s="175" t="s">
        <v>223</v>
      </c>
      <c r="AF22" s="175"/>
      <c r="AG22" s="180" t="s">
        <v>252</v>
      </c>
      <c r="AH22" s="174"/>
    </row>
    <row r="23" spans="1:34" ht="18" customHeight="1" thickBot="1">
      <c r="A23" s="162"/>
      <c r="B23" s="160"/>
      <c r="C23" s="571"/>
      <c r="D23" s="581"/>
      <c r="E23" s="577"/>
      <c r="F23" s="577"/>
      <c r="G23" s="583"/>
      <c r="H23" s="578"/>
      <c r="I23" s="868"/>
      <c r="J23" s="869"/>
      <c r="K23" s="579"/>
      <c r="L23" s="579"/>
      <c r="M23" s="579"/>
      <c r="N23" s="579"/>
      <c r="O23" s="579"/>
      <c r="P23" s="580">
        <f t="shared" si="1"/>
        <v>0</v>
      </c>
      <c r="Q23" s="165">
        <f t="shared" si="2"/>
        <v>0</v>
      </c>
      <c r="S23" s="156" t="s">
        <v>145</v>
      </c>
      <c r="T23" s="156" t="s">
        <v>130</v>
      </c>
      <c r="U23" s="156" t="str">
        <f t="shared" si="3"/>
        <v>Fixed Fee (Incl. Outlays)AD</v>
      </c>
      <c r="V23" s="156">
        <v>0</v>
      </c>
      <c r="X23" s="167"/>
      <c r="Y23" s="167"/>
      <c r="Z23" s="167"/>
      <c r="AD23" s="181"/>
      <c r="AE23" s="182"/>
      <c r="AF23" s="182"/>
      <c r="AG23" s="182"/>
      <c r="AH23" s="183"/>
    </row>
    <row r="24" spans="1:34" ht="18" customHeight="1">
      <c r="A24" s="162"/>
      <c r="B24" s="160"/>
      <c r="C24" s="571"/>
      <c r="D24" s="581"/>
      <c r="E24" s="577"/>
      <c r="F24" s="577"/>
      <c r="G24" s="583"/>
      <c r="H24" s="578"/>
      <c r="I24" s="868"/>
      <c r="J24" s="869"/>
      <c r="K24" s="579"/>
      <c r="L24" s="579"/>
      <c r="M24" s="579"/>
      <c r="N24" s="579"/>
      <c r="O24" s="579"/>
      <c r="P24" s="580">
        <f t="shared" ref="P24:P30" si="4">SUM(J24:O24)</f>
        <v>0</v>
      </c>
      <c r="Q24" s="165">
        <f t="shared" si="2"/>
        <v>0</v>
      </c>
      <c r="X24" s="167"/>
      <c r="Y24" s="167"/>
      <c r="Z24" s="167"/>
    </row>
    <row r="25" spans="1:34" ht="18" customHeight="1">
      <c r="A25" s="162"/>
      <c r="B25" s="160"/>
      <c r="C25" s="571"/>
      <c r="D25" s="581"/>
      <c r="E25" s="577"/>
      <c r="F25" s="577"/>
      <c r="G25" s="583"/>
      <c r="H25" s="578"/>
      <c r="I25" s="868"/>
      <c r="J25" s="869"/>
      <c r="K25" s="579"/>
      <c r="L25" s="579"/>
      <c r="M25" s="579"/>
      <c r="N25" s="579"/>
      <c r="O25" s="579"/>
      <c r="P25" s="580">
        <f t="shared" si="4"/>
        <v>0</v>
      </c>
      <c r="Q25" s="165">
        <f t="shared" si="2"/>
        <v>0</v>
      </c>
      <c r="X25" s="167"/>
      <c r="Y25" s="167"/>
      <c r="Z25" s="167"/>
    </row>
    <row r="26" spans="1:34" ht="18" customHeight="1">
      <c r="A26" s="162"/>
      <c r="B26" s="160"/>
      <c r="C26" s="571"/>
      <c r="D26" s="581"/>
      <c r="E26" s="577"/>
      <c r="F26" s="577"/>
      <c r="G26" s="583"/>
      <c r="H26" s="578"/>
      <c r="I26" s="868"/>
      <c r="J26" s="869"/>
      <c r="K26" s="579"/>
      <c r="L26" s="579"/>
      <c r="M26" s="579"/>
      <c r="N26" s="579"/>
      <c r="O26" s="579"/>
      <c r="P26" s="580">
        <f t="shared" si="4"/>
        <v>0</v>
      </c>
      <c r="Q26" s="165">
        <f t="shared" si="2"/>
        <v>0</v>
      </c>
      <c r="X26" s="167"/>
      <c r="Y26" s="167"/>
      <c r="Z26" s="167"/>
    </row>
    <row r="27" spans="1:34" ht="18" customHeight="1">
      <c r="A27" s="162"/>
      <c r="B27" s="160"/>
      <c r="C27" s="571"/>
      <c r="D27" s="581"/>
      <c r="E27" s="577"/>
      <c r="F27" s="577"/>
      <c r="G27" s="583"/>
      <c r="H27" s="578"/>
      <c r="I27" s="868"/>
      <c r="J27" s="869"/>
      <c r="K27" s="579"/>
      <c r="L27" s="579"/>
      <c r="M27" s="579"/>
      <c r="N27" s="579"/>
      <c r="O27" s="579"/>
      <c r="P27" s="580">
        <f t="shared" si="4"/>
        <v>0</v>
      </c>
      <c r="Q27" s="165">
        <f t="shared" si="2"/>
        <v>0</v>
      </c>
      <c r="S27" s="156" t="s">
        <v>145</v>
      </c>
      <c r="T27" s="156" t="s">
        <v>127</v>
      </c>
      <c r="U27" s="156" t="str">
        <f t="shared" ref="U27" si="5">S27&amp;T27</f>
        <v>Fixed Fee (Incl. Outlays)MD</v>
      </c>
      <c r="V27" s="156">
        <v>0</v>
      </c>
      <c r="X27" s="167"/>
      <c r="Y27" s="167"/>
      <c r="Z27" s="167"/>
    </row>
    <row r="28" spans="1:34" ht="18" customHeight="1">
      <c r="A28" s="162"/>
      <c r="B28" s="160"/>
      <c r="C28" s="571"/>
      <c r="D28" s="581"/>
      <c r="E28" s="577"/>
      <c r="F28" s="577"/>
      <c r="G28" s="583"/>
      <c r="H28" s="578"/>
      <c r="I28" s="868"/>
      <c r="J28" s="869"/>
      <c r="K28" s="579"/>
      <c r="L28" s="579"/>
      <c r="M28" s="579"/>
      <c r="N28" s="579"/>
      <c r="O28" s="579"/>
      <c r="P28" s="580">
        <f t="shared" si="4"/>
        <v>0</v>
      </c>
      <c r="Q28" s="165">
        <f t="shared" si="2"/>
        <v>0</v>
      </c>
      <c r="X28" s="167"/>
      <c r="Y28" s="167"/>
      <c r="Z28" s="167"/>
    </row>
    <row r="29" spans="1:34" ht="18" customHeight="1">
      <c r="A29" s="162"/>
      <c r="B29" s="160"/>
      <c r="C29" s="571"/>
      <c r="D29" s="581"/>
      <c r="E29" s="577"/>
      <c r="F29" s="577"/>
      <c r="G29" s="583"/>
      <c r="H29" s="578"/>
      <c r="I29" s="868"/>
      <c r="J29" s="869"/>
      <c r="K29" s="579"/>
      <c r="L29" s="579"/>
      <c r="M29" s="579"/>
      <c r="N29" s="579"/>
      <c r="O29" s="579"/>
      <c r="P29" s="580">
        <f t="shared" si="4"/>
        <v>0</v>
      </c>
      <c r="Q29" s="165">
        <f t="shared" si="2"/>
        <v>0</v>
      </c>
      <c r="X29" s="167"/>
      <c r="Y29" s="167"/>
      <c r="Z29" s="167"/>
    </row>
    <row r="30" spans="1:34" ht="18" customHeight="1">
      <c r="A30" s="162"/>
      <c r="B30" s="160"/>
      <c r="C30" s="571"/>
      <c r="D30" s="581"/>
      <c r="E30" s="577"/>
      <c r="F30" s="577"/>
      <c r="G30" s="583"/>
      <c r="H30" s="578"/>
      <c r="I30" s="868"/>
      <c r="J30" s="869"/>
      <c r="K30" s="579"/>
      <c r="L30" s="579"/>
      <c r="M30" s="579"/>
      <c r="N30" s="579"/>
      <c r="O30" s="579"/>
      <c r="P30" s="580">
        <f t="shared" si="4"/>
        <v>0</v>
      </c>
      <c r="Q30" s="165">
        <f t="shared" si="2"/>
        <v>0</v>
      </c>
      <c r="X30" s="167"/>
      <c r="Y30" s="167"/>
      <c r="Z30" s="167"/>
    </row>
    <row r="31" spans="1:34" ht="18" customHeight="1">
      <c r="A31" s="162"/>
      <c r="B31" s="160"/>
      <c r="C31" s="571"/>
      <c r="D31" s="581"/>
      <c r="E31" s="577"/>
      <c r="F31" s="577"/>
      <c r="G31" s="583"/>
      <c r="H31" s="578"/>
      <c r="I31" s="868"/>
      <c r="J31" s="869"/>
      <c r="K31" s="579"/>
      <c r="L31" s="579"/>
      <c r="M31" s="579"/>
      <c r="N31" s="579"/>
      <c r="O31" s="579"/>
      <c r="P31" s="580">
        <f t="shared" ref="P31" si="6">SUM(J31:O31)</f>
        <v>0</v>
      </c>
      <c r="Q31" s="165">
        <f t="shared" si="2"/>
        <v>0</v>
      </c>
      <c r="S31" s="156" t="s">
        <v>145</v>
      </c>
      <c r="T31" s="156" t="s">
        <v>253</v>
      </c>
      <c r="U31" s="156" t="str">
        <f t="shared" si="3"/>
        <v>Fixed Fee (Incl. Outlays)SM</v>
      </c>
      <c r="V31" s="156">
        <v>0</v>
      </c>
      <c r="X31" s="167"/>
      <c r="Y31" s="167"/>
      <c r="Z31" s="167"/>
    </row>
    <row r="32" spans="1:34" ht="15" customHeight="1">
      <c r="A32" s="162"/>
      <c r="B32" s="160"/>
      <c r="Q32" s="161"/>
      <c r="S32" s="156" t="s">
        <v>145</v>
      </c>
      <c r="T32" s="156" t="s">
        <v>254</v>
      </c>
      <c r="U32" s="156" t="str">
        <f t="shared" si="3"/>
        <v>Fixed Fee (Incl. Outlays)Mgr</v>
      </c>
      <c r="V32" s="156">
        <v>0</v>
      </c>
    </row>
    <row r="33" spans="1:33" s="314" customFormat="1" ht="28.5" customHeight="1" thickBot="1">
      <c r="B33" s="315"/>
      <c r="C33" s="887" t="str">
        <f>"Total  "&amp;MainSheet!B9</f>
        <v>Total  INR</v>
      </c>
      <c r="D33" s="887"/>
      <c r="E33" s="318">
        <f t="shared" ref="E33:F33" si="7">SUM(E7:E31)</f>
        <v>0</v>
      </c>
      <c r="F33" s="318">
        <f t="shared" si="7"/>
        <v>0</v>
      </c>
      <c r="G33" s="317"/>
      <c r="H33" s="317"/>
      <c r="I33" s="317"/>
      <c r="J33" s="317"/>
      <c r="K33" s="318">
        <f t="shared" ref="K33:P33" si="8">SUM(K7:K31)</f>
        <v>0</v>
      </c>
      <c r="L33" s="318">
        <f t="shared" si="8"/>
        <v>0</v>
      </c>
      <c r="M33" s="318">
        <f t="shared" si="8"/>
        <v>0</v>
      </c>
      <c r="N33" s="318">
        <f t="shared" si="8"/>
        <v>0</v>
      </c>
      <c r="O33" s="318">
        <f t="shared" si="8"/>
        <v>0</v>
      </c>
      <c r="P33" s="318">
        <f t="shared" si="8"/>
        <v>0</v>
      </c>
      <c r="Q33" s="316"/>
      <c r="S33" s="314" t="s">
        <v>145</v>
      </c>
      <c r="T33" s="314" t="s">
        <v>255</v>
      </c>
      <c r="U33" s="314" t="str">
        <f t="shared" si="3"/>
        <v>Fixed Fee (Incl. Outlays)Ast Mgr</v>
      </c>
      <c r="V33" s="314">
        <v>0</v>
      </c>
      <c r="AG33" s="325"/>
    </row>
    <row r="34" spans="1:33" ht="14.25" customHeight="1" thickTop="1">
      <c r="A34" s="162"/>
      <c r="B34" s="184"/>
      <c r="C34" s="185"/>
      <c r="D34" s="185"/>
      <c r="E34" s="185"/>
      <c r="F34" s="185"/>
      <c r="G34" s="185"/>
      <c r="H34" s="185"/>
      <c r="I34" s="185"/>
      <c r="J34" s="185"/>
      <c r="K34" s="185"/>
      <c r="L34" s="185"/>
      <c r="M34" s="185"/>
      <c r="N34" s="185"/>
      <c r="O34" s="185"/>
      <c r="P34" s="185"/>
      <c r="Q34" s="186"/>
      <c r="S34" s="156" t="s">
        <v>145</v>
      </c>
      <c r="T34" s="156" t="s">
        <v>256</v>
      </c>
      <c r="U34" s="156" t="str">
        <f t="shared" si="3"/>
        <v>Fixed Fee (Incl. Outlays)Snr Con</v>
      </c>
      <c r="V34" s="156">
        <v>0</v>
      </c>
    </row>
    <row r="35" spans="1:33" ht="14.4">
      <c r="A35" s="162"/>
      <c r="S35" s="156" t="s">
        <v>145</v>
      </c>
      <c r="T35" s="156" t="s">
        <v>257</v>
      </c>
      <c r="U35" s="156" t="str">
        <f t="shared" ref="U35:U38" si="9">S34&amp;T34</f>
        <v>Fixed Fee (Incl. Outlays)Snr Con</v>
      </c>
      <c r="V35" s="156">
        <v>0</v>
      </c>
    </row>
    <row r="36" spans="1:33" hidden="1">
      <c r="S36" s="156" t="s">
        <v>145</v>
      </c>
      <c r="T36" s="156" t="s">
        <v>258</v>
      </c>
      <c r="U36" s="156" t="str">
        <f t="shared" si="9"/>
        <v>Fixed Fee (Incl. Outlays)Con</v>
      </c>
      <c r="V36" s="156">
        <v>0</v>
      </c>
    </row>
    <row r="37" spans="1:33" hidden="1">
      <c r="S37" s="156" t="s">
        <v>145</v>
      </c>
      <c r="T37" s="156" t="s">
        <v>259</v>
      </c>
      <c r="U37" s="156" t="str">
        <f t="shared" si="9"/>
        <v>Fixed Fee (Incl. Outlays)Assoc.</v>
      </c>
      <c r="V37" s="156">
        <v>0</v>
      </c>
    </row>
    <row r="38" spans="1:33" hidden="1">
      <c r="S38" s="156" t="s">
        <v>145</v>
      </c>
      <c r="T38" s="156" t="s">
        <v>260</v>
      </c>
      <c r="U38" s="156" t="str">
        <f t="shared" si="9"/>
        <v>Fixed Fee (Incl. Outlays)Analyst</v>
      </c>
      <c r="V38" s="156">
        <v>0</v>
      </c>
    </row>
    <row r="39" spans="1:33" hidden="1">
      <c r="S39" s="156" t="s">
        <v>210</v>
      </c>
      <c r="T39" s="156" t="s">
        <v>127</v>
      </c>
      <c r="U39" s="156" t="str">
        <f t="shared" si="3"/>
        <v>Fixed Fee Plus OutlaysMD</v>
      </c>
      <c r="V39" s="156">
        <v>0</v>
      </c>
    </row>
    <row r="40" spans="1:33" hidden="1">
      <c r="S40" s="156" t="s">
        <v>210</v>
      </c>
      <c r="T40" s="156" t="s">
        <v>249</v>
      </c>
      <c r="U40" s="156" t="str">
        <f t="shared" si="3"/>
        <v>Fixed Fee Plus OutlaysDir</v>
      </c>
      <c r="V40" s="166">
        <v>0</v>
      </c>
    </row>
    <row r="41" spans="1:33" hidden="1">
      <c r="S41" s="156" t="s">
        <v>210</v>
      </c>
      <c r="T41" s="156" t="s">
        <v>130</v>
      </c>
      <c r="U41" s="156" t="str">
        <f t="shared" si="3"/>
        <v>Fixed Fee Plus OutlaysAD</v>
      </c>
      <c r="V41" s="156">
        <v>0</v>
      </c>
    </row>
    <row r="42" spans="1:33" hidden="1">
      <c r="S42" s="156" t="s">
        <v>210</v>
      </c>
      <c r="T42" s="156" t="s">
        <v>253</v>
      </c>
      <c r="U42" s="156" t="str">
        <f t="shared" si="3"/>
        <v>Fixed Fee Plus OutlaysSM</v>
      </c>
      <c r="V42" s="156">
        <v>0</v>
      </c>
    </row>
    <row r="43" spans="1:33" hidden="1">
      <c r="S43" s="156" t="s">
        <v>210</v>
      </c>
      <c r="T43" s="156" t="s">
        <v>254</v>
      </c>
      <c r="U43" s="156" t="str">
        <f t="shared" si="3"/>
        <v>Fixed Fee Plus OutlaysMgr</v>
      </c>
      <c r="V43" s="156">
        <v>0</v>
      </c>
    </row>
    <row r="44" spans="1:33" hidden="1">
      <c r="S44" s="156" t="s">
        <v>210</v>
      </c>
      <c r="T44" s="156" t="s">
        <v>255</v>
      </c>
      <c r="U44" s="156" t="str">
        <f t="shared" si="3"/>
        <v>Fixed Fee Plus OutlaysAst Mgr</v>
      </c>
      <c r="V44" s="156">
        <v>0</v>
      </c>
    </row>
    <row r="45" spans="1:33" hidden="1">
      <c r="S45" s="156" t="s">
        <v>210</v>
      </c>
      <c r="T45" s="156" t="s">
        <v>256</v>
      </c>
      <c r="U45" s="156" t="str">
        <f t="shared" si="3"/>
        <v>Fixed Fee Plus OutlaysSnr Con</v>
      </c>
      <c r="V45" s="156">
        <v>0</v>
      </c>
    </row>
    <row r="46" spans="1:33" hidden="1">
      <c r="S46" s="156" t="s">
        <v>210</v>
      </c>
      <c r="T46" s="156" t="s">
        <v>257</v>
      </c>
      <c r="U46" s="156" t="str">
        <f t="shared" si="3"/>
        <v>Fixed Fee Plus OutlaysCon</v>
      </c>
      <c r="V46" s="156">
        <v>0</v>
      </c>
    </row>
    <row r="47" spans="1:33" hidden="1">
      <c r="S47" s="156" t="s">
        <v>210</v>
      </c>
      <c r="T47" s="156" t="s">
        <v>258</v>
      </c>
      <c r="U47" s="156" t="str">
        <f t="shared" si="3"/>
        <v>Fixed Fee Plus OutlaysAssoc.</v>
      </c>
      <c r="V47" s="156">
        <v>0</v>
      </c>
    </row>
    <row r="48" spans="1:33" hidden="1">
      <c r="S48" s="156" t="s">
        <v>210</v>
      </c>
      <c r="T48" s="156" t="s">
        <v>259</v>
      </c>
      <c r="U48" s="156" t="str">
        <f t="shared" si="3"/>
        <v>Fixed Fee Plus OutlaysAnalyst</v>
      </c>
      <c r="V48" s="156">
        <v>0</v>
      </c>
    </row>
    <row r="49" spans="3:22" hidden="1">
      <c r="S49" s="156" t="s">
        <v>210</v>
      </c>
      <c r="T49" s="156" t="s">
        <v>260</v>
      </c>
      <c r="U49" s="156" t="str">
        <f t="shared" si="3"/>
        <v>Fixed Fee Plus OutlaysTrainee</v>
      </c>
      <c r="V49" s="156">
        <v>0</v>
      </c>
    </row>
    <row r="52" spans="3:22" hidden="1">
      <c r="S52" s="156" t="s">
        <v>145</v>
      </c>
      <c r="T52" s="187">
        <v>0</v>
      </c>
    </row>
    <row r="53" spans="3:22" hidden="1">
      <c r="S53" s="156" t="s">
        <v>210</v>
      </c>
      <c r="T53" s="187">
        <v>0</v>
      </c>
    </row>
    <row r="54" spans="3:22"/>
    <row r="55" spans="3:22"/>
    <row r="56" spans="3:22" ht="14.4">
      <c r="C56" s="572"/>
      <c r="D56" s="35" t="s">
        <v>194</v>
      </c>
      <c r="E56" s="35"/>
      <c r="F56" s="37" t="s">
        <v>195</v>
      </c>
      <c r="G56" s="35"/>
      <c r="H56" s="35"/>
      <c r="I56" s="35"/>
      <c r="J56" s="35"/>
      <c r="P56" s="156"/>
      <c r="Q56" s="156"/>
    </row>
    <row r="57" spans="3:22" ht="14.4">
      <c r="C57" s="586"/>
      <c r="D57" s="35" t="s">
        <v>198</v>
      </c>
      <c r="E57" s="35"/>
      <c r="F57" s="341" t="s">
        <v>261</v>
      </c>
      <c r="G57" s="39" t="s">
        <v>262</v>
      </c>
      <c r="H57" s="35"/>
      <c r="I57" s="35"/>
      <c r="J57" s="35"/>
      <c r="P57" s="156"/>
      <c r="Q57" s="156"/>
    </row>
    <row r="58" spans="3:22" ht="14.4">
      <c r="C58" s="342"/>
      <c r="D58" s="35" t="s">
        <v>263</v>
      </c>
      <c r="E58" s="35"/>
      <c r="F58" s="39"/>
      <c r="G58" s="39" t="s">
        <v>264</v>
      </c>
      <c r="H58" s="35"/>
      <c r="I58" s="35"/>
      <c r="J58" s="35"/>
      <c r="P58" s="156"/>
      <c r="Q58" s="156"/>
    </row>
    <row r="59" spans="3:22" ht="14.4">
      <c r="C59" s="340"/>
      <c r="D59" s="340"/>
      <c r="E59" s="340"/>
      <c r="F59" s="341" t="s">
        <v>265</v>
      </c>
      <c r="G59" s="39" t="s">
        <v>266</v>
      </c>
      <c r="H59" s="35"/>
      <c r="I59" s="35"/>
      <c r="J59" s="35"/>
      <c r="P59" s="156"/>
      <c r="Q59" s="156"/>
    </row>
    <row r="60" spans="3:22" ht="14.4">
      <c r="C60" s="340"/>
      <c r="D60" s="340"/>
      <c r="E60" s="340"/>
      <c r="F60" s="39"/>
      <c r="G60" s="39" t="s">
        <v>267</v>
      </c>
      <c r="H60" s="35"/>
      <c r="I60" s="35"/>
      <c r="J60" s="35"/>
      <c r="P60" s="156"/>
      <c r="Q60" s="156"/>
    </row>
    <row r="61" spans="3:22" ht="14.4">
      <c r="C61" s="40"/>
      <c r="D61" s="40"/>
      <c r="E61" s="40"/>
      <c r="F61" s="341" t="s">
        <v>268</v>
      </c>
      <c r="G61" s="39" t="s">
        <v>269</v>
      </c>
      <c r="H61" s="35"/>
      <c r="I61" s="35"/>
      <c r="J61" s="35"/>
      <c r="P61" s="156"/>
      <c r="Q61" s="156"/>
    </row>
    <row r="62" spans="3:22" ht="14.4">
      <c r="C62" s="340"/>
      <c r="D62" s="340"/>
      <c r="E62" s="340"/>
      <c r="F62" s="341" t="s">
        <v>270</v>
      </c>
      <c r="G62" s="39" t="s">
        <v>271</v>
      </c>
      <c r="H62" s="35"/>
      <c r="I62" s="35"/>
      <c r="J62" s="35"/>
      <c r="K62" s="35"/>
      <c r="L62" s="35"/>
    </row>
    <row r="63" spans="3:22" ht="14.4">
      <c r="C63" s="340"/>
      <c r="D63" s="340"/>
      <c r="E63" s="340"/>
      <c r="F63" s="340"/>
      <c r="G63" s="340"/>
      <c r="H63" s="35"/>
      <c r="I63" s="35"/>
      <c r="J63" s="35"/>
      <c r="K63" s="35"/>
      <c r="L63" s="35"/>
    </row>
    <row r="64" spans="3:22" ht="14.4">
      <c r="C64" s="340"/>
      <c r="D64" s="340"/>
      <c r="E64" s="340"/>
      <c r="F64" s="340"/>
      <c r="G64" s="340"/>
      <c r="H64" s="35"/>
      <c r="I64" s="38"/>
      <c r="J64" s="35"/>
      <c r="K64" s="35"/>
      <c r="L64" s="35"/>
    </row>
    <row r="65" spans="3:12" ht="14.4" hidden="1">
      <c r="C65" s="340"/>
      <c r="D65" s="340"/>
      <c r="E65" s="340"/>
      <c r="F65" s="340"/>
      <c r="G65" s="340"/>
      <c r="H65" s="35"/>
      <c r="I65" s="35"/>
      <c r="J65" s="35"/>
      <c r="K65" s="35"/>
      <c r="L65" s="36"/>
    </row>
    <row r="66" spans="3:12" ht="14.4" hidden="1">
      <c r="C66" s="340"/>
      <c r="D66" s="340"/>
      <c r="E66" s="340"/>
      <c r="F66" s="340"/>
      <c r="G66" s="340"/>
      <c r="H66" s="35"/>
      <c r="I66" s="41"/>
      <c r="J66" s="339"/>
      <c r="K66" s="339"/>
      <c r="L66" s="339"/>
    </row>
    <row r="85"/>
    <row r="86"/>
    <row r="87"/>
    <row r="88"/>
    <row r="89"/>
    <row r="90"/>
    <row r="91"/>
    <row r="92"/>
    <row r="93"/>
    <row r="94"/>
  </sheetData>
  <sheetProtection algorithmName="SHA-512" hashValue="ZhEjtylhpbrAHBg20oJ2BO3XbAeUg2Zs3dJFHTEmeNqdIR0iYPfWiby1Y1TUqHHm0QgVcsKIormoUMc4bvwNJQ==" saltValue="l+uXL6Of3xyrj6gFmGKHCg==" spinCount="100000" sheet="1" selectLockedCells="1"/>
  <mergeCells count="31">
    <mergeCell ref="C33:D33"/>
    <mergeCell ref="I31:J31"/>
    <mergeCell ref="I13:J13"/>
    <mergeCell ref="I14:J14"/>
    <mergeCell ref="I15:J15"/>
    <mergeCell ref="I17:J17"/>
    <mergeCell ref="I16:J16"/>
    <mergeCell ref="I18:J18"/>
    <mergeCell ref="I19:J19"/>
    <mergeCell ref="I21:J21"/>
    <mergeCell ref="I23:J23"/>
    <mergeCell ref="AD6:AH7"/>
    <mergeCell ref="AE9:AE10"/>
    <mergeCell ref="AF9:AG10"/>
    <mergeCell ref="I6:J6"/>
    <mergeCell ref="AF11:AG11"/>
    <mergeCell ref="I7:J7"/>
    <mergeCell ref="I8:J8"/>
    <mergeCell ref="I9:J9"/>
    <mergeCell ref="I10:J10"/>
    <mergeCell ref="I11:J11"/>
    <mergeCell ref="AF12:AF21"/>
    <mergeCell ref="I12:J12"/>
    <mergeCell ref="I30:J30"/>
    <mergeCell ref="I24:J24"/>
    <mergeCell ref="I25:J25"/>
    <mergeCell ref="I26:J26"/>
    <mergeCell ref="I22:J22"/>
    <mergeCell ref="I29:J29"/>
    <mergeCell ref="I28:J28"/>
    <mergeCell ref="I27:J27"/>
  </mergeCells>
  <conditionalFormatting sqref="F7:F9 F11:F31">
    <cfRule type="expression" dxfId="38" priority="6">
      <formula>OR(ISNUMBER(SEARCH("Home",$C7)),ISNUMBER(SEARCH("License",$C7)))</formula>
    </cfRule>
  </conditionalFormatting>
  <conditionalFormatting sqref="E7:E9 E11:E31">
    <cfRule type="expression" dxfId="37" priority="3">
      <formula>OR(ISNUMBER(SEARCH("Home",$C7)),ISNUMBER(SEARCH("License",$C7)))</formula>
    </cfRule>
  </conditionalFormatting>
  <conditionalFormatting sqref="F10">
    <cfRule type="expression" dxfId="36" priority="2">
      <formula>OR(ISNUMBER(SEARCH("Home",$C10)),ISNUMBER(SEARCH("License",$C10)))</formula>
    </cfRule>
  </conditionalFormatting>
  <conditionalFormatting sqref="E10">
    <cfRule type="expression" dxfId="35" priority="1">
      <formula>OR(ISNUMBER(SEARCH("Home",$C10)),ISNUMBER(SEARCH("License",$C10)))</formula>
    </cfRule>
  </conditionalFormatting>
  <pageMargins left="0" right="0" top="0.75" bottom="0.75" header="0.3" footer="0.3"/>
  <pageSetup scale="60"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'Ref1'!$E$301:$E$311</xm:f>
          </x14:formula1>
          <xm:sqref>C7:C9 C11:C31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XFC47"/>
  <sheetViews>
    <sheetView showGridLines="0" showZeros="0" zoomScale="71" zoomScaleNormal="90" zoomScaleSheetLayoutView="100" workbookViewId="0">
      <selection activeCell="G8" sqref="G8"/>
    </sheetView>
  </sheetViews>
  <sheetFormatPr defaultColWidth="0" defaultRowHeight="11.25" customHeight="1" zeroHeight="1"/>
  <cols>
    <col min="1" max="1" width="20.5546875" style="57" customWidth="1"/>
    <col min="2" max="2" width="15.5546875" style="65" bestFit="1" customWidth="1"/>
    <col min="3" max="3" width="9.44140625" style="65" customWidth="1"/>
    <col min="4" max="4" width="30.6640625" style="65" bestFit="1" customWidth="1"/>
    <col min="5" max="5" width="2.33203125" style="65" customWidth="1"/>
    <col min="6" max="6" width="6.6640625" style="65" bestFit="1" customWidth="1"/>
    <col min="7" max="7" width="12.6640625" style="65" customWidth="1"/>
    <col min="8" max="8" width="10.6640625" style="65" bestFit="1" customWidth="1"/>
    <col min="9" max="9" width="12.109375" style="65" bestFit="1" customWidth="1"/>
    <col min="10" max="10" width="15.44140625" style="57" customWidth="1"/>
    <col min="11" max="11" width="11" style="57" customWidth="1"/>
    <col min="12" max="12" width="10.33203125" style="57" bestFit="1" customWidth="1"/>
    <col min="13" max="13" width="8.44140625" style="57" bestFit="1" customWidth="1"/>
    <col min="14" max="14" width="24.6640625" style="57" bestFit="1" customWidth="1"/>
    <col min="15" max="15" width="1.5546875" style="57" customWidth="1"/>
    <col min="16" max="16" width="22.5546875" style="57" customWidth="1"/>
    <col min="17" max="17" width="7.5546875" style="57" customWidth="1"/>
    <col min="18" max="20" width="3" style="57" hidden="1"/>
    <col min="21" max="22" width="3" style="84" hidden="1"/>
    <col min="23" max="23" width="5.44140625" style="84" hidden="1"/>
    <col min="24" max="24" width="7.6640625" style="84" hidden="1"/>
    <col min="25" max="25" width="4" style="84" hidden="1"/>
    <col min="26" max="26" width="6.33203125" style="84" hidden="1"/>
    <col min="27" max="28" width="3" style="84" hidden="1"/>
    <col min="29" max="16383" width="3" style="57" hidden="1"/>
    <col min="16384" max="16384" width="4.109375" style="57" hidden="1"/>
  </cols>
  <sheetData>
    <row r="1" spans="1:225" ht="11.25" customHeight="1">
      <c r="A1" s="56" t="str">
        <f>PRFEIO!A1</f>
        <v>Protiviti Member Firm (India)</v>
      </c>
      <c r="B1" s="628"/>
      <c r="C1" s="628"/>
      <c r="D1" s="628"/>
      <c r="E1" s="628"/>
      <c r="F1" s="628"/>
      <c r="G1" s="628"/>
      <c r="H1" s="628"/>
      <c r="I1" s="628"/>
      <c r="J1" s="628"/>
      <c r="K1" s="628"/>
      <c r="L1" s="628"/>
      <c r="M1" s="628"/>
      <c r="N1" s="629" t="str">
        <f>MainSheet!J1</f>
        <v>Project_Template_2023_Apr.23</v>
      </c>
      <c r="O1" s="83"/>
      <c r="P1" s="78"/>
      <c r="Q1" s="78"/>
      <c r="R1" s="78"/>
      <c r="S1" s="78"/>
      <c r="T1" s="78"/>
      <c r="HQ1" s="85"/>
    </row>
    <row r="2" spans="1:225" ht="11.25" customHeight="1">
      <c r="A2" s="58" t="s">
        <v>272</v>
      </c>
      <c r="B2" s="59"/>
      <c r="C2" s="59"/>
      <c r="D2" s="59"/>
      <c r="E2" s="59"/>
      <c r="F2" s="59"/>
      <c r="G2" s="59"/>
      <c r="H2" s="59"/>
      <c r="I2" s="59"/>
      <c r="J2" s="86"/>
      <c r="K2" s="86"/>
      <c r="L2" s="86"/>
      <c r="M2" s="86"/>
      <c r="N2" s="86"/>
      <c r="O2" s="87"/>
      <c r="P2" s="78"/>
      <c r="Q2" s="78"/>
      <c r="R2" s="78"/>
      <c r="S2" s="78"/>
      <c r="T2" s="78"/>
      <c r="AM2" s="57" t="s">
        <v>273</v>
      </c>
    </row>
    <row r="3" spans="1:225" ht="11.25" customHeight="1">
      <c r="A3" s="88"/>
      <c r="B3" s="59"/>
      <c r="C3" s="59"/>
      <c r="D3" s="59"/>
      <c r="E3" s="59"/>
      <c r="F3" s="59"/>
      <c r="G3" s="59"/>
      <c r="H3" s="74"/>
      <c r="I3" s="74"/>
      <c r="J3" s="78"/>
      <c r="K3" s="78"/>
      <c r="L3" s="78"/>
      <c r="M3" s="78"/>
      <c r="N3" s="78"/>
      <c r="O3" s="89"/>
      <c r="P3" s="90"/>
      <c r="Q3" s="90"/>
      <c r="R3" s="78"/>
      <c r="S3" s="78"/>
      <c r="T3" s="78"/>
    </row>
    <row r="4" spans="1:225" ht="11.25" customHeight="1" thickBot="1">
      <c r="A4" s="91"/>
      <c r="B4" s="92"/>
      <c r="C4" s="92"/>
      <c r="D4" s="92"/>
      <c r="E4" s="92"/>
      <c r="F4" s="92"/>
      <c r="G4" s="92"/>
      <c r="H4" s="93">
        <v>0</v>
      </c>
      <c r="I4" s="78"/>
      <c r="J4" s="74"/>
      <c r="K4" s="74"/>
      <c r="L4" s="74"/>
      <c r="M4" s="74"/>
      <c r="N4" s="74"/>
      <c r="O4" s="94"/>
      <c r="P4" s="90"/>
      <c r="Q4" s="90"/>
      <c r="R4" s="78"/>
      <c r="S4" s="78"/>
      <c r="T4" s="78"/>
      <c r="AM4" s="57" t="s">
        <v>274</v>
      </c>
    </row>
    <row r="5" spans="1:225" s="66" customFormat="1" ht="11.25" customHeight="1" thickBot="1">
      <c r="A5" s="630" t="s">
        <v>275</v>
      </c>
      <c r="B5" s="631"/>
      <c r="C5" s="904" t="str">
        <f>PRFIIO!C4</f>
        <v>India - R&amp;C</v>
      </c>
      <c r="D5" s="904"/>
      <c r="E5" s="90"/>
      <c r="F5" s="912" t="s">
        <v>126</v>
      </c>
      <c r="G5" s="913"/>
      <c r="H5" s="95"/>
      <c r="I5" s="95"/>
      <c r="J5" s="921" t="s">
        <v>276</v>
      </c>
      <c r="K5" s="918" t="s">
        <v>277</v>
      </c>
      <c r="L5" s="322"/>
      <c r="M5" s="319" t="s">
        <v>278</v>
      </c>
      <c r="N5" s="334"/>
      <c r="O5" s="89"/>
      <c r="P5" s="72"/>
      <c r="Q5" s="72"/>
      <c r="R5" s="72"/>
      <c r="S5" s="72"/>
      <c r="T5" s="72"/>
      <c r="U5" s="96"/>
      <c r="V5" s="96"/>
      <c r="W5" s="908" t="s">
        <v>279</v>
      </c>
      <c r="X5" s="909"/>
      <c r="Y5" s="908" t="s">
        <v>141</v>
      </c>
      <c r="Z5" s="910"/>
      <c r="AA5" s="96"/>
      <c r="AB5" s="96"/>
      <c r="AM5" s="66" t="s">
        <v>280</v>
      </c>
    </row>
    <row r="6" spans="1:225" s="66" customFormat="1" ht="11.25" customHeight="1">
      <c r="A6" s="63" t="s">
        <v>281</v>
      </c>
      <c r="B6" s="97"/>
      <c r="C6" s="911" t="str">
        <f>MainSheet!B7</f>
        <v>Protiviti India Member Pvt. Ltd.</v>
      </c>
      <c r="D6" s="911"/>
      <c r="E6" s="90"/>
      <c r="F6" s="914" t="s">
        <v>2</v>
      </c>
      <c r="G6" s="916" t="s">
        <v>142</v>
      </c>
      <c r="H6" s="98" t="s">
        <v>282</v>
      </c>
      <c r="I6" s="99"/>
      <c r="J6" s="922"/>
      <c r="K6" s="919"/>
      <c r="L6" s="323" t="s">
        <v>283</v>
      </c>
      <c r="M6" s="320" t="s">
        <v>284</v>
      </c>
      <c r="N6" s="334"/>
      <c r="O6" s="89"/>
      <c r="P6" s="105"/>
      <c r="Q6" s="72"/>
      <c r="R6" s="72"/>
      <c r="S6" s="72"/>
      <c r="T6" s="72"/>
      <c r="U6" s="96"/>
      <c r="V6" s="96"/>
      <c r="W6" s="96"/>
      <c r="X6" s="96"/>
      <c r="Y6" s="96"/>
      <c r="Z6" s="96"/>
      <c r="AA6" s="96"/>
      <c r="AB6" s="96"/>
    </row>
    <row r="7" spans="1:225" s="66" customFormat="1" ht="11.25" customHeight="1" thickBot="1">
      <c r="A7" s="63" t="s">
        <v>285</v>
      </c>
      <c r="B7" s="97"/>
      <c r="C7" s="911" t="str">
        <f>MainSheet!B8</f>
        <v>HSBC</v>
      </c>
      <c r="D7" s="911"/>
      <c r="E7" s="75"/>
      <c r="F7" s="915"/>
      <c r="G7" s="917"/>
      <c r="H7" s="100"/>
      <c r="I7" s="101"/>
      <c r="J7" s="923"/>
      <c r="K7" s="920"/>
      <c r="L7" s="324" t="str">
        <f>MainSheet!B9</f>
        <v>INR</v>
      </c>
      <c r="M7" s="321" t="s">
        <v>188</v>
      </c>
      <c r="N7" s="334"/>
      <c r="O7" s="89"/>
      <c r="P7" s="105"/>
      <c r="Q7" s="102"/>
      <c r="R7" s="72"/>
      <c r="S7" s="72"/>
      <c r="T7" s="72"/>
      <c r="U7" s="96"/>
      <c r="V7" s="96"/>
      <c r="W7" s="103" t="s">
        <v>286</v>
      </c>
      <c r="X7" s="103" t="s">
        <v>287</v>
      </c>
      <c r="Y7" s="103" t="s">
        <v>286</v>
      </c>
      <c r="Z7" s="103" t="s">
        <v>287</v>
      </c>
      <c r="AA7" s="103"/>
      <c r="AB7" s="96"/>
    </row>
    <row r="8" spans="1:225" s="66" customFormat="1" ht="11.25" customHeight="1">
      <c r="A8" s="63" t="s">
        <v>288</v>
      </c>
      <c r="B8" s="104"/>
      <c r="C8" s="911" t="str">
        <f>MainSheet!B9</f>
        <v>INR</v>
      </c>
      <c r="D8" s="911"/>
      <c r="E8" s="75"/>
      <c r="F8" s="569"/>
      <c r="G8" s="569"/>
      <c r="H8" s="888"/>
      <c r="I8" s="889"/>
      <c r="J8" s="607"/>
      <c r="K8" s="608"/>
      <c r="L8" s="109">
        <f>J8*K8</f>
        <v>0</v>
      </c>
      <c r="M8" s="110">
        <f>IFERROR(IF(((X8-L8)/X8)&lt;0,0,((X8-L8)/X8)),0)</f>
        <v>0</v>
      </c>
      <c r="N8" s="330"/>
      <c r="O8" s="89"/>
      <c r="P8" s="105"/>
      <c r="Q8" s="102"/>
      <c r="R8" s="72"/>
      <c r="S8" s="72"/>
      <c r="T8" s="72">
        <f>(MAX((IFERROR((VLOOKUP((F8&amp;" - "&amp;G8&amp;H8),Ratesheet!$E$4:$J$455,5,FALSE)*K8),0)),(IFERROR((VLOOKUP((MainSheet!$B$6&amp;" - "&amp;G8&amp;H8),Ratesheet!$E$4:$J$455,5,FALSE)*K8),0))))</f>
        <v>0</v>
      </c>
      <c r="U8" s="96"/>
      <c r="V8" s="96"/>
      <c r="W8" s="106">
        <f>IFERROR((IF(F8="",0,(MAX((IFERROR((VLOOKUP((F8&amp;" - "&amp;G8&amp;H8),Ratesheet!$E$4:$J$455,5,FALSE)*K8),0)),(IFERROR((VLOOKUP((MainSheet!$B$6&amp;" - "&amp;G8&amp;H8),Ratesheet!$E$4:$J$455,5,FALSE)*K8),0)))))),0)</f>
        <v>0</v>
      </c>
      <c r="X8" s="106">
        <f>IFERROR(W8*((VLOOKUP($C$8,'Ref1'!$B$239:$C$240,2,FALSE))),0)</f>
        <v>0</v>
      </c>
      <c r="Y8" s="106">
        <f>IFERROR((IF(F8="",0,(MAX((IFERROR((VLOOKUP((F8&amp;" - "&amp;G8&amp;H8),Ratesheet!$E$4:$J$455,6,FALSE)*K8),0)),(IFERROR((VLOOKUP((MainSheet!$B$6&amp;" - "&amp;G8&amp;H8),Ratesheet!$E$4:$J$455,6,FALSE)*K8),0)))))),0)</f>
        <v>0</v>
      </c>
      <c r="Z8" s="106">
        <f>IFERROR(Y8*((VLOOKUP($C$8,'Ref1'!$B$239:$C$240,2,FALSE))),0)</f>
        <v>0</v>
      </c>
      <c r="AA8" s="96"/>
      <c r="AB8" s="96"/>
    </row>
    <row r="9" spans="1:225" s="66" customFormat="1" ht="11.25" customHeight="1">
      <c r="A9" s="107" t="s">
        <v>289</v>
      </c>
      <c r="B9" s="108"/>
      <c r="C9" s="905" t="s">
        <v>290</v>
      </c>
      <c r="D9" s="905"/>
      <c r="E9" s="75"/>
      <c r="F9" s="569"/>
      <c r="G9" s="569"/>
      <c r="H9" s="906"/>
      <c r="I9" s="907"/>
      <c r="J9" s="607"/>
      <c r="K9" s="608"/>
      <c r="L9" s="109">
        <f t="shared" ref="L9:L12" si="0">J9*K9</f>
        <v>0</v>
      </c>
      <c r="M9" s="110">
        <f t="shared" ref="M9:M23" si="1">IFERROR(IF(((X9-L9)/X9)&lt;0,0,((X9-L9)/X9)),0)</f>
        <v>0</v>
      </c>
      <c r="N9" s="330"/>
      <c r="O9" s="89"/>
      <c r="P9" s="105"/>
      <c r="Q9" s="102"/>
      <c r="R9" s="72"/>
      <c r="S9" s="72"/>
      <c r="T9" s="72"/>
      <c r="U9" s="96"/>
      <c r="V9" s="96"/>
      <c r="W9" s="106">
        <f>IFERROR((IF(F9="",0,(MAX((IFERROR((VLOOKUP((F9&amp;" - "&amp;G9&amp;H9),Ratesheet!$E$4:$J$455,5,FALSE)*K9),0)),(IFERROR((VLOOKUP((MainSheet!$B$6&amp;" - "&amp;G9&amp;H9),Ratesheet!$E$4:$J$455,5,FALSE)*K9),0)))))),0)</f>
        <v>0</v>
      </c>
      <c r="X9" s="106">
        <f>IFERROR(W9*((VLOOKUP($C$8,'Ref1'!$B$239:$C$240,2,FALSE))),0)</f>
        <v>0</v>
      </c>
      <c r="Y9" s="106">
        <f>IFERROR((IF(F9="",0,(MAX((IFERROR((VLOOKUP((F9&amp;" - "&amp;G9&amp;H9),Ratesheet!$E$4:$J$455,6,FALSE)*K9),0)),(IFERROR((VLOOKUP((MainSheet!$B$6&amp;" - "&amp;G9&amp;H9),Ratesheet!$E$4:$J$455,6,FALSE)*K9),0)))))),0)</f>
        <v>0</v>
      </c>
      <c r="Z9" s="106">
        <f>IFERROR(Y9*((VLOOKUP($C$8,'Ref1'!$B$239:$C$240,2,FALSE))),0)</f>
        <v>0</v>
      </c>
      <c r="AA9" s="96"/>
      <c r="AB9" s="96"/>
    </row>
    <row r="10" spans="1:225" ht="11.25" customHeight="1">
      <c r="A10" s="111"/>
      <c r="B10" s="74"/>
      <c r="C10" s="74"/>
      <c r="D10" s="74"/>
      <c r="E10" s="75"/>
      <c r="F10" s="569"/>
      <c r="G10" s="569"/>
      <c r="H10" s="888"/>
      <c r="I10" s="889"/>
      <c r="J10" s="607"/>
      <c r="K10" s="608"/>
      <c r="L10" s="109">
        <f t="shared" si="0"/>
        <v>0</v>
      </c>
      <c r="M10" s="110">
        <f t="shared" si="1"/>
        <v>0</v>
      </c>
      <c r="N10" s="330"/>
      <c r="O10" s="89"/>
      <c r="P10" s="105"/>
      <c r="Q10" s="112"/>
      <c r="R10" s="78"/>
      <c r="S10" s="78"/>
      <c r="T10" s="78"/>
      <c r="W10" s="106">
        <f>IFERROR((IF(F10="",0,(MAX((IFERROR((VLOOKUP((F10&amp;" - "&amp;G10&amp;H10),Ratesheet!$E$4:$J$455,5,FALSE)*K10),0)),(IFERROR((VLOOKUP((MainSheet!$B$6&amp;" - "&amp;G10&amp;H10),Ratesheet!$E$4:$J$455,5,FALSE)*K10),0)))))),0)</f>
        <v>0</v>
      </c>
      <c r="X10" s="106">
        <f>IFERROR(W10*((VLOOKUP($C$8,'Ref1'!$B$239:$C$240,2,FALSE))),0)</f>
        <v>0</v>
      </c>
      <c r="Y10" s="106">
        <f>IFERROR((IF(F10="",0,(MAX((IFERROR((VLOOKUP((F10&amp;" - "&amp;G10&amp;H10),Ratesheet!$E$4:$J$455,6,FALSE)*K10),0)),(IFERROR((VLOOKUP((MainSheet!$B$6&amp;" - "&amp;G10&amp;H10),Ratesheet!$E$4:$J$455,6,FALSE)*K10),0)))))),0)</f>
        <v>0</v>
      </c>
      <c r="Z10" s="106">
        <f>IFERROR(Y10*((VLOOKUP($C$8,'Ref1'!$B$239:$C$240,2,FALSE))),0)</f>
        <v>0</v>
      </c>
      <c r="AA10" s="96"/>
      <c r="AB10" s="96"/>
    </row>
    <row r="11" spans="1:225" ht="11.25" customHeight="1">
      <c r="A11" s="111"/>
      <c r="B11" s="74"/>
      <c r="C11" s="74"/>
      <c r="D11" s="74"/>
      <c r="E11" s="75"/>
      <c r="F11" s="569"/>
      <c r="G11" s="569"/>
      <c r="H11" s="888"/>
      <c r="I11" s="889"/>
      <c r="J11" s="607"/>
      <c r="K11" s="608"/>
      <c r="L11" s="109">
        <f t="shared" si="0"/>
        <v>0</v>
      </c>
      <c r="M11" s="110">
        <f t="shared" si="1"/>
        <v>0</v>
      </c>
      <c r="N11" s="330"/>
      <c r="O11" s="89"/>
      <c r="P11" s="105"/>
      <c r="Q11" s="112"/>
      <c r="R11" s="112"/>
      <c r="S11" s="112"/>
      <c r="T11" s="112"/>
      <c r="U11" s="112"/>
      <c r="W11" s="106">
        <f>IFERROR((IF(F11="",0,(MAX((IFERROR((VLOOKUP((F11&amp;" - "&amp;G11&amp;H11),Ratesheet!$E$4:$J$455,5,FALSE)*K11),0)),(IFERROR((VLOOKUP((MainSheet!$B$6&amp;" - "&amp;G11&amp;H11),Ratesheet!$E$4:$J$455,5,FALSE)*K11),0)))))),0)</f>
        <v>0</v>
      </c>
      <c r="X11" s="106">
        <f>IFERROR(W11*((VLOOKUP($C$8,'Ref1'!$B$239:$C$240,2,FALSE))),0)</f>
        <v>0</v>
      </c>
      <c r="Y11" s="106">
        <f>IFERROR((IF(F11="",0,(MAX((IFERROR((VLOOKUP((F11&amp;" - "&amp;G11&amp;H11),Ratesheet!$E$4:$J$455,6,FALSE)*K11),0)),(IFERROR((VLOOKUP((MainSheet!$B$6&amp;" - "&amp;G11&amp;H11),Ratesheet!$E$4:$J$455,6,FALSE)*K11),0)))))),0)</f>
        <v>0</v>
      </c>
      <c r="Z11" s="106">
        <f>IFERROR(Y11*((VLOOKUP($C$8,'Ref1'!$B$239:$C$240,2,FALSE))),0)</f>
        <v>0</v>
      </c>
      <c r="AA11" s="96"/>
      <c r="AB11" s="96"/>
    </row>
    <row r="12" spans="1:225" ht="11.25" customHeight="1">
      <c r="A12" s="77">
        <f>IF(C5=0,"Missing Business Unit - please enter data on 'Main Sheet'",0)</f>
        <v>0</v>
      </c>
      <c r="B12" s="74"/>
      <c r="C12" s="74"/>
      <c r="D12" s="74"/>
      <c r="E12" s="75"/>
      <c r="F12" s="569"/>
      <c r="G12" s="569"/>
      <c r="H12" s="888"/>
      <c r="I12" s="889"/>
      <c r="J12" s="607"/>
      <c r="K12" s="608">
        <v>0</v>
      </c>
      <c r="L12" s="109">
        <f t="shared" si="0"/>
        <v>0</v>
      </c>
      <c r="M12" s="110">
        <f t="shared" si="1"/>
        <v>0</v>
      </c>
      <c r="N12" s="330"/>
      <c r="O12" s="89"/>
      <c r="P12" s="105"/>
      <c r="Q12" s="112"/>
      <c r="R12" s="112"/>
      <c r="S12" s="112"/>
      <c r="T12" s="112"/>
      <c r="U12" s="112"/>
      <c r="W12" s="106">
        <f>IFERROR((IF(F12="",0,(MAX((IFERROR((VLOOKUP((F12&amp;" - "&amp;G12&amp;H12),Ratesheet!$E$4:$J$455,5,FALSE)*K12),0)),(IFERROR((VLOOKUP((MainSheet!$B$6&amp;" - "&amp;G12&amp;H12),Ratesheet!$E$4:$J$455,5,FALSE)*K12),0)))))),0)</f>
        <v>0</v>
      </c>
      <c r="X12" s="106">
        <f>IFERROR(W12*((VLOOKUP($C$8,'Ref1'!$B$239:$C$240,2,FALSE))),0)</f>
        <v>0</v>
      </c>
      <c r="Y12" s="106">
        <f>IFERROR((IF(F12="",0,(MAX((IFERROR((VLOOKUP((F12&amp;" - "&amp;G12&amp;H12),Ratesheet!$E$4:$J$455,6,FALSE)*K12),0)),(IFERROR((VLOOKUP((MainSheet!$B$6&amp;" - "&amp;G12&amp;H12),Ratesheet!$E$4:$J$455,6,FALSE)*K12),0)))))),0)</f>
        <v>0</v>
      </c>
      <c r="Z12" s="106">
        <f>IFERROR(Y12*((VLOOKUP($C$8,'Ref1'!$B$239:$C$240,2,FALSE))),0)</f>
        <v>0</v>
      </c>
      <c r="AA12" s="96"/>
      <c r="AB12" s="96"/>
    </row>
    <row r="13" spans="1:225" ht="11.25" customHeight="1">
      <c r="A13" s="73"/>
      <c r="B13" s="74"/>
      <c r="C13" s="74"/>
      <c r="D13" s="74"/>
      <c r="E13" s="75"/>
      <c r="F13" s="569"/>
      <c r="G13" s="569"/>
      <c r="H13" s="888"/>
      <c r="I13" s="889"/>
      <c r="J13" s="607"/>
      <c r="K13" s="608">
        <v>0</v>
      </c>
      <c r="L13" s="109">
        <f t="shared" ref="L13:L23" si="2">J13*K13</f>
        <v>0</v>
      </c>
      <c r="M13" s="110">
        <f>IFERROR(IF(((X13-L13)/X13)&lt;0,0,((X13-L13)/X13)),0)</f>
        <v>0</v>
      </c>
      <c r="N13" s="330"/>
      <c r="O13" s="89"/>
      <c r="P13" s="105"/>
      <c r="Q13" s="112"/>
      <c r="R13" s="112"/>
      <c r="S13" s="112"/>
      <c r="T13" s="112"/>
      <c r="U13" s="112"/>
      <c r="W13" s="106">
        <f>IFERROR((IF(F13="",0,(MAX((IFERROR((VLOOKUP((F13&amp;" - "&amp;G13&amp;H13),Ratesheet!$E$4:$J$455,5,FALSE)*K13),0)),(IFERROR((VLOOKUP((MainSheet!$B$6&amp;" - "&amp;G13&amp;H13),Ratesheet!$E$4:$J$455,5,FALSE)*K13),0)))))),0)</f>
        <v>0</v>
      </c>
      <c r="X13" s="106">
        <f>IFERROR(W13*((VLOOKUP($C$8,'Ref1'!$B$239:$C$240,2,FALSE))),0)</f>
        <v>0</v>
      </c>
      <c r="Y13" s="106">
        <f>IFERROR((IF(F13="",0,(MAX((IFERROR((VLOOKUP((F13&amp;" - "&amp;G13&amp;H13),Ratesheet!$E$4:$J$455,6,FALSE)*K13),0)),(IFERROR((VLOOKUP((MainSheet!$B$6&amp;" - "&amp;G13&amp;H13),Ratesheet!$E$4:$J$455,6,FALSE)*K13),0)))))),0)</f>
        <v>0</v>
      </c>
      <c r="Z13" s="106">
        <f>IFERROR(Y13*((VLOOKUP($C$8,'Ref1'!$B$239:$C$240,2,FALSE))),0)</f>
        <v>0</v>
      </c>
      <c r="AA13" s="96"/>
      <c r="AB13" s="96"/>
    </row>
    <row r="14" spans="1:225" ht="11.25" customHeight="1">
      <c r="A14" s="73"/>
      <c r="B14" s="74"/>
      <c r="C14" s="74"/>
      <c r="D14" s="74"/>
      <c r="E14" s="75"/>
      <c r="F14" s="569"/>
      <c r="G14" s="569"/>
      <c r="H14" s="888"/>
      <c r="I14" s="889"/>
      <c r="J14" s="607"/>
      <c r="K14" s="608"/>
      <c r="L14" s="109">
        <f t="shared" si="2"/>
        <v>0</v>
      </c>
      <c r="M14" s="110">
        <f t="shared" si="1"/>
        <v>0</v>
      </c>
      <c r="N14" s="330"/>
      <c r="O14" s="89"/>
      <c r="P14" s="105"/>
      <c r="Q14" s="112"/>
      <c r="R14" s="112"/>
      <c r="S14" s="112"/>
      <c r="T14" s="112"/>
      <c r="U14" s="112"/>
      <c r="W14" s="106">
        <f>IFERROR((IF(F14="",0,(MAX((IFERROR((VLOOKUP((F14&amp;" - "&amp;G14&amp;H14),Ratesheet!$E$4:$J$455,5,FALSE)*K14),0)),(IFERROR((VLOOKUP((MainSheet!$B$6&amp;" - "&amp;G14&amp;H14),Ratesheet!$E$4:$J$455,5,FALSE)*K14),0)))))),0)</f>
        <v>0</v>
      </c>
      <c r="X14" s="106">
        <f>IFERROR(W14*((VLOOKUP($C$8,'Ref1'!$B$239:$C$240,2,FALSE))),0)</f>
        <v>0</v>
      </c>
      <c r="Y14" s="106">
        <f>IFERROR((IF(F14="",0,(MAX((IFERROR((VLOOKUP((F14&amp;" - "&amp;G14&amp;H14),Ratesheet!$E$4:$J$455,6,FALSE)*K14),0)),(IFERROR((VLOOKUP((MainSheet!$B$6&amp;" - "&amp;G14&amp;H14),Ratesheet!$E$4:$J$455,6,FALSE)*K14),0)))))),0)</f>
        <v>0</v>
      </c>
      <c r="Z14" s="106">
        <f>IFERROR(Y14*((VLOOKUP($C$8,'Ref1'!$B$239:$C$240,2,FALSE))),0)</f>
        <v>0</v>
      </c>
      <c r="AA14" s="96"/>
      <c r="AB14" s="96"/>
    </row>
    <row r="15" spans="1:225" ht="11.25" customHeight="1">
      <c r="A15" s="73"/>
      <c r="B15" s="74"/>
      <c r="C15" s="74"/>
      <c r="D15" s="74"/>
      <c r="E15" s="75"/>
      <c r="F15" s="569"/>
      <c r="G15" s="569"/>
      <c r="H15" s="888"/>
      <c r="I15" s="889"/>
      <c r="J15" s="607"/>
      <c r="K15" s="608"/>
      <c r="L15" s="109">
        <f t="shared" si="2"/>
        <v>0</v>
      </c>
      <c r="M15" s="110">
        <f>IFERROR(IF(((X15-L15)/X15)&lt;0,0,((X15-L15)/X15)),0)</f>
        <v>0</v>
      </c>
      <c r="N15" s="330"/>
      <c r="O15" s="89"/>
      <c r="P15" s="105"/>
      <c r="Q15" s="112"/>
      <c r="R15" s="112"/>
      <c r="S15" s="112"/>
      <c r="T15" s="112"/>
      <c r="U15" s="112"/>
      <c r="W15" s="106">
        <f>IFERROR((IF(F15="",0,(MAX((IFERROR((VLOOKUP((F15&amp;" - "&amp;G15&amp;H15),Ratesheet!$E$4:$J$455,5,FALSE)*K15),0)),(IFERROR((VLOOKUP((MainSheet!$B$6&amp;" - "&amp;G15&amp;H15),Ratesheet!$E$4:$J$455,5,FALSE)*K15),0)))))),0)</f>
        <v>0</v>
      </c>
      <c r="X15" s="106">
        <f>IFERROR(W15*((VLOOKUP($C$8,'Ref1'!$B$239:$C$240,2,FALSE))),0)</f>
        <v>0</v>
      </c>
      <c r="Y15" s="106">
        <f>IFERROR((IF(F15="",0,(MAX((IFERROR((VLOOKUP((F15&amp;" - "&amp;G15&amp;H15),Ratesheet!$E$4:$J$455,6,FALSE)*K15),0)),(IFERROR((VLOOKUP((MainSheet!$B$6&amp;" - "&amp;G15&amp;H15),Ratesheet!$E$4:$J$455,6,FALSE)*K15),0)))))),0)</f>
        <v>0</v>
      </c>
      <c r="Z15" s="106">
        <f>IFERROR(Y15*((VLOOKUP($C$8,'Ref1'!$B$239:$C$240,2,FALSE))),0)</f>
        <v>0</v>
      </c>
      <c r="AA15" s="96"/>
      <c r="AB15" s="96"/>
    </row>
    <row r="16" spans="1:225" ht="11.25" customHeight="1">
      <c r="A16" s="73"/>
      <c r="B16" s="74"/>
      <c r="C16" s="74"/>
      <c r="D16" s="74"/>
      <c r="E16" s="75"/>
      <c r="F16" s="569"/>
      <c r="G16" s="569"/>
      <c r="H16" s="888"/>
      <c r="I16" s="889"/>
      <c r="J16" s="607"/>
      <c r="K16" s="608"/>
      <c r="L16" s="109">
        <f t="shared" si="2"/>
        <v>0</v>
      </c>
      <c r="M16" s="110">
        <f>IFERROR(IF(((X16-L16)/X16)&lt;0,0,((X16-L16)/X16)),0)</f>
        <v>0</v>
      </c>
      <c r="N16" s="330"/>
      <c r="O16" s="89"/>
      <c r="P16" s="105"/>
      <c r="Q16" s="112"/>
      <c r="R16" s="112"/>
      <c r="S16" s="112"/>
      <c r="T16" s="112"/>
      <c r="U16" s="112"/>
      <c r="W16" s="106">
        <f>IFERROR((IF(F16="",0,(MAX((IFERROR((VLOOKUP((F16&amp;" - "&amp;G16&amp;H16),Ratesheet!$E$4:$J$455,5,FALSE)*K16),0)),(IFERROR((VLOOKUP((MainSheet!$B$6&amp;" - "&amp;G16&amp;H16),Ratesheet!$E$4:$J$455,5,FALSE)*K16),0)))))),0)</f>
        <v>0</v>
      </c>
      <c r="X16" s="106">
        <f>IFERROR(W16*((VLOOKUP($C$8,'Ref1'!$B$239:$C$240,2,FALSE))),0)</f>
        <v>0</v>
      </c>
      <c r="Y16" s="106">
        <f>IFERROR((IF(F16="",0,(MAX((IFERROR((VLOOKUP((F16&amp;" - "&amp;G16&amp;H16),Ratesheet!$E$4:$J$455,6,FALSE)*K16),0)),(IFERROR((VLOOKUP((MainSheet!$B$6&amp;" - "&amp;G16&amp;H16),Ratesheet!$E$4:$J$455,6,FALSE)*K16),0)))))),0)</f>
        <v>0</v>
      </c>
      <c r="Z16" s="106">
        <f>IFERROR(Y16*((VLOOKUP($C$8,'Ref1'!$B$239:$C$240,2,FALSE))),0)</f>
        <v>0</v>
      </c>
      <c r="AA16" s="96"/>
      <c r="AB16" s="96"/>
    </row>
    <row r="17" spans="1:28" ht="11.25" customHeight="1">
      <c r="A17" s="113"/>
      <c r="B17" s="74"/>
      <c r="C17" s="74"/>
      <c r="D17" s="74"/>
      <c r="E17" s="75"/>
      <c r="F17" s="569"/>
      <c r="G17" s="569"/>
      <c r="H17" s="888"/>
      <c r="I17" s="889"/>
      <c r="J17" s="607"/>
      <c r="K17" s="608"/>
      <c r="L17" s="109">
        <f t="shared" si="2"/>
        <v>0</v>
      </c>
      <c r="M17" s="110">
        <f>IFERROR(IF(((X17-L17)/X17)&lt;0,0,((X17-L17)/X17)),0)</f>
        <v>0</v>
      </c>
      <c r="N17" s="330"/>
      <c r="O17" s="89"/>
      <c r="P17" s="105"/>
      <c r="Q17" s="112"/>
      <c r="R17" s="112"/>
      <c r="S17" s="112"/>
      <c r="T17" s="112"/>
      <c r="U17" s="112"/>
      <c r="W17" s="106">
        <f>IFERROR((IF(F17="",0,(MAX((IFERROR((VLOOKUP((F17&amp;" - "&amp;G17&amp;H17),Ratesheet!$E$4:$J$455,5,FALSE)*K17),0)),(IFERROR((VLOOKUP((MainSheet!$B$6&amp;" - "&amp;G17&amp;H17),Ratesheet!$E$4:$J$455,5,FALSE)*K17),0)))))),0)</f>
        <v>0</v>
      </c>
      <c r="X17" s="106">
        <f>IFERROR(W17*((VLOOKUP($C$8,'Ref1'!$B$239:$C$240,2,FALSE))),0)</f>
        <v>0</v>
      </c>
      <c r="Y17" s="106">
        <f>IFERROR((IF(F17="",0,(MAX((IFERROR((VLOOKUP((F17&amp;" - "&amp;G17&amp;H17),Ratesheet!$E$4:$J$455,6,FALSE)*K17),0)),(IFERROR((VLOOKUP((MainSheet!$B$6&amp;" - "&amp;G17&amp;H17),Ratesheet!$E$4:$J$455,6,FALSE)*K17),0)))))),0)</f>
        <v>0</v>
      </c>
      <c r="Z17" s="106">
        <f>IFERROR(Y17*((VLOOKUP($C$8,'Ref1'!$B$239:$C$240,2,FALSE))),0)</f>
        <v>0</v>
      </c>
      <c r="AA17" s="96"/>
      <c r="AB17" s="96"/>
    </row>
    <row r="18" spans="1:28" ht="11.25" customHeight="1">
      <c r="A18" s="77"/>
      <c r="B18" s="74"/>
      <c r="C18" s="74"/>
      <c r="D18" s="74"/>
      <c r="E18" s="75"/>
      <c r="F18" s="569"/>
      <c r="G18" s="569"/>
      <c r="H18" s="888"/>
      <c r="I18" s="889"/>
      <c r="J18" s="607"/>
      <c r="K18" s="608"/>
      <c r="L18" s="109">
        <f t="shared" si="2"/>
        <v>0</v>
      </c>
      <c r="M18" s="110">
        <f>IFERROR(IF(((X18-L18)/X18)&lt;0,0,((X18-L18)/X18)),0)</f>
        <v>0</v>
      </c>
      <c r="N18" s="330"/>
      <c r="O18" s="89"/>
      <c r="P18" s="105"/>
      <c r="Q18" s="112"/>
      <c r="R18" s="112"/>
      <c r="S18" s="112"/>
      <c r="T18" s="112"/>
      <c r="U18" s="112"/>
      <c r="W18" s="106">
        <f>IFERROR((IF(F18="",0,(MAX((IFERROR((VLOOKUP((F18&amp;" - "&amp;G18&amp;H18),Ratesheet!$E$4:$J$455,5,FALSE)*K18),0)),(IFERROR((VLOOKUP((MainSheet!$B$6&amp;" - "&amp;G18&amp;H18),Ratesheet!$E$4:$J$455,5,FALSE)*K18),0)))))),0)</f>
        <v>0</v>
      </c>
      <c r="X18" s="106">
        <f>IFERROR(W18*((VLOOKUP($C$8,'Ref1'!$B$239:$C$240,2,FALSE))),0)</f>
        <v>0</v>
      </c>
      <c r="Y18" s="106">
        <f>IFERROR((IF(F18="",0,(MAX((IFERROR((VLOOKUP((F18&amp;" - "&amp;G18&amp;H18),Ratesheet!$E$4:$J$455,6,FALSE)*K18),0)),(IFERROR((VLOOKUP((MainSheet!$B$6&amp;" - "&amp;G18&amp;H18),Ratesheet!$E$4:$J$455,6,FALSE)*K18),0)))))),0)</f>
        <v>0</v>
      </c>
      <c r="Z18" s="106">
        <f>IFERROR(Y18*((VLOOKUP($C$8,'Ref1'!$B$239:$C$240,2,FALSE))),0)</f>
        <v>0</v>
      </c>
      <c r="AA18" s="96"/>
      <c r="AB18" s="96"/>
    </row>
    <row r="19" spans="1:28" ht="11.25" customHeight="1">
      <c r="A19" s="111"/>
      <c r="B19" s="74"/>
      <c r="C19" s="74"/>
      <c r="D19" s="74"/>
      <c r="E19" s="75"/>
      <c r="F19" s="569"/>
      <c r="G19" s="569"/>
      <c r="H19" s="888"/>
      <c r="I19" s="889"/>
      <c r="J19" s="607"/>
      <c r="K19" s="608"/>
      <c r="L19" s="109">
        <f t="shared" si="2"/>
        <v>0</v>
      </c>
      <c r="M19" s="110">
        <f>IFERROR(IF(((X19-L19)/X19)&lt;0,0,((X19-L19)/X19)),0)</f>
        <v>0</v>
      </c>
      <c r="N19" s="330"/>
      <c r="O19" s="89"/>
      <c r="P19" s="105"/>
      <c r="Q19" s="112"/>
      <c r="R19" s="112"/>
      <c r="S19" s="112"/>
      <c r="T19" s="112"/>
      <c r="U19" s="112"/>
      <c r="W19" s="106">
        <f>IFERROR((IF(F19="",0,(MAX((IFERROR((VLOOKUP((F19&amp;" - "&amp;G19&amp;H19),Ratesheet!$E$4:$J$455,5,FALSE)*K19),0)),(IFERROR((VLOOKUP((MainSheet!$B$6&amp;" - "&amp;G19&amp;H19),Ratesheet!$E$4:$J$455,5,FALSE)*K19),0)))))),0)</f>
        <v>0</v>
      </c>
      <c r="X19" s="106">
        <f>IFERROR(W19*((VLOOKUP($C$8,'Ref1'!$B$239:$C$240,2,FALSE))),0)</f>
        <v>0</v>
      </c>
      <c r="Y19" s="106">
        <f>IFERROR((IF(F19="",0,(MAX((IFERROR((VLOOKUP((F19&amp;" - "&amp;G19&amp;H19),Ratesheet!$E$4:$J$455,6,FALSE)*K19),0)),(IFERROR((VLOOKUP((MainSheet!$B$6&amp;" - "&amp;G19&amp;H19),Ratesheet!$E$4:$J$455,6,FALSE)*K19),0)))))),0)</f>
        <v>0</v>
      </c>
      <c r="Z19" s="106">
        <f>IFERROR(Y19*((VLOOKUP($C$8,'Ref1'!$B$239:$C$240,2,FALSE))),0)</f>
        <v>0</v>
      </c>
      <c r="AA19" s="96"/>
      <c r="AB19" s="96"/>
    </row>
    <row r="20" spans="1:28" ht="11.25" customHeight="1">
      <c r="A20" s="111"/>
      <c r="B20" s="74"/>
      <c r="C20" s="74"/>
      <c r="D20" s="74"/>
      <c r="E20" s="75"/>
      <c r="F20" s="569"/>
      <c r="G20" s="569"/>
      <c r="H20" s="888"/>
      <c r="I20" s="889"/>
      <c r="J20" s="607"/>
      <c r="K20" s="608"/>
      <c r="L20" s="109">
        <f t="shared" si="2"/>
        <v>0</v>
      </c>
      <c r="M20" s="110">
        <f t="shared" si="1"/>
        <v>0</v>
      </c>
      <c r="N20" s="330"/>
      <c r="O20" s="89"/>
      <c r="P20" s="105"/>
      <c r="Q20" s="112"/>
      <c r="R20" s="112"/>
      <c r="S20" s="112"/>
      <c r="T20" s="112"/>
      <c r="U20" s="112"/>
      <c r="W20" s="106">
        <f>IFERROR((IF(F20="",0,(MAX((IFERROR((VLOOKUP((F20&amp;" - "&amp;G20&amp;H20),Ratesheet!$E$4:$J$455,5,FALSE)*K20),0)),(IFERROR((VLOOKUP((MainSheet!$B$6&amp;" - "&amp;G20&amp;H20),Ratesheet!$E$4:$J$455,5,FALSE)*K20),0)))))),0)</f>
        <v>0</v>
      </c>
      <c r="X20" s="106">
        <f>IFERROR(W20*((VLOOKUP($C$8,'Ref1'!$B$239:$C$240,2,FALSE))),0)</f>
        <v>0</v>
      </c>
      <c r="Y20" s="106">
        <f>IFERROR((IF(F20="",0,(MAX((IFERROR((VLOOKUP((F20&amp;" - "&amp;G20&amp;H20),Ratesheet!$E$4:$J$455,6,FALSE)*K20),0)),(IFERROR((VLOOKUP((MainSheet!$B$6&amp;" - "&amp;G20&amp;H20),Ratesheet!$E$4:$J$455,6,FALSE)*K20),0)))))),0)</f>
        <v>0</v>
      </c>
      <c r="Z20" s="106">
        <f>IFERROR(Y20*((VLOOKUP($C$8,'Ref1'!$B$239:$C$240,2,FALSE))),0)</f>
        <v>0</v>
      </c>
    </row>
    <row r="21" spans="1:28" ht="11.25" customHeight="1">
      <c r="A21" s="111"/>
      <c r="B21" s="74"/>
      <c r="C21" s="74"/>
      <c r="D21" s="74"/>
      <c r="E21" s="75"/>
      <c r="F21" s="569"/>
      <c r="G21" s="569"/>
      <c r="H21" s="888"/>
      <c r="I21" s="889"/>
      <c r="J21" s="607"/>
      <c r="K21" s="608"/>
      <c r="L21" s="109">
        <f t="shared" si="2"/>
        <v>0</v>
      </c>
      <c r="M21" s="110">
        <f t="shared" si="1"/>
        <v>0</v>
      </c>
      <c r="N21" s="330"/>
      <c r="O21" s="89"/>
      <c r="P21" s="105"/>
      <c r="Q21" s="112"/>
      <c r="R21" s="112"/>
      <c r="S21" s="112"/>
      <c r="T21" s="112"/>
      <c r="U21" s="112"/>
      <c r="W21" s="106">
        <f>IFERROR((IF(F21="",0,(MAX((IFERROR((VLOOKUP((F21&amp;" - "&amp;G21&amp;H21),Ratesheet!$E$4:$J$455,5,FALSE)*K21),0)),(IFERROR((VLOOKUP((MainSheet!$B$6&amp;" - "&amp;G21&amp;H21),Ratesheet!$E$4:$J$455,5,FALSE)*K21),0)))))),0)</f>
        <v>0</v>
      </c>
      <c r="X21" s="106">
        <f>IFERROR(W21*((VLOOKUP($C$8,'Ref1'!$B$239:$C$240,2,FALSE))),0)</f>
        <v>0</v>
      </c>
      <c r="Y21" s="106">
        <f>IFERROR((IF(F21="",0,(MAX((IFERROR((VLOOKUP((F21&amp;" - "&amp;G21&amp;H21),Ratesheet!$E$4:$J$455,6,FALSE)*K21),0)),(IFERROR((VLOOKUP((MainSheet!$B$6&amp;" - "&amp;G21&amp;H21),Ratesheet!$E$4:$J$455,6,FALSE)*K21),0)))))),0)</f>
        <v>0</v>
      </c>
      <c r="Z21" s="106">
        <f>IFERROR(Y21*((VLOOKUP($C$8,'Ref1'!$B$239:$C$240,2,FALSE))),0)</f>
        <v>0</v>
      </c>
    </row>
    <row r="22" spans="1:28" ht="11.25" customHeight="1">
      <c r="A22" s="111"/>
      <c r="B22" s="74"/>
      <c r="C22" s="74"/>
      <c r="D22" s="74"/>
      <c r="E22" s="75"/>
      <c r="F22" s="569"/>
      <c r="G22" s="569"/>
      <c r="H22" s="888"/>
      <c r="I22" s="889"/>
      <c r="J22" s="607"/>
      <c r="K22" s="608"/>
      <c r="L22" s="109">
        <f t="shared" si="2"/>
        <v>0</v>
      </c>
      <c r="M22" s="110">
        <f t="shared" si="1"/>
        <v>0</v>
      </c>
      <c r="N22" s="330"/>
      <c r="O22" s="89"/>
      <c r="P22" s="105"/>
      <c r="Q22" s="112"/>
      <c r="R22" s="112"/>
      <c r="S22" s="112"/>
      <c r="T22" s="112"/>
      <c r="U22" s="112"/>
      <c r="W22" s="106">
        <f>IFERROR((IF(F22="",0,(MAX((IFERROR((VLOOKUP((F22&amp;" - "&amp;G22&amp;H22),Ratesheet!$E$4:$J$455,5,FALSE)*K22),0)),(IFERROR((VLOOKUP((MainSheet!$B$6&amp;" - "&amp;G22&amp;H22),Ratesheet!$E$4:$J$455,5,FALSE)*K22),0)))))),0)</f>
        <v>0</v>
      </c>
      <c r="X22" s="106">
        <f>IFERROR(W22*((VLOOKUP($C$8,'Ref1'!$B$239:$C$240,2,FALSE))),0)</f>
        <v>0</v>
      </c>
      <c r="Y22" s="106">
        <f>IFERROR((IF(F22="",0,(MAX((IFERROR((VLOOKUP((F22&amp;" - "&amp;G22&amp;H22),Ratesheet!$E$4:$J$455,6,FALSE)*K22),0)),(IFERROR((VLOOKUP((MainSheet!$B$6&amp;" - "&amp;G22&amp;H22),Ratesheet!$E$4:$J$455,6,FALSE)*K22),0)))))),0)</f>
        <v>0</v>
      </c>
      <c r="Z22" s="106">
        <f>IFERROR(Y22*((VLOOKUP($C$8,'Ref1'!$B$239:$C$240,2,FALSE))),0)</f>
        <v>0</v>
      </c>
    </row>
    <row r="23" spans="1:28" ht="11.25" customHeight="1" thickBot="1">
      <c r="A23" s="111"/>
      <c r="B23" s="74"/>
      <c r="C23" s="74"/>
      <c r="D23" s="74"/>
      <c r="E23" s="75"/>
      <c r="F23" s="569"/>
      <c r="G23" s="569"/>
      <c r="H23" s="888"/>
      <c r="I23" s="889"/>
      <c r="J23" s="607"/>
      <c r="K23" s="608"/>
      <c r="L23" s="109">
        <f t="shared" si="2"/>
        <v>0</v>
      </c>
      <c r="M23" s="110">
        <f t="shared" si="1"/>
        <v>0</v>
      </c>
      <c r="N23" s="330"/>
      <c r="O23" s="89"/>
      <c r="P23" s="105"/>
      <c r="Q23" s="112"/>
      <c r="R23" s="112"/>
      <c r="S23" s="112"/>
      <c r="T23" s="112"/>
      <c r="U23" s="112"/>
      <c r="W23" s="106">
        <f>IFERROR((IF(F23="",0,(MAX((IFERROR((VLOOKUP((F23&amp;" - "&amp;G23&amp;H23),Ratesheet!$E$4:$J$455,5,FALSE)*K23),0)),(IFERROR((VLOOKUP((MainSheet!$B$6&amp;" - "&amp;G23&amp;H23),Ratesheet!$E$4:$J$455,5,FALSE)*K23),0)))))),0)</f>
        <v>0</v>
      </c>
      <c r="X23" s="106">
        <f>IFERROR(W23*((VLOOKUP($C$8,'Ref1'!$B$239:$C$240,2,FALSE))),0)</f>
        <v>0</v>
      </c>
      <c r="Y23" s="106">
        <f>IFERROR((IF(F23="",0,(MAX((IFERROR((VLOOKUP((F23&amp;" - "&amp;G23&amp;H23),Ratesheet!$E$4:$J$455,6,FALSE)*K23),0)),(IFERROR((VLOOKUP((MainSheet!$B$6&amp;" - "&amp;G23&amp;H23),Ratesheet!$E$4:$J$455,6,FALSE)*K23),0)))))),0)</f>
        <v>0</v>
      </c>
      <c r="Z23" s="106">
        <f>IFERROR(Y23*((VLOOKUP($C$8,'Ref1'!$B$239:$C$240,2,FALSE))),0)</f>
        <v>0</v>
      </c>
    </row>
    <row r="24" spans="1:28" ht="15" customHeight="1" thickBot="1">
      <c r="A24" s="111"/>
      <c r="B24" s="74"/>
      <c r="C24" s="74"/>
      <c r="D24" s="74"/>
      <c r="E24" s="74"/>
      <c r="F24" s="891" t="s">
        <v>291</v>
      </c>
      <c r="G24" s="892"/>
      <c r="H24" s="892"/>
      <c r="I24" s="892"/>
      <c r="J24" s="893"/>
      <c r="K24" s="114">
        <f>SUM(K8:K23)</f>
        <v>0</v>
      </c>
      <c r="L24" s="346">
        <f>SUM(L8:L23)</f>
        <v>0</v>
      </c>
      <c r="M24" s="344">
        <f t="shared" ref="M24" si="3">IFERROR(IF(((X24-L24)/X24)&lt;0,0,((X24-L24)/X24)),0)</f>
        <v>0</v>
      </c>
      <c r="N24" s="331"/>
      <c r="O24" s="89"/>
      <c r="P24" s="115"/>
      <c r="Q24" s="112"/>
      <c r="R24" s="112"/>
      <c r="S24" s="112"/>
      <c r="T24" s="112"/>
      <c r="U24" s="112"/>
      <c r="W24" s="84">
        <f>SUM(W8:W23)</f>
        <v>0</v>
      </c>
      <c r="X24" s="343">
        <f>SUM(X8:X23)</f>
        <v>0</v>
      </c>
      <c r="Y24" s="84">
        <f t="shared" ref="Y24:Z24" si="4">SUM(Y8:Y23)</f>
        <v>0</v>
      </c>
      <c r="Z24" s="343">
        <f t="shared" si="4"/>
        <v>0</v>
      </c>
    </row>
    <row r="25" spans="1:28" ht="17.25" customHeight="1">
      <c r="A25" s="111"/>
      <c r="B25" s="74"/>
      <c r="C25" s="74"/>
      <c r="D25" s="74"/>
      <c r="E25" s="74"/>
      <c r="F25" s="896" t="s">
        <v>292</v>
      </c>
      <c r="G25" s="897"/>
      <c r="H25" s="898" t="s">
        <v>280</v>
      </c>
      <c r="I25" s="899"/>
      <c r="J25" s="900"/>
      <c r="K25" s="901"/>
      <c r="L25" s="347" t="b">
        <f>IF(C9='Ref1'!B301,IF(H25="Non Billable Sub-con",SUMIF('Ref1'!$E$301:$E$313,"Sub-Contractor (3rd party) - ",'Ref1'!$F$301:$F$313),IF(H25="Non Billable OPE",SUMIF('Ref1'!$C$301:$C$313,"Home Office",'Ref1'!$G$301:$G$313),"")))</f>
        <v>0</v>
      </c>
      <c r="M25" s="345"/>
      <c r="N25" s="332"/>
      <c r="O25" s="89"/>
      <c r="P25" s="115"/>
      <c r="Q25" s="116"/>
      <c r="R25" s="72"/>
      <c r="S25" s="72"/>
      <c r="T25" s="78"/>
    </row>
    <row r="26" spans="1:28" ht="17.25" customHeight="1">
      <c r="A26" s="111"/>
      <c r="B26" s="74"/>
      <c r="C26" s="74"/>
      <c r="D26" s="74"/>
      <c r="E26" s="74"/>
      <c r="F26" s="896" t="s">
        <v>293</v>
      </c>
      <c r="G26" s="897"/>
      <c r="H26" s="898" t="s">
        <v>274</v>
      </c>
      <c r="I26" s="899"/>
      <c r="J26" s="902"/>
      <c r="K26" s="903"/>
      <c r="L26" s="347" t="b">
        <f>IF(C9='Ref1'!B302,IF(H26="Non Billable Sub-con",SUMIF('Ref1'!$E$302:$E$313,"Sub-Contractor (3rd party) - ",'Ref1'!$F$302:$F$313),IF(H26="Non Billable OPE",SUMIF('Ref1'!$C$302:$C$313,"Home Office",'Ref1'!$G$302:$G$313),"")))</f>
        <v>0</v>
      </c>
      <c r="M26" s="332"/>
      <c r="N26" s="332"/>
      <c r="O26" s="89"/>
      <c r="P26" s="115"/>
      <c r="Q26" s="116"/>
      <c r="R26" s="72"/>
      <c r="S26" s="72"/>
      <c r="T26" s="78"/>
    </row>
    <row r="27" spans="1:28" ht="12.75" customHeight="1">
      <c r="A27" s="111"/>
      <c r="B27" s="74"/>
      <c r="C27" s="74"/>
      <c r="D27" s="74"/>
      <c r="E27" s="74"/>
      <c r="F27" s="896" t="str">
        <f>PRFEIO!A40</f>
        <v>GST</v>
      </c>
      <c r="G27" s="897"/>
      <c r="H27" s="671"/>
      <c r="I27" s="672"/>
      <c r="J27" s="926"/>
      <c r="K27" s="926"/>
      <c r="L27" s="523"/>
      <c r="M27" s="332"/>
      <c r="N27" s="332"/>
      <c r="O27" s="89"/>
      <c r="P27" s="115"/>
      <c r="Q27" s="116"/>
      <c r="R27" s="72"/>
      <c r="S27" s="72"/>
      <c r="T27" s="78"/>
    </row>
    <row r="28" spans="1:28" ht="12.75" customHeight="1">
      <c r="A28" s="111"/>
      <c r="B28" s="74"/>
      <c r="C28" s="74"/>
      <c r="D28" s="74"/>
      <c r="E28" s="74"/>
      <c r="F28" s="927" t="s">
        <v>294</v>
      </c>
      <c r="G28" s="928"/>
      <c r="H28" s="928"/>
      <c r="I28" s="928"/>
      <c r="J28" s="928"/>
      <c r="K28" s="929"/>
      <c r="L28" s="348">
        <f>L24+(IF(H25="Billable",0,-L25)+IF(H26="Billable",0,-L26))+L27</f>
        <v>0</v>
      </c>
      <c r="M28" s="333"/>
      <c r="N28" s="333"/>
      <c r="O28" s="89"/>
      <c r="P28" s="115"/>
      <c r="Q28" s="116"/>
      <c r="R28" s="72"/>
      <c r="S28" s="72"/>
      <c r="T28" s="117"/>
    </row>
    <row r="29" spans="1:28" ht="16.5" customHeight="1">
      <c r="A29" s="111"/>
      <c r="B29" s="74"/>
      <c r="C29" s="74"/>
      <c r="D29" s="74"/>
      <c r="E29" s="74"/>
      <c r="F29" s="74"/>
      <c r="G29" s="74"/>
      <c r="H29" s="75"/>
      <c r="I29" s="75"/>
      <c r="J29" s="118"/>
      <c r="K29" s="119"/>
      <c r="L29" s="119"/>
      <c r="M29" s="120"/>
      <c r="N29" s="120"/>
      <c r="O29" s="89"/>
      <c r="P29" s="121"/>
      <c r="Q29" s="78"/>
      <c r="R29" s="72"/>
      <c r="S29" s="72"/>
      <c r="T29" s="117"/>
    </row>
    <row r="30" spans="1:28" ht="16.5" customHeight="1" thickBot="1">
      <c r="A30" s="111"/>
      <c r="B30" s="74"/>
      <c r="H30" s="122"/>
      <c r="I30" s="122"/>
      <c r="J30" s="118"/>
      <c r="K30" s="118"/>
      <c r="L30" s="118"/>
      <c r="M30" s="118"/>
      <c r="N30" s="118"/>
      <c r="O30" s="89"/>
      <c r="P30" s="121"/>
      <c r="Q30" s="78"/>
      <c r="R30" s="72"/>
      <c r="S30" s="72"/>
      <c r="T30" s="117"/>
    </row>
    <row r="31" spans="1:28" ht="16.5" customHeight="1" thickBot="1">
      <c r="A31" s="925" t="s">
        <v>295</v>
      </c>
      <c r="B31" s="925"/>
      <c r="C31" s="534">
        <f>IFERROR((I33/X24),0)</f>
        <v>0</v>
      </c>
      <c r="D31"/>
      <c r="F31" s="266"/>
      <c r="G31" s="894" t="s">
        <v>181</v>
      </c>
      <c r="H31" s="895"/>
      <c r="I31" s="894" t="s">
        <v>182</v>
      </c>
      <c r="J31" s="895"/>
      <c r="K31" s="261" t="s">
        <v>183</v>
      </c>
      <c r="L31" s="261" t="s">
        <v>184</v>
      </c>
      <c r="M31" s="40"/>
      <c r="N31" s="78"/>
      <c r="O31" s="429"/>
      <c r="P31" s="78"/>
      <c r="Q31" s="72"/>
      <c r="R31" s="72"/>
      <c r="S31" s="117"/>
      <c r="T31" s="84"/>
      <c r="AB31" s="57"/>
    </row>
    <row r="32" spans="1:28" ht="16.5" customHeight="1">
      <c r="A32" s="378"/>
      <c r="B32" s="379"/>
      <c r="C32" s="379"/>
      <c r="D32" s="74"/>
      <c r="E32" s="74"/>
      <c r="F32" s="267"/>
      <c r="G32" s="261" t="s">
        <v>185</v>
      </c>
      <c r="H32" s="261" t="s">
        <v>186</v>
      </c>
      <c r="I32" s="261" t="s">
        <v>185</v>
      </c>
      <c r="J32" s="261" t="s">
        <v>186</v>
      </c>
      <c r="K32" s="261" t="s">
        <v>187</v>
      </c>
      <c r="L32" s="261" t="s">
        <v>187</v>
      </c>
      <c r="M32" s="40"/>
      <c r="N32" s="78"/>
      <c r="O32" s="429"/>
      <c r="P32" s="78"/>
      <c r="Q32" s="72"/>
      <c r="R32" s="72"/>
      <c r="S32" s="117"/>
      <c r="T32" s="84"/>
      <c r="AB32" s="57"/>
    </row>
    <row r="33" spans="1:28" ht="16.5" customHeight="1">
      <c r="A33" s="378">
        <f>Z24</f>
        <v>0</v>
      </c>
      <c r="B33" s="379">
        <f>IFERROR(I33-A33,0)</f>
        <v>0</v>
      </c>
      <c r="C33" s="379" t="s">
        <v>287</v>
      </c>
      <c r="D33" s="74"/>
      <c r="E33" s="74"/>
      <c r="F33" s="265" t="str">
        <f>C8</f>
        <v>INR</v>
      </c>
      <c r="G33" s="263">
        <f>IF(OR(H25=AM4,H26=AM4),L24-SUMIF(H25:H26,AM4,L25:L26),L24)</f>
        <v>0</v>
      </c>
      <c r="H33" s="263">
        <f>IFERROR(G33/K24,0)</f>
        <v>0</v>
      </c>
      <c r="I33" s="263">
        <f>L28</f>
        <v>0</v>
      </c>
      <c r="J33" s="263">
        <f>IFERROR(I33/K24,0)</f>
        <v>0</v>
      </c>
      <c r="K33" s="761">
        <f>IFERROR((B33-(I33*5%))/I33,0)</f>
        <v>0</v>
      </c>
      <c r="L33" s="761">
        <f>IFERROR((B33-(L28*5%))/G33,0)</f>
        <v>0</v>
      </c>
      <c r="M33" s="890">
        <f>IFERROR(B33/I33,0)</f>
        <v>0</v>
      </c>
      <c r="N33" s="78"/>
      <c r="O33" s="429"/>
      <c r="P33" s="78"/>
      <c r="Q33" s="72"/>
      <c r="R33" s="72"/>
      <c r="S33" s="117"/>
      <c r="T33" s="84"/>
      <c r="AB33" s="57"/>
    </row>
    <row r="34" spans="1:28" ht="16.5" customHeight="1">
      <c r="A34" s="378">
        <f>Y24</f>
        <v>0</v>
      </c>
      <c r="B34" s="379">
        <f>IFERROR(I34-A34,0)</f>
        <v>0</v>
      </c>
      <c r="C34" s="379" t="s">
        <v>286</v>
      </c>
      <c r="D34" s="74"/>
      <c r="E34" s="74"/>
      <c r="F34" s="262" t="s">
        <v>191</v>
      </c>
      <c r="G34" s="263">
        <f>IF(F34=F33,0,IFERROR((I33/VLOOKUP(F33,'Ref1'!$B$230:$C$236,2,FALSE)),0)*VLOOKUP($C$8,'Ref1'!$B$239:$C$240,2,0))</f>
        <v>0</v>
      </c>
      <c r="H34" s="263">
        <f>IFERROR(G34/K24,0)</f>
        <v>0</v>
      </c>
      <c r="I34" s="263">
        <f>IF(F34=F33,0,IFERROR((I33/VLOOKUP(F33,'Ref1'!$B$230:$C$236,2,FALSE)),0)*VLOOKUP($C$8,'Ref1'!$B$239:$C$240,2,0))</f>
        <v>0</v>
      </c>
      <c r="J34" s="263">
        <f>IFERROR(I34/K24,0)</f>
        <v>0</v>
      </c>
      <c r="K34" s="763"/>
      <c r="L34" s="763"/>
      <c r="M34" s="890"/>
      <c r="N34" s="78"/>
      <c r="O34" s="429"/>
      <c r="P34" s="78"/>
      <c r="Q34" s="72"/>
      <c r="R34" s="72"/>
      <c r="S34" s="117"/>
      <c r="T34" s="84"/>
      <c r="AB34" s="57"/>
    </row>
    <row r="35" spans="1:28" ht="16.5" customHeight="1">
      <c r="A35" s="378"/>
      <c r="B35" s="379"/>
      <c r="C35" s="379"/>
      <c r="D35" s="74"/>
      <c r="E35" s="74"/>
      <c r="F35" s="74"/>
      <c r="G35" s="74"/>
      <c r="H35" s="40"/>
      <c r="I35" s="40"/>
      <c r="J35" s="40"/>
      <c r="K35" s="40"/>
      <c r="L35" s="40"/>
      <c r="M35" s="40"/>
      <c r="N35" s="40"/>
      <c r="O35" s="89"/>
      <c r="P35" s="121"/>
      <c r="Q35" s="78"/>
      <c r="R35" s="72"/>
      <c r="S35" s="72"/>
      <c r="T35" s="117"/>
    </row>
    <row r="36" spans="1:28" ht="32.25" customHeight="1">
      <c r="A36" s="378"/>
      <c r="B36" s="379"/>
      <c r="C36" s="379"/>
      <c r="D36" s="74"/>
      <c r="E36" s="74"/>
      <c r="F36" s="74"/>
      <c r="G36" s="930" t="str">
        <f>PRFEIO!L45</f>
        <v xml:space="preserve">Gross Contribution Margin is derived after considering direct staff cost, mangement fees , Sub-contractor cost and other direct cost. 
Net Contribution Margin is derived after considering direct staff cost, mangement fees and other direct cost. </v>
      </c>
      <c r="H36" s="930"/>
      <c r="I36" s="930"/>
      <c r="J36" s="930"/>
      <c r="K36" s="930"/>
      <c r="L36" s="930"/>
      <c r="M36" s="930"/>
      <c r="N36" s="930"/>
      <c r="O36" s="89"/>
      <c r="P36" s="121"/>
      <c r="Q36" s="78"/>
      <c r="R36" s="72"/>
      <c r="S36" s="72"/>
      <c r="T36" s="117"/>
    </row>
    <row r="37" spans="1:28" ht="31.5" customHeight="1">
      <c r="A37" s="111"/>
      <c r="B37" s="74"/>
      <c r="C37" s="74"/>
      <c r="D37" s="74"/>
      <c r="E37" s="74"/>
      <c r="F37" s="74"/>
      <c r="G37" s="930"/>
      <c r="H37" s="930"/>
      <c r="I37" s="930"/>
      <c r="J37" s="930"/>
      <c r="K37" s="930"/>
      <c r="L37" s="930"/>
      <c r="M37" s="930"/>
      <c r="N37" s="930"/>
      <c r="O37" s="89"/>
      <c r="P37" s="121"/>
      <c r="Q37" s="78"/>
      <c r="R37" s="72"/>
      <c r="S37" s="72"/>
      <c r="T37" s="117"/>
    </row>
    <row r="38" spans="1:28" ht="3.75" customHeight="1">
      <c r="A38" s="123"/>
      <c r="B38" s="124"/>
      <c r="C38" s="125"/>
      <c r="D38" s="125"/>
      <c r="E38" s="125"/>
      <c r="F38" s="125"/>
      <c r="G38" s="125"/>
      <c r="H38" s="125"/>
      <c r="I38" s="125"/>
      <c r="J38" s="125"/>
      <c r="K38" s="125"/>
      <c r="L38" s="125"/>
      <c r="M38" s="125"/>
      <c r="N38" s="125"/>
      <c r="O38" s="126"/>
      <c r="P38" s="78"/>
      <c r="Q38" s="78"/>
      <c r="R38" s="78"/>
      <c r="S38" s="78"/>
      <c r="T38" s="78"/>
    </row>
    <row r="39" spans="1:28" ht="11.25" customHeight="1">
      <c r="A39" s="74"/>
      <c r="B39" s="74"/>
      <c r="C39" s="74"/>
      <c r="D39" s="74"/>
      <c r="E39" s="74"/>
      <c r="F39" s="74"/>
      <c r="G39" s="74"/>
      <c r="H39" s="74"/>
      <c r="I39" s="78"/>
      <c r="J39" s="78"/>
      <c r="K39" s="78"/>
      <c r="L39" s="78"/>
      <c r="M39" s="78"/>
      <c r="N39" s="78"/>
      <c r="O39" s="78"/>
      <c r="P39" s="78"/>
      <c r="Q39" s="78"/>
      <c r="R39" s="78"/>
      <c r="S39" s="78"/>
      <c r="T39" s="84"/>
    </row>
    <row r="40" spans="1:28" ht="11.25" customHeight="1" thickBot="1">
      <c r="A40" s="117"/>
      <c r="B40" s="117"/>
      <c r="C40" s="335"/>
      <c r="D40" s="335" t="s">
        <v>195</v>
      </c>
      <c r="E40" s="74"/>
      <c r="F40" s="74"/>
      <c r="G40" s="78"/>
      <c r="H40" s="78"/>
      <c r="I40" s="78"/>
      <c r="J40" s="78"/>
      <c r="K40" s="78"/>
      <c r="L40" s="78"/>
      <c r="M40" s="78"/>
      <c r="N40" s="78"/>
      <c r="O40" s="78"/>
      <c r="P40" s="78"/>
      <c r="Q40" s="84"/>
      <c r="R40" s="78"/>
      <c r="S40" s="78"/>
      <c r="T40" s="84"/>
    </row>
    <row r="41" spans="1:28" ht="15" customHeight="1" thickBot="1">
      <c r="A41" s="564"/>
      <c r="B41" s="117" t="s">
        <v>198</v>
      </c>
      <c r="C41" s="336"/>
      <c r="D41" s="336" t="s">
        <v>199</v>
      </c>
      <c r="E41" s="74"/>
      <c r="F41" s="74"/>
      <c r="G41" s="78"/>
      <c r="H41" s="338"/>
      <c r="I41" s="129" t="s">
        <v>196</v>
      </c>
      <c r="J41" s="78" t="s">
        <v>197</v>
      </c>
      <c r="K41" s="78"/>
      <c r="L41" s="78"/>
      <c r="M41" s="78"/>
      <c r="N41" s="78"/>
      <c r="O41" s="78"/>
      <c r="P41" s="78"/>
      <c r="Q41" s="84"/>
      <c r="R41" s="78"/>
      <c r="S41" s="78"/>
      <c r="T41" s="84"/>
    </row>
    <row r="42" spans="1:28" ht="15" customHeight="1" thickBot="1">
      <c r="A42" s="570"/>
      <c r="B42" s="130" t="s">
        <v>296</v>
      </c>
      <c r="C42" s="337"/>
      <c r="D42" s="924" t="s">
        <v>201</v>
      </c>
      <c r="E42" s="924"/>
      <c r="F42" s="924"/>
      <c r="G42" s="924"/>
      <c r="H42" s="131"/>
      <c r="I42" s="131"/>
      <c r="J42" s="78" t="s">
        <v>297</v>
      </c>
      <c r="K42" s="132"/>
      <c r="L42" s="78"/>
      <c r="M42" s="78"/>
      <c r="N42" s="78"/>
      <c r="O42" s="78"/>
      <c r="P42" s="78"/>
      <c r="Q42" s="84"/>
      <c r="R42" s="78"/>
      <c r="S42" s="78"/>
      <c r="T42" s="84"/>
    </row>
    <row r="43" spans="1:28" ht="19.5" customHeight="1">
      <c r="A43" s="133" t="s">
        <v>298</v>
      </c>
      <c r="B43" s="130"/>
      <c r="C43" s="132"/>
      <c r="D43" s="132"/>
      <c r="E43" s="132"/>
      <c r="F43" s="132"/>
      <c r="G43" s="132"/>
      <c r="H43" s="132"/>
      <c r="I43" s="132"/>
      <c r="J43" s="132"/>
      <c r="K43" s="132"/>
      <c r="L43" s="132"/>
      <c r="M43" s="132"/>
      <c r="N43" s="132"/>
      <c r="O43" s="132"/>
      <c r="P43" s="78"/>
      <c r="Q43" s="78"/>
      <c r="R43" s="78"/>
      <c r="S43" s="78"/>
      <c r="T43" s="84"/>
    </row>
    <row r="44" spans="1:28" ht="17.25" customHeight="1">
      <c r="A44" s="74"/>
      <c r="B44" s="74"/>
      <c r="C44" s="74"/>
      <c r="D44" s="74"/>
      <c r="E44" s="74"/>
      <c r="F44" s="74"/>
      <c r="G44" s="74"/>
      <c r="H44" s="74"/>
      <c r="I44" s="78"/>
      <c r="J44" s="78"/>
      <c r="K44" s="134" t="s">
        <v>209</v>
      </c>
      <c r="L44" s="327"/>
      <c r="M44" s="327"/>
      <c r="N44" s="78"/>
      <c r="O44" s="78"/>
      <c r="P44" s="78"/>
      <c r="Q44" s="78"/>
      <c r="R44" s="78"/>
      <c r="S44" s="78"/>
      <c r="T44" s="84"/>
    </row>
    <row r="45" spans="1:28" ht="11.25" customHeight="1">
      <c r="A45" s="74"/>
      <c r="B45" s="74"/>
      <c r="C45" s="74"/>
      <c r="D45" s="74"/>
      <c r="E45" s="74"/>
      <c r="F45" s="74"/>
      <c r="G45" s="74"/>
      <c r="H45" s="74"/>
      <c r="I45" s="78"/>
      <c r="J45" s="78"/>
      <c r="K45" s="78"/>
      <c r="L45" s="78"/>
      <c r="M45" s="78"/>
      <c r="N45" s="78"/>
      <c r="O45" s="78"/>
      <c r="P45" s="78"/>
      <c r="Q45" s="78"/>
      <c r="R45" s="78"/>
      <c r="S45" s="78"/>
      <c r="T45" s="84"/>
    </row>
    <row r="46" spans="1:28" ht="11.25" customHeight="1"/>
    <row r="47" spans="1:28" ht="11.25" customHeight="1"/>
  </sheetData>
  <sheetProtection algorithmName="SHA-512" hashValue="ye0DhrCx2Uj3hMr8R3gIQeYUGtqSYg3R48Ps7aRgQTFfabv5iKRmnzPoBzq9pa55rbSipIjcE3G98Repf7Iz+Q==" saltValue="gzY0i0wKWjtpRFzuh0F+2A==" spinCount="100000" sheet="1" selectLockedCells="1"/>
  <dataConsolidate/>
  <mergeCells count="46">
    <mergeCell ref="D42:G42"/>
    <mergeCell ref="A31:B31"/>
    <mergeCell ref="I31:J31"/>
    <mergeCell ref="J27:K27"/>
    <mergeCell ref="H27:I27"/>
    <mergeCell ref="K33:K34"/>
    <mergeCell ref="F27:G27"/>
    <mergeCell ref="F28:K28"/>
    <mergeCell ref="G36:N37"/>
    <mergeCell ref="W5:X5"/>
    <mergeCell ref="Y5:Z5"/>
    <mergeCell ref="C6:D6"/>
    <mergeCell ref="C7:D7"/>
    <mergeCell ref="C8:D8"/>
    <mergeCell ref="H8:I8"/>
    <mergeCell ref="F5:G5"/>
    <mergeCell ref="F6:F7"/>
    <mergeCell ref="G6:G7"/>
    <mergeCell ref="K5:K7"/>
    <mergeCell ref="J5:J7"/>
    <mergeCell ref="H12:I12"/>
    <mergeCell ref="H13:I13"/>
    <mergeCell ref="H17:I17"/>
    <mergeCell ref="H11:I11"/>
    <mergeCell ref="C5:D5"/>
    <mergeCell ref="C9:D9"/>
    <mergeCell ref="H9:I9"/>
    <mergeCell ref="H10:I10"/>
    <mergeCell ref="H14:I14"/>
    <mergeCell ref="H15:I15"/>
    <mergeCell ref="H16:I16"/>
    <mergeCell ref="H18:I18"/>
    <mergeCell ref="H19:I19"/>
    <mergeCell ref="H22:I22"/>
    <mergeCell ref="H23:I23"/>
    <mergeCell ref="M33:M34"/>
    <mergeCell ref="F24:J24"/>
    <mergeCell ref="L33:L34"/>
    <mergeCell ref="G31:H31"/>
    <mergeCell ref="F26:G26"/>
    <mergeCell ref="H26:I26"/>
    <mergeCell ref="J25:K26"/>
    <mergeCell ref="H25:I25"/>
    <mergeCell ref="F25:G25"/>
    <mergeCell ref="H20:I20"/>
    <mergeCell ref="H21:I21"/>
  </mergeCells>
  <conditionalFormatting sqref="B38">
    <cfRule type="expression" dxfId="34" priority="13" stopIfTrue="1">
      <formula>IF(#REF!&gt;1,1,0)</formula>
    </cfRule>
  </conditionalFormatting>
  <conditionalFormatting sqref="M25:N30 M5:N23 M9:M24">
    <cfRule type="expression" dxfId="33" priority="14" stopIfTrue="1">
      <formula>IF(#REF!="Fixed",1,0)</formula>
    </cfRule>
  </conditionalFormatting>
  <conditionalFormatting sqref="K5">
    <cfRule type="expression" dxfId="32" priority="8" stopIfTrue="1">
      <formula>IF(#REF!="Fixed",1,0)</formula>
    </cfRule>
  </conditionalFormatting>
  <conditionalFormatting sqref="C31">
    <cfRule type="colorScale" priority="3">
      <colorScale>
        <cfvo type="num" val="0.59499999999999997"/>
        <cfvo type="num" val="0.6"/>
        <color rgb="FFF8696B"/>
        <color rgb="FF63BE7B"/>
      </colorScale>
    </cfRule>
  </conditionalFormatting>
  <conditionalFormatting sqref="K33:K34">
    <cfRule type="colorScale" priority="2">
      <colorScale>
        <cfvo type="num" val="0.3"/>
        <cfvo type="num" val="0.30499999999999999"/>
        <color rgb="FFF8696B"/>
        <color rgb="FF63BE7B"/>
      </colorScale>
    </cfRule>
  </conditionalFormatting>
  <conditionalFormatting sqref="L33:L34">
    <cfRule type="colorScale" priority="1">
      <colorScale>
        <cfvo type="num" val="0.3"/>
        <cfvo type="num" val="0.30499999999999999"/>
        <color rgb="FFF8696B"/>
        <color rgb="FF63BE7B"/>
      </colorScale>
    </cfRule>
  </conditionalFormatting>
  <dataValidations count="5">
    <dataValidation type="list" allowBlank="1" showInputMessage="1" showErrorMessage="1" sqref="P3:Q3" xr:uid="{00000000-0002-0000-0500-000000000000}">
      <formula1>BusinessUnits</formula1>
    </dataValidation>
    <dataValidation type="decimal" allowBlank="1" showInputMessage="1" showErrorMessage="1" sqref="L8:L27 J8:K23" xr:uid="{00000000-0002-0000-0500-000001000000}">
      <formula1>0</formula1>
      <formula2>9999999999</formula2>
    </dataValidation>
    <dataValidation errorStyle="warning" allowBlank="1" showInputMessage="1" showErrorMessage="1" errorTitle="Invalid entry - Confirm?" sqref="F24:F27" xr:uid="{00000000-0002-0000-0500-000002000000}"/>
    <dataValidation type="list" allowBlank="1" showInputMessage="1" showErrorMessage="1" sqref="H25:I26" xr:uid="{00000000-0002-0000-0500-000003000000}">
      <formula1>"Billable,Non Billable OPE, Non Billable Sub-con"</formula1>
    </dataValidation>
    <dataValidation type="list" errorStyle="warning" allowBlank="1" showInputMessage="1" showErrorMessage="1" errorTitle="Check Business Unit!" error="Confirm if Business Unit is correct" sqref="F8:F23" xr:uid="{00000000-0002-0000-0500-000004000000}">
      <formula1>"India"</formula1>
    </dataValidation>
  </dataValidations>
  <printOptions horizontalCentered="1"/>
  <pageMargins left="0.5" right="0.5" top="1" bottom="0.5" header="0.33" footer="0.25"/>
  <pageSetup paperSize="9" scale="88" orientation="landscape" r:id="rId1"/>
  <headerFooter alignWithMargins="0">
    <oddFooter>&amp;CPage 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inSheet">
                <anchor>
                  <from>
                    <xdr:col>5</xdr:col>
                    <xdr:colOff>137160</xdr:colOff>
                    <xdr:row>0</xdr:row>
                    <xdr:rowOff>45720</xdr:rowOff>
                  </from>
                  <to>
                    <xdr:col>7</xdr:col>
                    <xdr:colOff>45720</xdr:colOff>
                    <xdr:row>2</xdr:row>
                    <xdr:rowOff>68580</xdr:rowOff>
                  </to>
                </anchor>
              </controlPr>
            </control>
          </mc:Choice>
        </mc:AlternateContent>
        <mc:AlternateContent xmlns:mc="http://schemas.openxmlformats.org/markup-compatibility/2006">
          <mc:Choice Requires="x14">
            <control shapeId="8194" r:id="rId5" name="Button 2">
              <controlPr defaultSize="0" print="0" autoFill="0" autoPict="0" macro="[0]!Billings">
                <anchor>
                  <from>
                    <xdr:col>7</xdr:col>
                    <xdr:colOff>335280</xdr:colOff>
                    <xdr:row>0</xdr:row>
                    <xdr:rowOff>45720</xdr:rowOff>
                  </from>
                  <to>
                    <xdr:col>8</xdr:col>
                    <xdr:colOff>800100</xdr:colOff>
                    <xdr:row>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7000000}">
          <x14:formula1>
            <xm:f>'Ref1'!$G$278:$G$280</xm:f>
          </x14:formula1>
          <xm:sqref>H27:I27</xm:sqref>
        </x14:dataValidation>
        <x14:dataValidation type="list" errorStyle="warning" allowBlank="1" showInputMessage="1" showErrorMessage="1" errorTitle="Check Business Unit!" error="Confirm if Business Unit is correct" xr:uid="{1D13F6D2-C27B-4E9F-AFED-C90D4BEAC6FD}">
          <x14:formula1>
            <xm:f>'Ref1'!$C$244:$C$254</xm:f>
          </x14:formula1>
          <xm:sqref>G8:G23</xm:sqref>
        </x14:dataValidation>
        <x14:dataValidation type="list" allowBlank="1" showInputMessage="1" showErrorMessage="1" xr:uid="{247C8961-52D4-43D0-B22A-94DFEF7E50F1}">
          <x14:formula1>
            <xm:f>'Ref1'!$F$230:$F$242</xm:f>
          </x14:formula1>
          <xm:sqref>H8:H23 I8:I13 I17:I23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IT64"/>
  <sheetViews>
    <sheetView showGridLines="0" showZeros="0" zoomScale="74" zoomScaleNormal="75" zoomScaleSheetLayoutView="100" workbookViewId="0">
      <selection activeCell="C18" sqref="C18"/>
    </sheetView>
  </sheetViews>
  <sheetFormatPr defaultColWidth="0" defaultRowHeight="12.75" customHeight="1" zeroHeight="1"/>
  <cols>
    <col min="1" max="1" width="6.6640625" style="40" customWidth="1"/>
    <col min="2" max="2" width="18.33203125" style="40" customWidth="1"/>
    <col min="3" max="3" width="24.44140625" style="40" customWidth="1"/>
    <col min="4" max="4" width="19.5546875" style="40" customWidth="1"/>
    <col min="5" max="5" width="9" style="40" customWidth="1"/>
    <col min="6" max="6" width="19.33203125" style="40" customWidth="1"/>
    <col min="7" max="7" width="19.109375" style="40" customWidth="1"/>
    <col min="8" max="8" width="19.33203125" style="40" customWidth="1"/>
    <col min="9" max="9" width="21.44140625" style="40" customWidth="1"/>
    <col min="10" max="10" width="2.6640625" style="40" customWidth="1"/>
    <col min="11" max="11" width="26.109375" style="146" customWidth="1"/>
    <col min="12" max="12" width="18.6640625" style="191" hidden="1" customWidth="1"/>
    <col min="13" max="13" width="7.6640625" style="191" hidden="1" customWidth="1"/>
    <col min="14" max="15" width="8.6640625" style="191" hidden="1" customWidth="1"/>
    <col min="16" max="16" width="8.6640625" style="40" hidden="1" customWidth="1"/>
    <col min="17" max="254" width="19.44140625" style="40" hidden="1" customWidth="1"/>
    <col min="255" max="16384" width="9.109375" style="40" hidden="1"/>
  </cols>
  <sheetData>
    <row r="1" spans="1:15" ht="13.2">
      <c r="A1" s="188" t="str">
        <f>MainSheet!A1</f>
        <v>Protiviti Member Firm (India)</v>
      </c>
      <c r="B1" s="632"/>
      <c r="C1" s="632"/>
      <c r="D1" s="632"/>
      <c r="E1" s="632"/>
      <c r="F1" s="632"/>
      <c r="G1" s="632"/>
      <c r="H1" s="632"/>
      <c r="I1" s="633" t="str">
        <f>MainSheet!J1</f>
        <v>Project_Template_2023_Apr.23</v>
      </c>
      <c r="J1" s="189"/>
      <c r="K1" s="190"/>
    </row>
    <row r="2" spans="1:15" ht="13.2">
      <c r="A2" s="192" t="s">
        <v>299</v>
      </c>
      <c r="J2" s="193"/>
      <c r="K2" s="190"/>
    </row>
    <row r="3" spans="1:15" ht="13.2">
      <c r="A3" s="80"/>
      <c r="J3" s="193"/>
      <c r="K3" s="80"/>
    </row>
    <row r="4" spans="1:15" ht="13.2">
      <c r="A4" s="634" t="str">
        <f>MainSheet!A6</f>
        <v>Organisation:</v>
      </c>
      <c r="B4" s="635"/>
      <c r="C4" s="936" t="str">
        <f>MainSheet!B6&amp; " - "&amp;MainSheet!D6</f>
        <v>India - R&amp;C</v>
      </c>
      <c r="D4" s="937"/>
      <c r="F4" s="938" t="s">
        <v>300</v>
      </c>
      <c r="G4" s="939"/>
      <c r="H4" s="940" t="str">
        <f>MainSheet!B8</f>
        <v>HSBC</v>
      </c>
      <c r="I4" s="941"/>
      <c r="J4" s="193"/>
      <c r="K4" s="80"/>
      <c r="L4" s="313"/>
    </row>
    <row r="5" spans="1:15" ht="13.2">
      <c r="A5" s="194" t="str">
        <f>MainSheet!A7</f>
        <v>Engagement Organisation:</v>
      </c>
      <c r="B5" s="195"/>
      <c r="C5" s="931" t="str">
        <f>MainSheet!B7</f>
        <v>Protiviti India Member Pvt. Ltd.</v>
      </c>
      <c r="D5" s="932"/>
      <c r="F5" s="942" t="s">
        <v>301</v>
      </c>
      <c r="G5" s="933"/>
      <c r="H5" s="943" t="str">
        <f>MainSheet!B25&amp;" "&amp;MainSheet!C25</f>
        <v xml:space="preserve">Mr. </v>
      </c>
      <c r="I5" s="944"/>
      <c r="J5" s="193"/>
      <c r="K5" s="80"/>
      <c r="L5" s="313"/>
    </row>
    <row r="6" spans="1:15" ht="13.2">
      <c r="A6" s="194" t="str">
        <f>MainSheet!A8</f>
        <v>Client Legal Name:</v>
      </c>
      <c r="B6" s="195"/>
      <c r="C6" s="931" t="str">
        <f>MainSheet!B8</f>
        <v>HSBC</v>
      </c>
      <c r="D6" s="932"/>
      <c r="F6" s="942" t="s">
        <v>302</v>
      </c>
      <c r="G6" s="933"/>
      <c r="H6" s="943">
        <f>MainSheet!B29</f>
        <v>0</v>
      </c>
      <c r="I6" s="944"/>
      <c r="J6" s="193"/>
      <c r="K6" s="80"/>
      <c r="L6" s="313"/>
    </row>
    <row r="7" spans="1:15" ht="13.2">
      <c r="A7" s="196" t="s">
        <v>288</v>
      </c>
      <c r="B7" s="195"/>
      <c r="C7" s="197" t="str">
        <f>MainSheet!B9</f>
        <v>INR</v>
      </c>
      <c r="D7" s="198"/>
      <c r="F7" s="942" t="s">
        <v>303</v>
      </c>
      <c r="G7" s="933"/>
      <c r="H7" s="945" t="s">
        <v>304</v>
      </c>
      <c r="I7" s="946"/>
      <c r="J7" s="193"/>
      <c r="K7" s="483"/>
    </row>
    <row r="8" spans="1:15" ht="13.2">
      <c r="A8" s="311" t="str">
        <f>MainSheet!A12</f>
        <v>Project Type:</v>
      </c>
      <c r="B8" s="195"/>
      <c r="C8" s="931" t="str">
        <f>MainSheet!B12</f>
        <v>Fixed Fee (Incl. Outlays)</v>
      </c>
      <c r="D8" s="932"/>
      <c r="F8" s="933" t="s">
        <v>305</v>
      </c>
      <c r="G8" s="933"/>
      <c r="H8" s="934">
        <f>IF(SA!F10=PRFIIO!C8,(PRFIIO!G34),(IF(SA!F10=PRFEIO!C8,(PRFEIO!G32),(IF(SA!F10=PRTM!C9,PRTM!L28,"")))))</f>
        <v>6500000</v>
      </c>
      <c r="I8" s="935"/>
      <c r="J8" s="193"/>
      <c r="K8" s="80"/>
    </row>
    <row r="9" spans="1:15" ht="12.75" customHeight="1">
      <c r="A9" s="199" t="str">
        <f>MainSheet!A13</f>
        <v>Basis of Billing:</v>
      </c>
      <c r="B9" s="200"/>
      <c r="C9" s="950" t="str">
        <f>MainSheet!B13</f>
        <v>Fixed Fee</v>
      </c>
      <c r="D9" s="951"/>
      <c r="F9" s="933" t="s">
        <v>306</v>
      </c>
      <c r="G9" s="933"/>
      <c r="H9" s="934">
        <f>H10-H8</f>
        <v>0</v>
      </c>
      <c r="I9" s="935"/>
      <c r="J9" s="193"/>
      <c r="K9" s="80"/>
      <c r="L9" s="146"/>
    </row>
    <row r="10" spans="1:15" ht="15.75" customHeight="1">
      <c r="A10" s="80"/>
      <c r="B10" s="201"/>
      <c r="F10" s="952" t="s">
        <v>307</v>
      </c>
      <c r="G10" s="953"/>
      <c r="H10" s="954">
        <f>IF(SA!F10=PRFIIO!C8,PRFIIO!D32,(IF(SA!F10=PRFEIO!C8,PRFEIO!G41+PRFEIO!H41,(IF(SA!F10=PRTM!C9,PRTM!L24,"")))))</f>
        <v>6500000</v>
      </c>
      <c r="I10" s="955"/>
      <c r="J10" s="193"/>
      <c r="K10" s="190"/>
    </row>
    <row r="11" spans="1:15" ht="11.25" customHeight="1">
      <c r="A11" s="80"/>
      <c r="B11" s="202"/>
      <c r="C11" s="203"/>
      <c r="D11" s="203"/>
      <c r="E11" s="203"/>
      <c r="F11" s="956"/>
      <c r="G11" s="956"/>
      <c r="H11" s="956"/>
      <c r="I11" s="956"/>
      <c r="J11" s="193"/>
      <c r="K11" s="190"/>
      <c r="L11" s="191" t="s">
        <v>308</v>
      </c>
    </row>
    <row r="12" spans="1:15" ht="11.25" customHeight="1">
      <c r="A12" s="80"/>
      <c r="B12" s="204">
        <f>IF(AND(C8&lt;&gt;L6,H10&lt;=0)="FALSE","Missing Fees - please enter data in the 'Fees and Outlays' sheet.",0)</f>
        <v>0</v>
      </c>
      <c r="C12" s="149"/>
      <c r="D12" s="149"/>
      <c r="E12" s="149"/>
      <c r="F12" s="956"/>
      <c r="G12" s="956"/>
      <c r="H12" s="956"/>
      <c r="I12" s="956"/>
      <c r="J12" s="193"/>
      <c r="K12" s="190"/>
      <c r="L12" s="191" t="s">
        <v>309</v>
      </c>
    </row>
    <row r="13" spans="1:15" ht="7.5" customHeight="1">
      <c r="A13" s="80"/>
      <c r="H13" s="204"/>
      <c r="J13" s="193"/>
      <c r="K13" s="190"/>
    </row>
    <row r="14" spans="1:15" ht="11.25" customHeight="1">
      <c r="A14" s="80"/>
      <c r="B14" s="636" t="s">
        <v>310</v>
      </c>
      <c r="C14" s="636"/>
      <c r="E14" s="205"/>
      <c r="F14" s="206"/>
      <c r="G14" s="206"/>
      <c r="H14" s="207"/>
      <c r="I14" s="208"/>
      <c r="J14" s="209"/>
      <c r="K14" s="190"/>
    </row>
    <row r="15" spans="1:15" s="210" customFormat="1" ht="21" customHeight="1">
      <c r="A15" s="637" t="s">
        <v>311</v>
      </c>
      <c r="B15" s="638" t="s">
        <v>312</v>
      </c>
      <c r="C15" s="638" t="s">
        <v>283</v>
      </c>
      <c r="F15" s="947"/>
      <c r="G15" s="947"/>
      <c r="H15" s="947"/>
      <c r="I15" s="947"/>
      <c r="J15" s="211"/>
      <c r="K15" s="212"/>
      <c r="L15" s="213"/>
      <c r="M15" s="213"/>
      <c r="N15" s="213"/>
      <c r="O15" s="213"/>
    </row>
    <row r="16" spans="1:15" ht="15.75" customHeight="1">
      <c r="A16" s="214">
        <v>1</v>
      </c>
      <c r="B16" s="573"/>
      <c r="C16" s="574"/>
      <c r="D16" s="203" t="str">
        <f t="shared" ref="D16:D37" si="0">IF(C16="","",(IF(B16="","Please enter billing date","")))</f>
        <v/>
      </c>
      <c r="I16" s="215"/>
      <c r="J16" s="216"/>
      <c r="K16" s="190"/>
    </row>
    <row r="17" spans="1:15" ht="15.75" customHeight="1">
      <c r="A17" s="217">
        <f>+A16+1</f>
        <v>2</v>
      </c>
      <c r="B17" s="573"/>
      <c r="C17" s="574"/>
      <c r="D17" s="203" t="str">
        <f t="shared" si="0"/>
        <v/>
      </c>
      <c r="F17" s="201">
        <f>IF(C8=L6,"",IF(H10=0,"Missing Fees - please enter data in the 'Fees and Outlays' sheet.",0))</f>
        <v>0</v>
      </c>
      <c r="I17" s="215"/>
      <c r="J17" s="216"/>
      <c r="K17" s="190"/>
    </row>
    <row r="18" spans="1:15" ht="15.75" customHeight="1">
      <c r="A18" s="217">
        <f t="shared" ref="A18:A37" si="1">+A17+1</f>
        <v>3</v>
      </c>
      <c r="B18" s="573"/>
      <c r="C18" s="574"/>
      <c r="D18" s="203" t="str">
        <f t="shared" si="0"/>
        <v/>
      </c>
      <c r="I18" s="215"/>
      <c r="J18" s="216"/>
      <c r="K18" s="190"/>
    </row>
    <row r="19" spans="1:15" ht="15.75" customHeight="1">
      <c r="A19" s="217">
        <f t="shared" si="1"/>
        <v>4</v>
      </c>
      <c r="B19" s="573"/>
      <c r="C19" s="574"/>
      <c r="D19" s="203" t="str">
        <f t="shared" si="0"/>
        <v/>
      </c>
      <c r="F19" s="201" t="str">
        <f>IF(H10&lt;&gt;C38,L11,"")</f>
        <v>Billing Schedule total amount does not match total billable fees</v>
      </c>
      <c r="I19" s="215"/>
      <c r="J19" s="216"/>
      <c r="K19" s="190"/>
    </row>
    <row r="20" spans="1:15" ht="15.75" customHeight="1">
      <c r="A20" s="217">
        <f t="shared" si="1"/>
        <v>5</v>
      </c>
      <c r="B20" s="573"/>
      <c r="C20" s="574"/>
      <c r="D20" s="203" t="str">
        <f t="shared" si="0"/>
        <v/>
      </c>
      <c r="I20" s="215"/>
      <c r="J20" s="216"/>
      <c r="K20" s="190"/>
      <c r="N20" s="218"/>
    </row>
    <row r="21" spans="1:15" ht="15.75" customHeight="1">
      <c r="A21" s="217">
        <f t="shared" si="1"/>
        <v>6</v>
      </c>
      <c r="B21" s="573"/>
      <c r="C21" s="574"/>
      <c r="D21" s="203" t="str">
        <f t="shared" si="0"/>
        <v/>
      </c>
      <c r="I21" s="215"/>
      <c r="J21" s="216"/>
      <c r="K21" s="190"/>
    </row>
    <row r="22" spans="1:15" ht="15.75" customHeight="1">
      <c r="A22" s="217">
        <f t="shared" si="1"/>
        <v>7</v>
      </c>
      <c r="B22" s="573"/>
      <c r="C22" s="574"/>
      <c r="D22" s="203" t="str">
        <f t="shared" si="0"/>
        <v/>
      </c>
      <c r="I22" s="215"/>
      <c r="J22" s="216"/>
      <c r="K22" s="190"/>
    </row>
    <row r="23" spans="1:15" ht="15.75" customHeight="1">
      <c r="A23" s="217">
        <f t="shared" si="1"/>
        <v>8</v>
      </c>
      <c r="B23" s="573"/>
      <c r="C23" s="574"/>
      <c r="D23" s="203" t="str">
        <f t="shared" si="0"/>
        <v/>
      </c>
      <c r="I23" s="215"/>
      <c r="J23" s="216"/>
      <c r="K23" s="190"/>
      <c r="O23" s="219"/>
    </row>
    <row r="24" spans="1:15" ht="15.75" customHeight="1">
      <c r="A24" s="217">
        <f t="shared" si="1"/>
        <v>9</v>
      </c>
      <c r="B24" s="573"/>
      <c r="C24" s="574"/>
      <c r="D24" s="203" t="str">
        <f t="shared" si="0"/>
        <v/>
      </c>
      <c r="I24" s="215"/>
      <c r="J24" s="216"/>
      <c r="K24" s="190"/>
    </row>
    <row r="25" spans="1:15" ht="15.75" customHeight="1">
      <c r="A25" s="217">
        <f t="shared" si="1"/>
        <v>10</v>
      </c>
      <c r="B25" s="573"/>
      <c r="C25" s="574"/>
      <c r="D25" s="203" t="str">
        <f t="shared" si="0"/>
        <v/>
      </c>
      <c r="I25" s="215"/>
      <c r="J25" s="216"/>
      <c r="K25" s="190"/>
      <c r="O25" s="40"/>
    </row>
    <row r="26" spans="1:15" ht="15.75" customHeight="1">
      <c r="A26" s="217">
        <f t="shared" si="1"/>
        <v>11</v>
      </c>
      <c r="B26" s="573"/>
      <c r="C26" s="574"/>
      <c r="D26" s="203" t="str">
        <f t="shared" si="0"/>
        <v/>
      </c>
      <c r="I26" s="215"/>
      <c r="J26" s="216"/>
      <c r="K26" s="190"/>
      <c r="O26" s="40"/>
    </row>
    <row r="27" spans="1:15" ht="15.75" customHeight="1">
      <c r="A27" s="217">
        <f t="shared" si="1"/>
        <v>12</v>
      </c>
      <c r="B27" s="573"/>
      <c r="C27" s="574"/>
      <c r="D27" s="203" t="str">
        <f t="shared" si="0"/>
        <v/>
      </c>
      <c r="I27" s="215"/>
      <c r="J27" s="216"/>
      <c r="K27" s="190"/>
      <c r="O27" s="40"/>
    </row>
    <row r="28" spans="1:15" ht="15.75" customHeight="1">
      <c r="A28" s="217">
        <f t="shared" si="1"/>
        <v>13</v>
      </c>
      <c r="B28" s="573"/>
      <c r="C28" s="574"/>
      <c r="D28" s="203" t="str">
        <f t="shared" si="0"/>
        <v/>
      </c>
      <c r="I28" s="215"/>
      <c r="J28" s="216"/>
      <c r="K28" s="190"/>
    </row>
    <row r="29" spans="1:15" ht="15.75" customHeight="1">
      <c r="A29" s="217">
        <f t="shared" si="1"/>
        <v>14</v>
      </c>
      <c r="B29" s="573"/>
      <c r="C29" s="574"/>
      <c r="D29" s="203" t="str">
        <f t="shared" si="0"/>
        <v/>
      </c>
      <c r="I29" s="215"/>
      <c r="J29" s="216"/>
      <c r="K29" s="190"/>
    </row>
    <row r="30" spans="1:15" ht="15.75" customHeight="1">
      <c r="A30" s="217">
        <f t="shared" si="1"/>
        <v>15</v>
      </c>
      <c r="B30" s="573"/>
      <c r="C30" s="574"/>
      <c r="D30" s="203" t="str">
        <f t="shared" si="0"/>
        <v/>
      </c>
      <c r="E30" s="948"/>
      <c r="F30" s="948"/>
      <c r="G30" s="948"/>
      <c r="H30" s="312"/>
      <c r="I30" s="215"/>
      <c r="J30" s="216"/>
      <c r="K30" s="190"/>
    </row>
    <row r="31" spans="1:15" ht="15.75" customHeight="1">
      <c r="A31" s="217">
        <f t="shared" si="1"/>
        <v>16</v>
      </c>
      <c r="B31" s="573"/>
      <c r="C31" s="574"/>
      <c r="D31" s="203" t="str">
        <f t="shared" si="0"/>
        <v/>
      </c>
      <c r="I31" s="215"/>
      <c r="J31" s="216"/>
      <c r="K31" s="190"/>
    </row>
    <row r="32" spans="1:15" ht="15.75" customHeight="1">
      <c r="A32" s="217">
        <f t="shared" si="1"/>
        <v>17</v>
      </c>
      <c r="B32" s="573"/>
      <c r="C32" s="574"/>
      <c r="D32" s="203" t="str">
        <f t="shared" si="0"/>
        <v/>
      </c>
      <c r="I32" s="215"/>
      <c r="J32" s="216"/>
      <c r="K32" s="190"/>
    </row>
    <row r="33" spans="1:15" ht="15.75" customHeight="1">
      <c r="A33" s="217">
        <f t="shared" si="1"/>
        <v>18</v>
      </c>
      <c r="B33" s="573"/>
      <c r="C33" s="574"/>
      <c r="D33" s="203" t="str">
        <f t="shared" ref="D33:D35" si="2">IF(C33="","",(IF(B33="","Please enter billing date","")))</f>
        <v/>
      </c>
      <c r="I33" s="215"/>
      <c r="J33" s="216"/>
      <c r="K33" s="190"/>
      <c r="O33" s="40"/>
    </row>
    <row r="34" spans="1:15" ht="15.75" customHeight="1">
      <c r="A34" s="217">
        <f t="shared" si="1"/>
        <v>19</v>
      </c>
      <c r="B34" s="573"/>
      <c r="C34" s="574"/>
      <c r="D34" s="203" t="str">
        <f t="shared" si="2"/>
        <v/>
      </c>
      <c r="I34" s="215"/>
      <c r="J34" s="216"/>
      <c r="K34" s="190"/>
      <c r="O34" s="40"/>
    </row>
    <row r="35" spans="1:15" ht="15.75" customHeight="1">
      <c r="A35" s="217">
        <f t="shared" si="1"/>
        <v>20</v>
      </c>
      <c r="B35" s="573"/>
      <c r="C35" s="574"/>
      <c r="D35" s="203" t="str">
        <f t="shared" si="2"/>
        <v/>
      </c>
      <c r="I35" s="215"/>
      <c r="J35" s="216"/>
      <c r="K35" s="190"/>
      <c r="O35" s="40"/>
    </row>
    <row r="36" spans="1:15" ht="15.75" customHeight="1">
      <c r="A36" s="217">
        <f t="shared" si="1"/>
        <v>21</v>
      </c>
      <c r="B36" s="573"/>
      <c r="C36" s="574"/>
      <c r="D36" s="203"/>
      <c r="I36" s="215"/>
      <c r="J36" s="216"/>
      <c r="K36" s="190"/>
      <c r="O36" s="40"/>
    </row>
    <row r="37" spans="1:15" ht="15.75" customHeight="1">
      <c r="A37" s="217">
        <f t="shared" si="1"/>
        <v>22</v>
      </c>
      <c r="B37" s="573"/>
      <c r="C37" s="574"/>
      <c r="D37" s="203" t="str">
        <f t="shared" si="0"/>
        <v/>
      </c>
      <c r="E37" s="948"/>
      <c r="F37" s="948"/>
      <c r="G37" s="948"/>
      <c r="H37" s="312"/>
      <c r="I37" s="215"/>
      <c r="J37" s="216"/>
      <c r="K37" s="190"/>
    </row>
    <row r="38" spans="1:15" ht="22.5" customHeight="1">
      <c r="A38" s="639"/>
      <c r="B38" s="640" t="str">
        <f>"Total "&amp;C7</f>
        <v>Total INR</v>
      </c>
      <c r="C38" s="641">
        <f>SUM(C16:C37)</f>
        <v>0</v>
      </c>
      <c r="E38" s="949"/>
      <c r="F38" s="949"/>
      <c r="G38" s="949"/>
      <c r="H38" s="949"/>
      <c r="I38" s="949"/>
      <c r="J38" s="220"/>
      <c r="K38" s="190"/>
    </row>
    <row r="39" spans="1:15" ht="13.2">
      <c r="A39" s="150"/>
      <c r="B39" s="81"/>
      <c r="C39" s="81"/>
      <c r="D39" s="81"/>
      <c r="E39" s="81"/>
      <c r="F39" s="81"/>
      <c r="G39" s="81"/>
      <c r="H39" s="81"/>
      <c r="I39" s="81"/>
      <c r="J39" s="221"/>
      <c r="K39" s="190"/>
    </row>
    <row r="40" spans="1:15" ht="13.2">
      <c r="E40" s="204" t="s">
        <v>195</v>
      </c>
    </row>
    <row r="41" spans="1:15" ht="13.2">
      <c r="B41" s="576"/>
      <c r="C41" s="40" t="s">
        <v>194</v>
      </c>
      <c r="E41" s="222" t="s">
        <v>199</v>
      </c>
    </row>
    <row r="42" spans="1:15" ht="13.2">
      <c r="B42" s="575"/>
      <c r="C42" s="40" t="s">
        <v>198</v>
      </c>
      <c r="E42" s="222" t="s">
        <v>313</v>
      </c>
    </row>
    <row r="43" spans="1:15" ht="13.2">
      <c r="I43" s="328"/>
    </row>
    <row r="44" spans="1:15" ht="13.2"/>
    <row r="45" spans="1:15" ht="13.2"/>
    <row r="48" spans="1:15" ht="13.2" hidden="1">
      <c r="B48" s="191"/>
      <c r="D48" s="191"/>
      <c r="E48" s="191"/>
      <c r="F48" s="191"/>
      <c r="G48" s="191"/>
      <c r="H48" s="191"/>
      <c r="I48" s="191"/>
    </row>
    <row r="49" spans="2:8" ht="13.2" hidden="1">
      <c r="B49" s="191"/>
      <c r="D49" s="191"/>
      <c r="E49" s="191"/>
      <c r="F49" s="191"/>
      <c r="G49" s="191"/>
      <c r="H49" s="191"/>
    </row>
    <row r="51" spans="2:8" ht="13.2" hidden="1"/>
    <row r="54" spans="2:8" ht="13.2" hidden="1">
      <c r="F54" s="191"/>
    </row>
    <row r="55" spans="2:8" ht="13.2" hidden="1">
      <c r="F55" s="191"/>
    </row>
    <row r="56" spans="2:8" ht="12.75" customHeight="1"/>
    <row r="57" spans="2:8" ht="12.75" customHeight="1"/>
    <row r="58" spans="2:8" ht="12.75" customHeight="1"/>
    <row r="59" spans="2:8" ht="12.75" customHeight="1"/>
    <row r="60" spans="2:8" ht="12.75" customHeight="1"/>
    <row r="61" spans="2:8" ht="12.75" customHeight="1"/>
    <row r="62" spans="2:8" ht="12.75" customHeight="1"/>
    <row r="63" spans="2:8" ht="12.75" customHeight="1"/>
    <row r="64" spans="2:8" ht="12.75" customHeight="1"/>
  </sheetData>
  <sheetProtection algorithmName="SHA-512" hashValue="ywYCBy9CRJWnoRHyS7xc2zDG880U/m48b5frpm2mZUtSdN5BIntLjFnAMEiFS7EjuK3x/ikov8np0M+gx+0xxQ==" saltValue="JX/kK92CKBanHUuZ3Vg7jg==" spinCount="100000" sheet="1" selectLockedCells="1"/>
  <mergeCells count="24">
    <mergeCell ref="F15:I15"/>
    <mergeCell ref="E30:G30"/>
    <mergeCell ref="E38:I38"/>
    <mergeCell ref="C9:D9"/>
    <mergeCell ref="F9:G9"/>
    <mergeCell ref="H9:I9"/>
    <mergeCell ref="F10:G10"/>
    <mergeCell ref="H10:I10"/>
    <mergeCell ref="F11:I12"/>
    <mergeCell ref="E37:G37"/>
    <mergeCell ref="C8:D8"/>
    <mergeCell ref="F8:G8"/>
    <mergeCell ref="H8:I8"/>
    <mergeCell ref="C4:D4"/>
    <mergeCell ref="F4:G4"/>
    <mergeCell ref="H4:I4"/>
    <mergeCell ref="C5:D5"/>
    <mergeCell ref="F5:G5"/>
    <mergeCell ref="H5:I5"/>
    <mergeCell ref="C6:D6"/>
    <mergeCell ref="F6:G6"/>
    <mergeCell ref="H6:I6"/>
    <mergeCell ref="F7:G7"/>
    <mergeCell ref="H7:I7"/>
  </mergeCells>
  <conditionalFormatting sqref="B14:C14">
    <cfRule type="expression" dxfId="31" priority="16" stopIfTrue="1">
      <formula>IF($C$8="Time &amp; Material",1,0)</formula>
    </cfRule>
  </conditionalFormatting>
  <conditionalFormatting sqref="J16:J30 J37:J38">
    <cfRule type="expression" dxfId="30" priority="17" stopIfTrue="1">
      <formula>IF($C$8="Time &amp; Material",1,0)</formula>
    </cfRule>
  </conditionalFormatting>
  <conditionalFormatting sqref="J39">
    <cfRule type="expression" dxfId="29" priority="18" stopIfTrue="1">
      <formula>IF($C$8="Time &amp; Material",1,0)</formula>
    </cfRule>
  </conditionalFormatting>
  <conditionalFormatting sqref="I19:I30 I37">
    <cfRule type="expression" dxfId="28" priority="19" stopIfTrue="1">
      <formula>IF($C$8=$L$6,1,0)</formula>
    </cfRule>
    <cfRule type="expression" dxfId="27" priority="20" stopIfTrue="1">
      <formula>IF($C$8=$L$5,1,0)</formula>
    </cfRule>
  </conditionalFormatting>
  <conditionalFormatting sqref="F11:I12">
    <cfRule type="expression" dxfId="26" priority="21" stopIfTrue="1">
      <formula>"if($C$8=$L$6,1,0)"</formula>
    </cfRule>
  </conditionalFormatting>
  <conditionalFormatting sqref="H30">
    <cfRule type="cellIs" dxfId="25" priority="15" stopIfTrue="1" operator="greaterThan">
      <formula>0</formula>
    </cfRule>
  </conditionalFormatting>
  <conditionalFormatting sqref="J31:J32">
    <cfRule type="expression" dxfId="24" priority="5" stopIfTrue="1">
      <formula>IF($C$8="Time &amp; Material",1,0)</formula>
    </cfRule>
  </conditionalFormatting>
  <conditionalFormatting sqref="I31:I32">
    <cfRule type="expression" dxfId="23" priority="6" stopIfTrue="1">
      <formula>IF($C$8=$L$6,1,0)</formula>
    </cfRule>
    <cfRule type="expression" dxfId="22" priority="7" stopIfTrue="1">
      <formula>IF($C$8=$L$5,1,0)</formula>
    </cfRule>
  </conditionalFormatting>
  <conditionalFormatting sqref="H37">
    <cfRule type="cellIs" dxfId="21" priority="4" stopIfTrue="1" operator="greaterThan">
      <formula>0</formula>
    </cfRule>
  </conditionalFormatting>
  <conditionalFormatting sqref="J33:J36">
    <cfRule type="expression" dxfId="20" priority="1" stopIfTrue="1">
      <formula>IF($C$8="Time &amp; Material",1,0)</formula>
    </cfRule>
  </conditionalFormatting>
  <conditionalFormatting sqref="I33:I36">
    <cfRule type="expression" dxfId="19" priority="2" stopIfTrue="1">
      <formula>IF($C$8=$L$6,1,0)</formula>
    </cfRule>
    <cfRule type="expression" dxfId="18" priority="3" stopIfTrue="1">
      <formula>IF($C$8=$L$5,1,0)</formula>
    </cfRule>
  </conditionalFormatting>
  <dataValidations count="1">
    <dataValidation type="decimal" allowBlank="1" showInputMessage="1" showErrorMessage="1" sqref="I16:I37" xr:uid="{00000000-0002-0000-0700-000000000000}">
      <formula1>0</formula1>
      <formula2>999999999</formula2>
    </dataValidation>
  </dataValidations>
  <pageMargins left="0.75" right="0.75" top="1" bottom="1" header="0.5" footer="0.5"/>
  <pageSetup paperSize="9" scale="81" orientation="landscape" horizontalDpi="300" verticalDpi="300" r:id="rId1"/>
  <headerFooter alignWithMargins="0">
    <oddFooter>&amp;CPage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inSheet">
                <anchor>
                  <from>
                    <xdr:col>3</xdr:col>
                    <xdr:colOff>1196340</xdr:colOff>
                    <xdr:row>0</xdr:row>
                    <xdr:rowOff>53340</xdr:rowOff>
                  </from>
                  <to>
                    <xdr:col>5</xdr:col>
                    <xdr:colOff>480060</xdr:colOff>
                    <xdr:row>2</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1000000}">
          <x14:formula1>
            <xm:f>'Ref1'!$F$279:$F$286</xm:f>
          </x14:formula1>
          <xm:sqref>H7:I7</xm:sqref>
        </x14:dataValidation>
        <x14:dataValidation type="date" allowBlank="1" showInputMessage="1" showErrorMessage="1" errorTitle="ERROR :  Date Range " error="Please select a Billing Date within the Start &amp; End date selected on the Mainsheet._x000a__x000a_OR_x000a__x000a_Please revisit to revise the Project Start &amp; End date stated on the Mainsheet." xr:uid="{00000000-0002-0000-0700-000002000000}">
          <x14:formula1>
            <xm:f>MainSheet!$G$6</xm:f>
          </x14:formula1>
          <x14:formula2>
            <xm:f>MainSheet!$I$6</xm:f>
          </x14:formula2>
          <xm:sqref>B16:B37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J510"/>
  <sheetViews>
    <sheetView topLeftCell="B298" zoomScale="85" zoomScaleNormal="85" workbookViewId="0">
      <selection activeCell="G301" sqref="G301"/>
    </sheetView>
  </sheetViews>
  <sheetFormatPr defaultColWidth="9.109375" defaultRowHeight="10.199999999999999" outlineLevelRow="1"/>
  <cols>
    <col min="1" max="1" width="9.109375" style="42"/>
    <col min="2" max="2" width="9.109375" style="42" customWidth="1"/>
    <col min="3" max="3" width="51.6640625" style="42" bestFit="1" customWidth="1"/>
    <col min="4" max="4" width="59" style="42" bestFit="1" customWidth="1"/>
    <col min="5" max="5" width="71.6640625" style="42" bestFit="1" customWidth="1"/>
    <col min="6" max="6" width="69.6640625" style="42" bestFit="1" customWidth="1"/>
    <col min="7" max="7" width="39.33203125" style="42" bestFit="1" customWidth="1"/>
    <col min="8" max="8" width="32.33203125" style="42" customWidth="1"/>
    <col min="9" max="9" width="9.109375" style="42"/>
    <col min="10" max="10" width="53.6640625" style="42" bestFit="1" customWidth="1"/>
    <col min="11" max="16384" width="9.109375" style="42"/>
  </cols>
  <sheetData>
    <row r="1" spans="1:8" ht="10.8" thickBot="1">
      <c r="A1" s="957" t="s">
        <v>314</v>
      </c>
      <c r="B1" s="958"/>
      <c r="C1" s="958"/>
      <c r="D1" s="958"/>
      <c r="E1" s="958"/>
      <c r="F1" s="958"/>
      <c r="G1" s="958"/>
      <c r="H1" s="959"/>
    </row>
    <row r="2" spans="1:8" outlineLevel="1"/>
    <row r="3" spans="1:8" outlineLevel="1">
      <c r="A3" s="42">
        <v>1</v>
      </c>
      <c r="C3" s="42" t="str">
        <f>MainSheet!G7</f>
        <v>Enterprise Risk Management</v>
      </c>
      <c r="G3" s="42" t="str">
        <f>IF('New WIns'!C11=0,"",'New WIns'!C11)</f>
        <v>Agreed upon procedures</v>
      </c>
    </row>
    <row r="4" spans="1:8" outlineLevel="1">
      <c r="B4" s="43"/>
    </row>
    <row r="5" spans="1:8" outlineLevel="1">
      <c r="C5" s="44"/>
      <c r="D5" s="44"/>
      <c r="E5" s="44"/>
      <c r="F5" s="44"/>
      <c r="G5" s="44"/>
    </row>
    <row r="6" spans="1:8" outlineLevel="1">
      <c r="A6" s="42">
        <v>2</v>
      </c>
      <c r="C6" s="45" t="s">
        <v>315</v>
      </c>
      <c r="D6" s="46" t="s">
        <v>316</v>
      </c>
      <c r="E6" s="46"/>
      <c r="F6" s="46"/>
      <c r="G6" s="47"/>
    </row>
    <row r="7" spans="1:8" outlineLevel="1">
      <c r="A7" s="42">
        <f>+A6+1</f>
        <v>3</v>
      </c>
      <c r="C7" s="45" t="s">
        <v>317</v>
      </c>
      <c r="D7" s="46" t="s">
        <v>318</v>
      </c>
      <c r="E7" s="46"/>
      <c r="F7" s="46"/>
      <c r="G7" s="47"/>
    </row>
    <row r="8" spans="1:8" outlineLevel="1">
      <c r="A8" s="42">
        <f t="shared" ref="A8:A71" si="0">+A7+1</f>
        <v>4</v>
      </c>
      <c r="C8" s="45" t="s">
        <v>319</v>
      </c>
      <c r="D8" s="46" t="s">
        <v>320</v>
      </c>
      <c r="E8" s="46"/>
      <c r="F8" s="46"/>
      <c r="G8" s="47"/>
    </row>
    <row r="9" spans="1:8" outlineLevel="1">
      <c r="A9" s="42">
        <f t="shared" si="0"/>
        <v>5</v>
      </c>
      <c r="C9" s="45" t="s">
        <v>321</v>
      </c>
      <c r="D9" s="46" t="s">
        <v>322</v>
      </c>
      <c r="E9" s="46"/>
      <c r="F9" s="46"/>
      <c r="G9" s="47"/>
    </row>
    <row r="10" spans="1:8" outlineLevel="1">
      <c r="A10" s="42">
        <f t="shared" si="0"/>
        <v>6</v>
      </c>
      <c r="C10" s="45" t="s">
        <v>323</v>
      </c>
      <c r="D10" s="46" t="s">
        <v>324</v>
      </c>
      <c r="E10" s="46"/>
      <c r="F10" s="46"/>
      <c r="G10" s="47"/>
    </row>
    <row r="11" spans="1:8" outlineLevel="1">
      <c r="A11" s="42">
        <f t="shared" si="0"/>
        <v>7</v>
      </c>
      <c r="C11" s="45" t="s">
        <v>325</v>
      </c>
      <c r="D11" s="46" t="s">
        <v>326</v>
      </c>
      <c r="E11" s="46"/>
      <c r="F11" s="46"/>
      <c r="G11" s="47"/>
    </row>
    <row r="12" spans="1:8" outlineLevel="1">
      <c r="A12" s="42">
        <f t="shared" si="0"/>
        <v>8</v>
      </c>
      <c r="C12" s="46" t="s">
        <v>327</v>
      </c>
      <c r="D12" s="46" t="s">
        <v>328</v>
      </c>
      <c r="E12" s="46"/>
      <c r="F12" s="46"/>
      <c r="G12" s="47"/>
    </row>
    <row r="13" spans="1:8" outlineLevel="1">
      <c r="A13" s="42">
        <f t="shared" si="0"/>
        <v>9</v>
      </c>
      <c r="C13" s="46" t="s">
        <v>329</v>
      </c>
      <c r="D13" s="46" t="s">
        <v>330</v>
      </c>
      <c r="E13" s="46"/>
      <c r="F13" s="46"/>
      <c r="G13" s="47"/>
    </row>
    <row r="14" spans="1:8" outlineLevel="1">
      <c r="A14" s="42">
        <f t="shared" si="0"/>
        <v>10</v>
      </c>
      <c r="C14" s="46" t="s">
        <v>331</v>
      </c>
      <c r="D14" s="46" t="s">
        <v>320</v>
      </c>
      <c r="E14" s="46"/>
      <c r="F14" s="46"/>
      <c r="G14" s="47"/>
    </row>
    <row r="15" spans="1:8" outlineLevel="1">
      <c r="A15" s="42">
        <f t="shared" si="0"/>
        <v>11</v>
      </c>
      <c r="C15" s="45" t="s">
        <v>332</v>
      </c>
      <c r="D15" s="46" t="s">
        <v>333</v>
      </c>
      <c r="E15" s="46"/>
      <c r="F15" s="46"/>
      <c r="G15" s="47"/>
    </row>
    <row r="16" spans="1:8" outlineLevel="1">
      <c r="A16" s="42">
        <f t="shared" si="0"/>
        <v>12</v>
      </c>
      <c r="C16" s="45" t="s">
        <v>334</v>
      </c>
      <c r="D16" s="46" t="s">
        <v>335</v>
      </c>
      <c r="E16" s="46"/>
      <c r="F16" s="46"/>
      <c r="G16" s="47"/>
    </row>
    <row r="17" spans="1:7" outlineLevel="1">
      <c r="A17" s="42">
        <f t="shared" si="0"/>
        <v>13</v>
      </c>
      <c r="C17" s="45" t="s">
        <v>336</v>
      </c>
      <c r="D17" s="46" t="s">
        <v>318</v>
      </c>
      <c r="E17" s="46"/>
      <c r="F17" s="46"/>
      <c r="G17" s="47"/>
    </row>
    <row r="18" spans="1:7" outlineLevel="1">
      <c r="A18" s="42">
        <f t="shared" si="0"/>
        <v>14</v>
      </c>
      <c r="C18" s="45" t="s">
        <v>337</v>
      </c>
      <c r="D18" s="46" t="s">
        <v>338</v>
      </c>
      <c r="E18" s="46"/>
      <c r="F18" s="46"/>
      <c r="G18" s="47"/>
    </row>
    <row r="19" spans="1:7" outlineLevel="1">
      <c r="A19" s="42">
        <f t="shared" si="0"/>
        <v>15</v>
      </c>
      <c r="C19" s="45" t="s">
        <v>339</v>
      </c>
      <c r="D19" s="46" t="s">
        <v>340</v>
      </c>
      <c r="E19" s="46"/>
      <c r="F19" s="46"/>
      <c r="G19" s="47"/>
    </row>
    <row r="20" spans="1:7" outlineLevel="1">
      <c r="A20" s="42">
        <f t="shared" si="0"/>
        <v>16</v>
      </c>
      <c r="C20" s="45" t="s">
        <v>341</v>
      </c>
      <c r="D20" s="46" t="s">
        <v>342</v>
      </c>
      <c r="E20" s="46"/>
      <c r="F20" s="46"/>
      <c r="G20" s="47"/>
    </row>
    <row r="21" spans="1:7" outlineLevel="1">
      <c r="A21" s="42">
        <f t="shared" si="0"/>
        <v>17</v>
      </c>
      <c r="C21" s="46" t="s">
        <v>343</v>
      </c>
      <c r="D21" s="46" t="s">
        <v>344</v>
      </c>
      <c r="E21" s="46"/>
      <c r="F21" s="46"/>
      <c r="G21" s="47"/>
    </row>
    <row r="22" spans="1:7" outlineLevel="1">
      <c r="A22" s="42">
        <f t="shared" si="0"/>
        <v>18</v>
      </c>
      <c r="C22" s="45" t="s">
        <v>345</v>
      </c>
      <c r="D22" s="46" t="s">
        <v>346</v>
      </c>
      <c r="E22" s="46"/>
      <c r="F22" s="46"/>
      <c r="G22" s="47"/>
    </row>
    <row r="23" spans="1:7" outlineLevel="1">
      <c r="A23" s="42">
        <f t="shared" si="0"/>
        <v>19</v>
      </c>
      <c r="C23" s="45" t="s">
        <v>347</v>
      </c>
      <c r="D23" s="46" t="s">
        <v>340</v>
      </c>
      <c r="E23" s="46"/>
      <c r="F23" s="46"/>
      <c r="G23" s="47"/>
    </row>
    <row r="24" spans="1:7" outlineLevel="1">
      <c r="A24" s="42">
        <f t="shared" si="0"/>
        <v>20</v>
      </c>
      <c r="C24" s="45" t="s">
        <v>348</v>
      </c>
      <c r="D24" s="46" t="s">
        <v>340</v>
      </c>
      <c r="E24" s="46"/>
      <c r="F24" s="46"/>
      <c r="G24" s="47"/>
    </row>
    <row r="25" spans="1:7" outlineLevel="1">
      <c r="A25" s="42">
        <f t="shared" si="0"/>
        <v>21</v>
      </c>
      <c r="C25" s="45" t="s">
        <v>349</v>
      </c>
      <c r="D25" s="46" t="s">
        <v>320</v>
      </c>
      <c r="E25" s="46"/>
      <c r="F25" s="46"/>
      <c r="G25" s="47"/>
    </row>
    <row r="26" spans="1:7" outlineLevel="1">
      <c r="A26" s="42">
        <f t="shared" si="0"/>
        <v>22</v>
      </c>
      <c r="C26" s="46" t="s">
        <v>350</v>
      </c>
      <c r="D26" s="46" t="s">
        <v>346</v>
      </c>
      <c r="E26" s="46"/>
      <c r="F26" s="46"/>
      <c r="G26" s="47"/>
    </row>
    <row r="27" spans="1:7" outlineLevel="1">
      <c r="A27" s="42">
        <f t="shared" si="0"/>
        <v>23</v>
      </c>
      <c r="C27" s="45" t="s">
        <v>351</v>
      </c>
      <c r="D27" s="46" t="s">
        <v>344</v>
      </c>
      <c r="E27" s="46"/>
      <c r="F27" s="46"/>
      <c r="G27" s="47"/>
    </row>
    <row r="28" spans="1:7" outlineLevel="1">
      <c r="A28" s="42">
        <f t="shared" si="0"/>
        <v>24</v>
      </c>
      <c r="C28" s="45" t="s">
        <v>352</v>
      </c>
      <c r="D28" s="46" t="s">
        <v>320</v>
      </c>
      <c r="E28" s="46"/>
      <c r="F28" s="46"/>
      <c r="G28" s="47"/>
    </row>
    <row r="29" spans="1:7" outlineLevel="1">
      <c r="A29" s="42">
        <f t="shared" si="0"/>
        <v>25</v>
      </c>
      <c r="C29" s="45" t="s">
        <v>353</v>
      </c>
      <c r="D29" s="46" t="s">
        <v>354</v>
      </c>
      <c r="E29" s="46"/>
      <c r="F29" s="46"/>
      <c r="G29" s="47"/>
    </row>
    <row r="30" spans="1:7" outlineLevel="1">
      <c r="A30" s="42">
        <f t="shared" si="0"/>
        <v>26</v>
      </c>
      <c r="B30" s="42" t="str">
        <f t="shared" ref="B30:B64" si="1">(IF(B29="","",IF(HLOOKUP($B$5,$C$5:$G$64,A30,)=0,"",HLOOKUP($B$5,$C$5:$G$64,A30,))))</f>
        <v/>
      </c>
      <c r="C30" s="45" t="s">
        <v>355</v>
      </c>
      <c r="D30" s="46" t="s">
        <v>326</v>
      </c>
      <c r="E30" s="46"/>
      <c r="F30" s="46"/>
      <c r="G30" s="47"/>
    </row>
    <row r="31" spans="1:7" outlineLevel="1">
      <c r="A31" s="42">
        <f t="shared" si="0"/>
        <v>27</v>
      </c>
      <c r="B31" s="42" t="str">
        <f t="shared" si="1"/>
        <v/>
      </c>
      <c r="C31" s="45" t="s">
        <v>356</v>
      </c>
      <c r="D31" s="45" t="s">
        <v>357</v>
      </c>
      <c r="E31" s="46"/>
      <c r="F31" s="46"/>
      <c r="G31" s="47"/>
    </row>
    <row r="32" spans="1:7" outlineLevel="1">
      <c r="A32" s="42">
        <f t="shared" si="0"/>
        <v>28</v>
      </c>
      <c r="B32" s="42" t="str">
        <f t="shared" si="1"/>
        <v/>
      </c>
      <c r="C32" s="45" t="s">
        <v>358</v>
      </c>
      <c r="D32" s="45" t="s">
        <v>326</v>
      </c>
      <c r="E32" s="46"/>
      <c r="F32" s="46"/>
      <c r="G32" s="47"/>
    </row>
    <row r="33" spans="1:7" outlineLevel="1">
      <c r="A33" s="42">
        <f t="shared" si="0"/>
        <v>29</v>
      </c>
      <c r="B33" s="42" t="str">
        <f t="shared" si="1"/>
        <v/>
      </c>
      <c r="C33" s="45" t="s">
        <v>359</v>
      </c>
      <c r="D33" s="45" t="s">
        <v>360</v>
      </c>
      <c r="E33" s="46"/>
      <c r="F33" s="46"/>
      <c r="G33" s="47"/>
    </row>
    <row r="34" spans="1:7" outlineLevel="1">
      <c r="A34" s="42">
        <f t="shared" si="0"/>
        <v>30</v>
      </c>
      <c r="B34" s="42" t="str">
        <f t="shared" si="1"/>
        <v/>
      </c>
      <c r="C34" s="45" t="s">
        <v>361</v>
      </c>
      <c r="D34" s="45" t="s">
        <v>316</v>
      </c>
      <c r="E34" s="45"/>
      <c r="F34" s="46"/>
      <c r="G34" s="47"/>
    </row>
    <row r="35" spans="1:7" outlineLevel="1">
      <c r="A35" s="42">
        <f t="shared" si="0"/>
        <v>31</v>
      </c>
      <c r="B35" s="42" t="str">
        <f t="shared" si="1"/>
        <v/>
      </c>
      <c r="C35" s="45" t="s">
        <v>362</v>
      </c>
      <c r="D35" s="45" t="s">
        <v>363</v>
      </c>
      <c r="E35" s="45"/>
      <c r="F35" s="46"/>
      <c r="G35" s="47"/>
    </row>
    <row r="36" spans="1:7" outlineLevel="1">
      <c r="A36" s="42">
        <f t="shared" si="0"/>
        <v>32</v>
      </c>
      <c r="B36" s="42" t="str">
        <f t="shared" si="1"/>
        <v/>
      </c>
      <c r="C36" s="45" t="s">
        <v>364</v>
      </c>
      <c r="D36" s="45" t="s">
        <v>330</v>
      </c>
      <c r="E36" s="45"/>
      <c r="F36" s="46"/>
      <c r="G36" s="47"/>
    </row>
    <row r="37" spans="1:7" outlineLevel="1">
      <c r="A37" s="42">
        <f t="shared" si="0"/>
        <v>33</v>
      </c>
      <c r="B37" s="42" t="str">
        <f t="shared" si="1"/>
        <v/>
      </c>
      <c r="C37" s="45" t="s">
        <v>365</v>
      </c>
      <c r="D37" s="45" t="s">
        <v>363</v>
      </c>
      <c r="E37" s="45"/>
      <c r="F37" s="46"/>
      <c r="G37" s="47"/>
    </row>
    <row r="38" spans="1:7" outlineLevel="1">
      <c r="A38" s="42">
        <f t="shared" si="0"/>
        <v>34</v>
      </c>
      <c r="B38" s="42" t="str">
        <f t="shared" si="1"/>
        <v/>
      </c>
      <c r="C38" s="45" t="s">
        <v>366</v>
      </c>
      <c r="D38" s="45" t="s">
        <v>363</v>
      </c>
      <c r="E38" s="45"/>
      <c r="F38" s="46"/>
      <c r="G38" s="47"/>
    </row>
    <row r="39" spans="1:7" outlineLevel="1">
      <c r="A39" s="42">
        <f t="shared" si="0"/>
        <v>35</v>
      </c>
      <c r="B39" s="42" t="str">
        <f t="shared" si="1"/>
        <v/>
      </c>
      <c r="C39" s="45" t="s">
        <v>367</v>
      </c>
      <c r="D39" s="45" t="s">
        <v>342</v>
      </c>
      <c r="E39" s="45"/>
      <c r="F39" s="46"/>
      <c r="G39" s="47"/>
    </row>
    <row r="40" spans="1:7" outlineLevel="1">
      <c r="A40" s="42">
        <f t="shared" si="0"/>
        <v>36</v>
      </c>
      <c r="B40" s="42" t="str">
        <f t="shared" si="1"/>
        <v/>
      </c>
      <c r="C40" s="45" t="s">
        <v>368</v>
      </c>
      <c r="D40" s="45" t="s">
        <v>342</v>
      </c>
      <c r="E40" s="45"/>
      <c r="F40" s="46"/>
      <c r="G40" s="47"/>
    </row>
    <row r="41" spans="1:7" outlineLevel="1">
      <c r="A41" s="42">
        <f t="shared" si="0"/>
        <v>37</v>
      </c>
      <c r="B41" s="42" t="str">
        <f t="shared" si="1"/>
        <v/>
      </c>
      <c r="C41" s="45" t="s">
        <v>369</v>
      </c>
      <c r="D41" s="45" t="s">
        <v>328</v>
      </c>
      <c r="E41" s="45"/>
      <c r="F41" s="46"/>
      <c r="G41" s="47"/>
    </row>
    <row r="42" spans="1:7" outlineLevel="1">
      <c r="A42" s="42">
        <f t="shared" si="0"/>
        <v>38</v>
      </c>
      <c r="B42" s="42" t="str">
        <f t="shared" si="1"/>
        <v/>
      </c>
      <c r="C42" s="45" t="s">
        <v>370</v>
      </c>
      <c r="D42" s="45" t="s">
        <v>316</v>
      </c>
      <c r="E42" s="45"/>
      <c r="F42" s="46"/>
      <c r="G42" s="47"/>
    </row>
    <row r="43" spans="1:7" outlineLevel="1">
      <c r="A43" s="42">
        <f t="shared" si="0"/>
        <v>39</v>
      </c>
      <c r="B43" s="42" t="str">
        <f t="shared" si="1"/>
        <v/>
      </c>
      <c r="C43" s="45" t="s">
        <v>371</v>
      </c>
      <c r="D43" s="45" t="s">
        <v>372</v>
      </c>
      <c r="E43" s="45"/>
      <c r="F43" s="46"/>
      <c r="G43" s="47"/>
    </row>
    <row r="44" spans="1:7" outlineLevel="1">
      <c r="A44" s="42">
        <f t="shared" si="0"/>
        <v>40</v>
      </c>
      <c r="B44" s="42" t="str">
        <f t="shared" si="1"/>
        <v/>
      </c>
      <c r="C44" s="45" t="s">
        <v>373</v>
      </c>
      <c r="D44" s="45" t="s">
        <v>374</v>
      </c>
      <c r="E44" s="45"/>
      <c r="F44" s="46"/>
      <c r="G44" s="47"/>
    </row>
    <row r="45" spans="1:7" outlineLevel="1">
      <c r="A45" s="42">
        <f t="shared" si="0"/>
        <v>41</v>
      </c>
      <c r="B45" s="42" t="str">
        <f t="shared" si="1"/>
        <v/>
      </c>
      <c r="C45" s="45" t="s">
        <v>375</v>
      </c>
      <c r="D45" s="45" t="s">
        <v>376</v>
      </c>
      <c r="E45" s="45"/>
      <c r="F45" s="46"/>
      <c r="G45" s="47"/>
    </row>
    <row r="46" spans="1:7" outlineLevel="1">
      <c r="A46" s="42">
        <f t="shared" si="0"/>
        <v>42</v>
      </c>
      <c r="B46" s="42" t="str">
        <f t="shared" si="1"/>
        <v/>
      </c>
      <c r="C46" s="45" t="s">
        <v>377</v>
      </c>
      <c r="D46" s="45" t="s">
        <v>374</v>
      </c>
      <c r="E46" s="45"/>
      <c r="F46" s="46"/>
      <c r="G46" s="47"/>
    </row>
    <row r="47" spans="1:7" outlineLevel="1">
      <c r="A47" s="42">
        <f t="shared" si="0"/>
        <v>43</v>
      </c>
      <c r="B47" s="42" t="str">
        <f t="shared" si="1"/>
        <v/>
      </c>
      <c r="C47" s="45" t="s">
        <v>378</v>
      </c>
      <c r="D47" s="45" t="s">
        <v>342</v>
      </c>
      <c r="E47" s="45"/>
      <c r="F47" s="46"/>
      <c r="G47" s="47"/>
    </row>
    <row r="48" spans="1:7" outlineLevel="1">
      <c r="A48" s="42">
        <f t="shared" si="0"/>
        <v>44</v>
      </c>
      <c r="B48" s="42" t="str">
        <f t="shared" si="1"/>
        <v/>
      </c>
      <c r="C48" s="45" t="s">
        <v>379</v>
      </c>
      <c r="D48" s="45" t="s">
        <v>376</v>
      </c>
      <c r="E48" s="45"/>
      <c r="F48" s="46"/>
      <c r="G48" s="47"/>
    </row>
    <row r="49" spans="1:7" outlineLevel="1">
      <c r="A49" s="42">
        <f t="shared" si="0"/>
        <v>45</v>
      </c>
      <c r="B49" s="42" t="str">
        <f t="shared" si="1"/>
        <v/>
      </c>
      <c r="C49" s="45" t="s">
        <v>380</v>
      </c>
      <c r="D49" s="45" t="s">
        <v>344</v>
      </c>
      <c r="E49" s="45"/>
      <c r="F49" s="46"/>
      <c r="G49" s="47"/>
    </row>
    <row r="50" spans="1:7" outlineLevel="1">
      <c r="A50" s="42">
        <f t="shared" si="0"/>
        <v>46</v>
      </c>
      <c r="B50" s="42" t="str">
        <f t="shared" si="1"/>
        <v/>
      </c>
      <c r="C50" s="45" t="s">
        <v>381</v>
      </c>
      <c r="D50" s="45" t="s">
        <v>344</v>
      </c>
      <c r="E50" s="45"/>
      <c r="F50" s="46"/>
      <c r="G50" s="47"/>
    </row>
    <row r="51" spans="1:7" outlineLevel="1">
      <c r="A51" s="42">
        <f t="shared" si="0"/>
        <v>47</v>
      </c>
      <c r="B51" s="42" t="str">
        <f t="shared" si="1"/>
        <v/>
      </c>
      <c r="C51" s="45" t="s">
        <v>382</v>
      </c>
      <c r="D51" s="45" t="s">
        <v>372</v>
      </c>
      <c r="E51" s="45"/>
      <c r="F51" s="46"/>
      <c r="G51" s="47"/>
    </row>
    <row r="52" spans="1:7" outlineLevel="1">
      <c r="A52" s="42">
        <f t="shared" si="0"/>
        <v>48</v>
      </c>
      <c r="B52" s="42" t="str">
        <f t="shared" si="1"/>
        <v/>
      </c>
      <c r="C52" s="45" t="s">
        <v>383</v>
      </c>
      <c r="D52" s="45" t="s">
        <v>338</v>
      </c>
      <c r="E52" s="45"/>
      <c r="F52" s="46"/>
      <c r="G52" s="47"/>
    </row>
    <row r="53" spans="1:7" outlineLevel="1">
      <c r="A53" s="42">
        <f t="shared" si="0"/>
        <v>49</v>
      </c>
      <c r="B53" s="42" t="str">
        <f t="shared" si="1"/>
        <v/>
      </c>
      <c r="C53" s="45" t="s">
        <v>384</v>
      </c>
      <c r="D53" s="45" t="s">
        <v>328</v>
      </c>
      <c r="E53" s="45"/>
      <c r="F53" s="46"/>
      <c r="G53" s="47"/>
    </row>
    <row r="54" spans="1:7" outlineLevel="1">
      <c r="A54" s="42">
        <f t="shared" si="0"/>
        <v>50</v>
      </c>
      <c r="B54" s="42" t="str">
        <f t="shared" si="1"/>
        <v/>
      </c>
      <c r="C54" s="45" t="s">
        <v>385</v>
      </c>
      <c r="D54" s="45" t="s">
        <v>330</v>
      </c>
      <c r="E54" s="45"/>
      <c r="F54" s="46"/>
      <c r="G54" s="47"/>
    </row>
    <row r="55" spans="1:7" outlineLevel="1">
      <c r="A55" s="42">
        <f t="shared" si="0"/>
        <v>51</v>
      </c>
      <c r="B55" s="42" t="str">
        <f t="shared" si="1"/>
        <v/>
      </c>
      <c r="C55" s="45" t="s">
        <v>386</v>
      </c>
      <c r="D55" s="45" t="s">
        <v>328</v>
      </c>
      <c r="E55" s="45"/>
      <c r="F55" s="46"/>
      <c r="G55" s="47"/>
    </row>
    <row r="56" spans="1:7" outlineLevel="1">
      <c r="A56" s="42">
        <f t="shared" si="0"/>
        <v>52</v>
      </c>
      <c r="B56" s="42" t="str">
        <f t="shared" si="1"/>
        <v/>
      </c>
      <c r="C56" s="46" t="s">
        <v>387</v>
      </c>
      <c r="D56" s="45" t="s">
        <v>388</v>
      </c>
      <c r="E56" s="45"/>
      <c r="F56" s="46"/>
      <c r="G56" s="47"/>
    </row>
    <row r="57" spans="1:7" outlineLevel="1">
      <c r="A57" s="42">
        <f t="shared" si="0"/>
        <v>53</v>
      </c>
      <c r="B57" s="42" t="str">
        <f t="shared" si="1"/>
        <v/>
      </c>
      <c r="C57" s="45" t="s">
        <v>389</v>
      </c>
      <c r="D57" s="45" t="s">
        <v>328</v>
      </c>
      <c r="E57" s="45"/>
      <c r="F57" s="46"/>
      <c r="G57" s="47"/>
    </row>
    <row r="58" spans="1:7" outlineLevel="1">
      <c r="A58" s="42">
        <f t="shared" si="0"/>
        <v>54</v>
      </c>
      <c r="B58" s="42" t="str">
        <f t="shared" si="1"/>
        <v/>
      </c>
      <c r="C58" s="45" t="s">
        <v>390</v>
      </c>
      <c r="D58" s="45" t="s">
        <v>354</v>
      </c>
      <c r="E58" s="45"/>
      <c r="F58" s="46"/>
      <c r="G58" s="47"/>
    </row>
    <row r="59" spans="1:7" outlineLevel="1">
      <c r="A59" s="42">
        <f t="shared" si="0"/>
        <v>55</v>
      </c>
      <c r="B59" s="42" t="str">
        <f t="shared" si="1"/>
        <v/>
      </c>
      <c r="C59" s="45" t="s">
        <v>391</v>
      </c>
      <c r="D59" s="45" t="s">
        <v>391</v>
      </c>
      <c r="E59" s="45"/>
      <c r="F59" s="46"/>
      <c r="G59" s="47"/>
    </row>
    <row r="60" spans="1:7" outlineLevel="1">
      <c r="A60" s="42">
        <f t="shared" si="0"/>
        <v>56</v>
      </c>
      <c r="B60" s="42" t="str">
        <f t="shared" si="1"/>
        <v/>
      </c>
      <c r="C60" s="45" t="s">
        <v>392</v>
      </c>
      <c r="D60" s="45" t="s">
        <v>392</v>
      </c>
      <c r="E60" s="45"/>
      <c r="F60" s="46"/>
      <c r="G60" s="47"/>
    </row>
    <row r="61" spans="1:7" outlineLevel="1">
      <c r="A61" s="42">
        <f t="shared" si="0"/>
        <v>57</v>
      </c>
      <c r="B61" s="42" t="str">
        <f t="shared" si="1"/>
        <v/>
      </c>
      <c r="C61" s="45" t="s">
        <v>393</v>
      </c>
      <c r="D61" s="45" t="s">
        <v>354</v>
      </c>
      <c r="E61" s="45"/>
      <c r="F61" s="45"/>
      <c r="G61" s="47"/>
    </row>
    <row r="62" spans="1:7" outlineLevel="1">
      <c r="A62" s="42">
        <f t="shared" si="0"/>
        <v>58</v>
      </c>
      <c r="B62" s="42" t="str">
        <f t="shared" si="1"/>
        <v/>
      </c>
      <c r="C62" s="45" t="s">
        <v>394</v>
      </c>
      <c r="D62" s="45" t="s">
        <v>395</v>
      </c>
      <c r="E62" s="45"/>
      <c r="F62" s="45"/>
      <c r="G62" s="47"/>
    </row>
    <row r="63" spans="1:7" outlineLevel="1">
      <c r="A63" s="42">
        <f t="shared" si="0"/>
        <v>59</v>
      </c>
      <c r="B63" s="42" t="str">
        <f t="shared" si="1"/>
        <v/>
      </c>
      <c r="C63" s="45" t="s">
        <v>396</v>
      </c>
      <c r="D63" s="45" t="s">
        <v>360</v>
      </c>
      <c r="E63" s="45"/>
      <c r="F63" s="45"/>
      <c r="G63" s="47"/>
    </row>
    <row r="64" spans="1:7" outlineLevel="1">
      <c r="A64" s="42">
        <f t="shared" si="0"/>
        <v>60</v>
      </c>
      <c r="B64" s="42" t="str">
        <f t="shared" si="1"/>
        <v/>
      </c>
      <c r="C64" s="45" t="s">
        <v>397</v>
      </c>
      <c r="D64" s="45" t="s">
        <v>342</v>
      </c>
      <c r="E64" s="45"/>
      <c r="F64" s="45"/>
      <c r="G64" s="47"/>
    </row>
    <row r="65" spans="1:7" outlineLevel="1">
      <c r="A65" s="42">
        <f t="shared" si="0"/>
        <v>61</v>
      </c>
      <c r="C65" s="46" t="s">
        <v>398</v>
      </c>
      <c r="D65" s="45" t="s">
        <v>320</v>
      </c>
      <c r="E65" s="45"/>
      <c r="F65" s="45"/>
      <c r="G65" s="47"/>
    </row>
    <row r="66" spans="1:7" outlineLevel="1">
      <c r="A66" s="42">
        <f t="shared" si="0"/>
        <v>62</v>
      </c>
      <c r="C66" s="45" t="s">
        <v>399</v>
      </c>
      <c r="D66" s="45" t="s">
        <v>400</v>
      </c>
      <c r="E66" s="45"/>
      <c r="F66" s="45"/>
      <c r="G66" s="47"/>
    </row>
    <row r="67" spans="1:7" outlineLevel="1">
      <c r="A67" s="42">
        <f t="shared" si="0"/>
        <v>63</v>
      </c>
      <c r="C67" s="45" t="s">
        <v>401</v>
      </c>
      <c r="D67" s="45" t="s">
        <v>360</v>
      </c>
      <c r="E67" s="45"/>
      <c r="F67" s="45"/>
      <c r="G67" s="47"/>
    </row>
    <row r="68" spans="1:7" outlineLevel="1">
      <c r="A68" s="42">
        <f t="shared" si="0"/>
        <v>64</v>
      </c>
      <c r="C68" s="45" t="s">
        <v>402</v>
      </c>
      <c r="D68" s="45" t="s">
        <v>322</v>
      </c>
      <c r="E68" s="45"/>
      <c r="F68" s="45"/>
      <c r="G68" s="47"/>
    </row>
    <row r="69" spans="1:7" outlineLevel="1">
      <c r="A69" s="42">
        <f t="shared" si="0"/>
        <v>65</v>
      </c>
      <c r="C69" s="45" t="s">
        <v>403</v>
      </c>
      <c r="D69" s="45" t="s">
        <v>395</v>
      </c>
      <c r="E69" s="45"/>
      <c r="F69" s="45"/>
      <c r="G69" s="47"/>
    </row>
    <row r="70" spans="1:7" outlineLevel="1">
      <c r="A70" s="42">
        <f t="shared" si="0"/>
        <v>66</v>
      </c>
      <c r="C70" s="45" t="s">
        <v>404</v>
      </c>
      <c r="D70" s="45" t="s">
        <v>335</v>
      </c>
      <c r="E70" s="45"/>
      <c r="F70" s="45"/>
      <c r="G70" s="47"/>
    </row>
    <row r="71" spans="1:7" outlineLevel="1">
      <c r="A71" s="42">
        <f t="shared" si="0"/>
        <v>67</v>
      </c>
      <c r="C71" s="45" t="s">
        <v>405</v>
      </c>
      <c r="D71" s="45" t="s">
        <v>395</v>
      </c>
      <c r="E71" s="45"/>
      <c r="F71" s="45"/>
      <c r="G71" s="47"/>
    </row>
    <row r="72" spans="1:7" outlineLevel="1">
      <c r="A72" s="42">
        <f t="shared" ref="A72:A135" si="2">+A71+1</f>
        <v>68</v>
      </c>
      <c r="C72" s="45" t="s">
        <v>406</v>
      </c>
      <c r="D72" s="45" t="s">
        <v>330</v>
      </c>
      <c r="E72" s="45"/>
      <c r="F72" s="45"/>
      <c r="G72" s="47"/>
    </row>
    <row r="73" spans="1:7" outlineLevel="1">
      <c r="A73" s="42">
        <f t="shared" si="2"/>
        <v>69</v>
      </c>
      <c r="C73" s="45" t="s">
        <v>407</v>
      </c>
      <c r="D73" s="45" t="s">
        <v>357</v>
      </c>
      <c r="E73" s="45"/>
      <c r="F73" s="45"/>
      <c r="G73" s="47"/>
    </row>
    <row r="74" spans="1:7" outlineLevel="1">
      <c r="A74" s="42">
        <f t="shared" si="2"/>
        <v>70</v>
      </c>
      <c r="C74" s="45" t="s">
        <v>408</v>
      </c>
      <c r="D74" s="45" t="s">
        <v>326</v>
      </c>
      <c r="E74" s="45"/>
      <c r="F74" s="45"/>
      <c r="G74" s="47"/>
    </row>
    <row r="75" spans="1:7" outlineLevel="1">
      <c r="A75" s="42">
        <f t="shared" si="2"/>
        <v>71</v>
      </c>
      <c r="C75" s="45" t="s">
        <v>409</v>
      </c>
      <c r="D75" s="45" t="s">
        <v>342</v>
      </c>
      <c r="E75" s="45"/>
      <c r="F75" s="45"/>
      <c r="G75" s="47"/>
    </row>
    <row r="76" spans="1:7" outlineLevel="1">
      <c r="A76" s="42">
        <f t="shared" si="2"/>
        <v>72</v>
      </c>
      <c r="C76" s="45" t="s">
        <v>410</v>
      </c>
      <c r="D76" s="45" t="s">
        <v>342</v>
      </c>
      <c r="E76" s="45"/>
      <c r="F76" s="45"/>
      <c r="G76" s="47"/>
    </row>
    <row r="77" spans="1:7" outlineLevel="1">
      <c r="A77" s="42">
        <f t="shared" si="2"/>
        <v>73</v>
      </c>
      <c r="C77" s="45" t="s">
        <v>411</v>
      </c>
      <c r="D77" s="45" t="s">
        <v>395</v>
      </c>
      <c r="E77" s="45"/>
      <c r="F77" s="45"/>
      <c r="G77" s="47"/>
    </row>
    <row r="78" spans="1:7" outlineLevel="1">
      <c r="A78" s="42">
        <f t="shared" si="2"/>
        <v>74</v>
      </c>
      <c r="C78" s="45" t="s">
        <v>412</v>
      </c>
      <c r="D78" s="45" t="s">
        <v>320</v>
      </c>
      <c r="E78" s="45"/>
      <c r="F78" s="45"/>
      <c r="G78" s="47"/>
    </row>
    <row r="79" spans="1:7" outlineLevel="1">
      <c r="A79" s="42">
        <f t="shared" si="2"/>
        <v>75</v>
      </c>
      <c r="C79" s="45" t="s">
        <v>413</v>
      </c>
      <c r="D79" s="45" t="s">
        <v>326</v>
      </c>
      <c r="E79" s="45"/>
      <c r="F79" s="45"/>
      <c r="G79" s="47"/>
    </row>
    <row r="80" spans="1:7" outlineLevel="1">
      <c r="A80" s="42">
        <f t="shared" si="2"/>
        <v>76</v>
      </c>
      <c r="C80" s="45" t="s">
        <v>414</v>
      </c>
      <c r="D80" s="45" t="s">
        <v>395</v>
      </c>
      <c r="E80" s="45"/>
      <c r="F80" s="45"/>
      <c r="G80" s="47"/>
    </row>
    <row r="81" spans="1:10" outlineLevel="1">
      <c r="A81" s="42">
        <f t="shared" si="2"/>
        <v>77</v>
      </c>
      <c r="C81" s="45" t="s">
        <v>415</v>
      </c>
      <c r="D81" s="45" t="s">
        <v>322</v>
      </c>
      <c r="E81" s="45"/>
      <c r="F81" s="45" t="str">
        <f>IFERROR((INDEX(C$80:$C81,MATCH(ROWS($E$6:E81),$E$6:$E$80,0))),"")</f>
        <v/>
      </c>
      <c r="I81" s="42" t="str">
        <f>IF(H81=1,COUNTIF($H$6:H81,1),"")</f>
        <v/>
      </c>
      <c r="J81" s="42" t="str">
        <f>IF($G$3="",C81,(IFERROR((INDEX($C$6:$C$80,MATCH(ROWS($I$6:I81),$I$6:$I$80,0))),"")))</f>
        <v/>
      </c>
    </row>
    <row r="82" spans="1:10" outlineLevel="1">
      <c r="A82" s="42">
        <f t="shared" si="2"/>
        <v>78</v>
      </c>
      <c r="C82" s="45" t="s">
        <v>416</v>
      </c>
      <c r="D82" s="45" t="s">
        <v>322</v>
      </c>
      <c r="E82" s="45"/>
      <c r="F82" s="45"/>
      <c r="I82" s="42" t="str">
        <f>IF(H82=1,COUNTIF($H$6:H82,1),"")</f>
        <v/>
      </c>
      <c r="J82" s="42" t="str">
        <f>IF($G$3="",C82,(IFERROR((INDEX($C$6:$C$80,MATCH(ROWS($I$6:I82),$I$6:$I$80,0))),"")))</f>
        <v/>
      </c>
    </row>
    <row r="83" spans="1:10" outlineLevel="1">
      <c r="A83" s="42">
        <f t="shared" si="2"/>
        <v>79</v>
      </c>
      <c r="C83" s="45" t="s">
        <v>417</v>
      </c>
      <c r="D83" s="45" t="s">
        <v>322</v>
      </c>
      <c r="E83" s="45"/>
      <c r="F83" s="45"/>
      <c r="I83" s="42" t="str">
        <f>IF(H83=1,COUNTIF($H$6:H83,1),"")</f>
        <v/>
      </c>
      <c r="J83" s="42" t="str">
        <f>IF($G$3="",C83,(IFERROR((INDEX($C$6:$C$80,MATCH(ROWS($I$6:I83),$I$6:$I$80,0))),"")))</f>
        <v/>
      </c>
    </row>
    <row r="84" spans="1:10" outlineLevel="1">
      <c r="A84" s="42">
        <f t="shared" si="2"/>
        <v>80</v>
      </c>
      <c r="C84" s="45" t="s">
        <v>418</v>
      </c>
      <c r="D84" s="45" t="s">
        <v>354</v>
      </c>
      <c r="E84" s="45"/>
      <c r="F84" s="45"/>
      <c r="I84" s="42" t="str">
        <f>IF(H84=1,COUNTIF($H$6:H84,1),"")</f>
        <v/>
      </c>
      <c r="J84" s="42" t="str">
        <f>IF($G$3="",C84,(IFERROR((INDEX($C$6:$C$80,MATCH(ROWS($I$6:I84),$I$6:$I$80,0))),"")))</f>
        <v/>
      </c>
    </row>
    <row r="85" spans="1:10" outlineLevel="1">
      <c r="A85" s="42">
        <f t="shared" si="2"/>
        <v>81</v>
      </c>
      <c r="C85" s="45" t="s">
        <v>391</v>
      </c>
      <c r="D85" s="45" t="s">
        <v>419</v>
      </c>
      <c r="E85" s="45"/>
      <c r="F85" s="45"/>
      <c r="I85" s="42" t="str">
        <f>IF(H85=1,COUNTIF($H$6:H85,1),"")</f>
        <v/>
      </c>
      <c r="J85" s="42" t="str">
        <f>IF($G$3="",C85,(IFERROR((INDEX($C$6:$C$80,MATCH(ROWS($I$6:I85),$I$6:$I$80,0))),"")))</f>
        <v/>
      </c>
    </row>
    <row r="86" spans="1:10" outlineLevel="1">
      <c r="A86" s="42">
        <f t="shared" si="2"/>
        <v>82</v>
      </c>
      <c r="C86" s="45" t="s">
        <v>392</v>
      </c>
      <c r="D86" s="45" t="s">
        <v>419</v>
      </c>
      <c r="E86" s="45"/>
      <c r="F86" s="45"/>
      <c r="I86" s="42" t="str">
        <f>IF(H86=1,COUNTIF($H$6:H86,1),"")</f>
        <v/>
      </c>
      <c r="J86" s="42" t="str">
        <f>IF($G$3="",C86,(IFERROR((INDEX($C$6:$C$80,MATCH(ROWS($I$6:I86),$I$6:$I$80,0))),"")))</f>
        <v/>
      </c>
    </row>
    <row r="87" spans="1:10" outlineLevel="1">
      <c r="A87" s="42">
        <f t="shared" si="2"/>
        <v>83</v>
      </c>
      <c r="C87" s="45" t="s">
        <v>420</v>
      </c>
      <c r="D87" s="45" t="s">
        <v>420</v>
      </c>
      <c r="E87" s="45"/>
      <c r="F87" s="45"/>
      <c r="I87" s="42" t="str">
        <f>IF(H87=1,COUNTIF($H$6:H87,1),"")</f>
        <v/>
      </c>
      <c r="J87" s="42" t="str">
        <f>IF($G$3="",C87,(IFERROR((INDEX($C$6:$C$80,MATCH(ROWS($I$6:I87),$I$6:$I$80,0))),"")))</f>
        <v/>
      </c>
    </row>
    <row r="88" spans="1:10" outlineLevel="1">
      <c r="A88" s="42">
        <f t="shared" si="2"/>
        <v>84</v>
      </c>
      <c r="C88" s="45" t="s">
        <v>421</v>
      </c>
      <c r="D88" s="45" t="s">
        <v>421</v>
      </c>
      <c r="I88" s="42" t="str">
        <f>IF(H88=1,COUNTIF($H$6:H88,1),"")</f>
        <v/>
      </c>
      <c r="J88" s="42" t="str">
        <f>IF($G$3="",C88,(IFERROR((INDEX($C$6:$C$80,MATCH(ROWS($I$6:I88),$I$6:$I$80,0))),"")))</f>
        <v/>
      </c>
    </row>
    <row r="89" spans="1:10" outlineLevel="1">
      <c r="A89" s="42">
        <f t="shared" si="2"/>
        <v>85</v>
      </c>
      <c r="I89" s="42" t="str">
        <f>IF(H89=1,COUNTIF($H$6:H89,1),"")</f>
        <v/>
      </c>
      <c r="J89" s="42" t="str">
        <f>IF($G$3="",C89,(IFERROR((INDEX($C$6:$C$80,MATCH(ROWS($I$6:I89),$I$6:$I$80,0))),"")))</f>
        <v/>
      </c>
    </row>
    <row r="90" spans="1:10" outlineLevel="1">
      <c r="A90" s="42">
        <f t="shared" si="2"/>
        <v>86</v>
      </c>
      <c r="I90" s="42" t="str">
        <f>IF(H90=1,COUNTIF($H$6:H90,1),"")</f>
        <v/>
      </c>
      <c r="J90" s="42" t="str">
        <f>IF($G$3="",C90,(IFERROR((INDEX($C$6:$C$80,MATCH(ROWS($I$6:I90),$I$6:$I$80,0))),"")))</f>
        <v/>
      </c>
    </row>
    <row r="91" spans="1:10" outlineLevel="1">
      <c r="A91" s="42">
        <f t="shared" si="2"/>
        <v>87</v>
      </c>
      <c r="I91" s="42" t="str">
        <f>IF(H91=1,COUNTIF($H$6:H91,1),"")</f>
        <v/>
      </c>
      <c r="J91" s="42" t="str">
        <f>IF($G$3="",C91,(IFERROR((INDEX($C$6:$C$80,MATCH(ROWS($I$6:I91),$I$6:$I$80,0))),"")))</f>
        <v/>
      </c>
    </row>
    <row r="92" spans="1:10" outlineLevel="1">
      <c r="A92" s="42">
        <f t="shared" si="2"/>
        <v>88</v>
      </c>
      <c r="I92" s="42" t="str">
        <f>IF(H92=1,COUNTIF($H$6:H92,1),"")</f>
        <v/>
      </c>
      <c r="J92" s="42" t="str">
        <f>IF($G$3="",C92,(IFERROR((INDEX($C$6:$C$80,MATCH(ROWS($I$6:I92),$I$6:$I$80,0))),"")))</f>
        <v/>
      </c>
    </row>
    <row r="93" spans="1:10" outlineLevel="1">
      <c r="A93" s="42">
        <f t="shared" si="2"/>
        <v>89</v>
      </c>
      <c r="I93" s="42" t="str">
        <f>IF(H93=1,COUNTIF($H$6:H93,1),"")</f>
        <v/>
      </c>
      <c r="J93" s="42" t="str">
        <f>IF($G$3="",C93,(IFERROR((INDEX($C$6:$C$80,MATCH(ROWS($I$6:I93),$I$6:$I$80,0))),"")))</f>
        <v/>
      </c>
    </row>
    <row r="94" spans="1:10" outlineLevel="1">
      <c r="A94" s="42">
        <f t="shared" si="2"/>
        <v>90</v>
      </c>
      <c r="I94" s="42" t="str">
        <f>IF(H94=1,COUNTIF($H$6:H94,1),"")</f>
        <v/>
      </c>
      <c r="J94" s="42" t="str">
        <f>IF($G$3="",C94,(IFERROR((INDEX($C$6:$C$80,MATCH(ROWS($I$6:I94),$I$6:$I$80,0))),"")))</f>
        <v/>
      </c>
    </row>
    <row r="95" spans="1:10" outlineLevel="1">
      <c r="A95" s="42">
        <f t="shared" si="2"/>
        <v>91</v>
      </c>
      <c r="I95" s="42" t="str">
        <f>IF(H95=1,COUNTIF($H$6:H95,1),"")</f>
        <v/>
      </c>
      <c r="J95" s="42" t="str">
        <f>IF($G$3="",C95,(IFERROR((INDEX($C$6:$C$80,MATCH(ROWS($I$6:I95),$I$6:$I$80,0))),"")))</f>
        <v/>
      </c>
    </row>
    <row r="96" spans="1:10" outlineLevel="1">
      <c r="A96" s="42">
        <f t="shared" si="2"/>
        <v>92</v>
      </c>
      <c r="I96" s="42" t="str">
        <f>IF(H96=1,COUNTIF($H$6:H96,1),"")</f>
        <v/>
      </c>
      <c r="J96" s="42" t="str">
        <f>IF($G$3="",C96,(IFERROR((INDEX($C$6:$C$80,MATCH(ROWS($I$6:I96),$I$6:$I$80,0))),"")))</f>
        <v/>
      </c>
    </row>
    <row r="97" spans="1:10" outlineLevel="1">
      <c r="A97" s="42">
        <f t="shared" si="2"/>
        <v>93</v>
      </c>
      <c r="I97" s="42" t="str">
        <f>IF(H97=1,COUNTIF($H$6:H97,1),"")</f>
        <v/>
      </c>
      <c r="J97" s="42" t="str">
        <f>IF($G$3="",C97,(IFERROR((INDEX($C$6:$C$80,MATCH(ROWS($I$6:I97),$I$6:$I$80,0))),"")))</f>
        <v/>
      </c>
    </row>
    <row r="98" spans="1:10" outlineLevel="1">
      <c r="A98" s="42">
        <f t="shared" si="2"/>
        <v>94</v>
      </c>
      <c r="I98" s="42" t="str">
        <f>IF(H98=1,COUNTIF($H$6:H98,1),"")</f>
        <v/>
      </c>
      <c r="J98" s="42" t="str">
        <f>IF($G$3="",C98,(IFERROR((INDEX($C$6:$C$80,MATCH(ROWS($I$6:I98),$I$6:$I$80,0))),"")))</f>
        <v/>
      </c>
    </row>
    <row r="99" spans="1:10" outlineLevel="1">
      <c r="A99" s="42">
        <f t="shared" si="2"/>
        <v>95</v>
      </c>
      <c r="I99" s="42" t="str">
        <f>IF(H99=1,COUNTIF($H$6:H99,1),"")</f>
        <v/>
      </c>
      <c r="J99" s="42" t="str">
        <f>IF($G$3="",C99,(IFERROR((INDEX($C$6:$C$80,MATCH(ROWS($I$6:I99),$I$6:$I$80,0))),"")))</f>
        <v/>
      </c>
    </row>
    <row r="100" spans="1:10" outlineLevel="1">
      <c r="A100" s="42">
        <f t="shared" si="2"/>
        <v>96</v>
      </c>
      <c r="I100" s="42" t="str">
        <f>IF(H100=1,COUNTIF($H$6:H100,1),"")</f>
        <v/>
      </c>
      <c r="J100" s="42" t="str">
        <f>IF($G$3="",C100,(IFERROR((INDEX($C$6:$C$80,MATCH(ROWS($I$6:I100),$I$6:$I$80,0))),"")))</f>
        <v/>
      </c>
    </row>
    <row r="101" spans="1:10" outlineLevel="1">
      <c r="A101" s="42">
        <f t="shared" si="2"/>
        <v>97</v>
      </c>
      <c r="I101" s="42" t="str">
        <f>IF(H101=1,COUNTIF($H$6:H101,1),"")</f>
        <v/>
      </c>
      <c r="J101" s="42" t="str">
        <f>IF($G$3="",C101,(IFERROR((INDEX($C$6:$C$80,MATCH(ROWS($I$6:I101),$I$6:$I$80,0))),"")))</f>
        <v/>
      </c>
    </row>
    <row r="102" spans="1:10" outlineLevel="1">
      <c r="A102" s="42">
        <f t="shared" si="2"/>
        <v>98</v>
      </c>
      <c r="I102" s="42" t="str">
        <f>IF(H102=1,COUNTIF($H$6:H102,1),"")</f>
        <v/>
      </c>
      <c r="J102" s="42" t="str">
        <f>IF($G$3="",C102,(IFERROR((INDEX($C$6:$C$80,MATCH(ROWS($I$6:I102),$I$6:$I$80,0))),"")))</f>
        <v/>
      </c>
    </row>
    <row r="103" spans="1:10" outlineLevel="1">
      <c r="A103" s="42">
        <f t="shared" si="2"/>
        <v>99</v>
      </c>
      <c r="I103" s="42" t="str">
        <f>IF(H103=1,COUNTIF($H$6:H103,1),"")</f>
        <v/>
      </c>
      <c r="J103" s="42" t="str">
        <f>IF($G$3="",C103,(IFERROR((INDEX($C$6:$C$80,MATCH(ROWS($I$6:I103),$I$6:$I$80,0))),"")))</f>
        <v/>
      </c>
    </row>
    <row r="104" spans="1:10" outlineLevel="1">
      <c r="A104" s="42">
        <f t="shared" si="2"/>
        <v>100</v>
      </c>
      <c r="I104" s="42" t="str">
        <f>IF(H104=1,COUNTIF($H$6:H104,1),"")</f>
        <v/>
      </c>
      <c r="J104" s="42" t="str">
        <f>IF($G$3="",C104,(IFERROR((INDEX($C$6:$C$80,MATCH(ROWS($I$6:I104),$I$6:$I$80,0))),"")))</f>
        <v/>
      </c>
    </row>
    <row r="105" spans="1:10" outlineLevel="1">
      <c r="A105" s="42">
        <f t="shared" si="2"/>
        <v>101</v>
      </c>
      <c r="I105" s="42" t="str">
        <f>IF(H105=1,COUNTIF($H$6:H105,1),"")</f>
        <v/>
      </c>
      <c r="J105" s="42" t="str">
        <f>IF($G$3="",C105,(IFERROR((INDEX($C$6:$C$80,MATCH(ROWS($I$6:I105),$I$6:$I$80,0))),"")))</f>
        <v/>
      </c>
    </row>
    <row r="106" spans="1:10" outlineLevel="1">
      <c r="A106" s="42">
        <f t="shared" si="2"/>
        <v>102</v>
      </c>
      <c r="I106" s="42" t="str">
        <f>IF(H106=1,COUNTIF($H$6:H106,1),"")</f>
        <v/>
      </c>
      <c r="J106" s="42" t="str">
        <f>IF($G$3="",C106,(IFERROR((INDEX($C$6:$C$80,MATCH(ROWS($I$6:I106),$I$6:$I$80,0))),"")))</f>
        <v/>
      </c>
    </row>
    <row r="107" spans="1:10" outlineLevel="1">
      <c r="A107" s="42">
        <f t="shared" si="2"/>
        <v>103</v>
      </c>
      <c r="I107" s="42" t="str">
        <f>IF(H107=1,COUNTIF($H$6:H107,1),"")</f>
        <v/>
      </c>
      <c r="J107" s="42" t="str">
        <f>IF($G$3="",C107,(IFERROR((INDEX($C$6:$C$80,MATCH(ROWS($I$6:I107),$I$6:$I$80,0))),"")))</f>
        <v/>
      </c>
    </row>
    <row r="108" spans="1:10" outlineLevel="1">
      <c r="A108" s="42">
        <f t="shared" si="2"/>
        <v>104</v>
      </c>
      <c r="I108" s="42" t="str">
        <f>IF(H108=1,COUNTIF($H$6:H108,1),"")</f>
        <v/>
      </c>
      <c r="J108" s="42" t="str">
        <f>IF($G$3="",C108,(IFERROR((INDEX($C$6:$C$80,MATCH(ROWS($I$6:I108),$I$6:$I$80,0))),"")))</f>
        <v/>
      </c>
    </row>
    <row r="109" spans="1:10" outlineLevel="1">
      <c r="A109" s="42">
        <f t="shared" si="2"/>
        <v>105</v>
      </c>
      <c r="I109" s="42" t="str">
        <f>IF(H109=1,COUNTIF($H$6:H109,1),"")</f>
        <v/>
      </c>
      <c r="J109" s="42" t="str">
        <f>IF($G$3="",C109,(IFERROR((INDEX($C$6:$C$80,MATCH(ROWS($I$6:I109),$I$6:$I$80,0))),"")))</f>
        <v/>
      </c>
    </row>
    <row r="110" spans="1:10" outlineLevel="1">
      <c r="A110" s="42">
        <f t="shared" si="2"/>
        <v>106</v>
      </c>
      <c r="I110" s="42" t="str">
        <f>IF(H110=1,COUNTIF($H$6:H110,1),"")</f>
        <v/>
      </c>
      <c r="J110" s="42" t="str">
        <f>IF($G$3="",C110,(IFERROR((INDEX($C$6:$C$80,MATCH(ROWS($I$6:I110),$I$6:$I$80,0))),"")))</f>
        <v/>
      </c>
    </row>
    <row r="111" spans="1:10" outlineLevel="1">
      <c r="A111" s="42">
        <f t="shared" si="2"/>
        <v>107</v>
      </c>
      <c r="I111" s="42" t="str">
        <f>IF(H111=1,COUNTIF($H$6:H111,1),"")</f>
        <v/>
      </c>
      <c r="J111" s="42" t="str">
        <f>IF($G$3="",C111,(IFERROR((INDEX($C$6:$C$80,MATCH(ROWS($I$6:I111),$I$6:$I$80,0))),"")))</f>
        <v/>
      </c>
    </row>
    <row r="112" spans="1:10" outlineLevel="1">
      <c r="A112" s="42">
        <f t="shared" si="2"/>
        <v>108</v>
      </c>
      <c r="I112" s="42" t="str">
        <f>IF(H112=1,COUNTIF($H$6:H112,1),"")</f>
        <v/>
      </c>
      <c r="J112" s="42" t="str">
        <f>IF($G$3="",C112,(IFERROR((INDEX($C$6:$C$80,MATCH(ROWS($I$6:I112),$I$6:$I$80,0))),"")))</f>
        <v/>
      </c>
    </row>
    <row r="113" spans="1:10" outlineLevel="1">
      <c r="A113" s="42">
        <f t="shared" si="2"/>
        <v>109</v>
      </c>
      <c r="I113" s="42" t="str">
        <f>IF(H113=1,COUNTIF($H$6:H113,1),"")</f>
        <v/>
      </c>
      <c r="J113" s="42" t="str">
        <f>IF($G$3="",C113,(IFERROR((INDEX($C$6:$C$80,MATCH(ROWS($I$6:I113),$I$6:$I$80,0))),"")))</f>
        <v/>
      </c>
    </row>
    <row r="114" spans="1:10" outlineLevel="1">
      <c r="A114" s="42">
        <f t="shared" si="2"/>
        <v>110</v>
      </c>
      <c r="I114" s="42" t="str">
        <f>IF(H114=1,COUNTIF($H$6:H114,1),"")</f>
        <v/>
      </c>
      <c r="J114" s="42" t="str">
        <f>IF($G$3="",C114,(IFERROR((INDEX($C$6:$C$80,MATCH(ROWS($I$6:I114),$I$6:$I$80,0))),"")))</f>
        <v/>
      </c>
    </row>
    <row r="115" spans="1:10" outlineLevel="1">
      <c r="A115" s="42">
        <f t="shared" si="2"/>
        <v>111</v>
      </c>
      <c r="I115" s="42" t="str">
        <f>IF(H115=1,COUNTIF($H$6:H115,1),"")</f>
        <v/>
      </c>
      <c r="J115" s="42" t="str">
        <f>IF($G$3="",C115,(IFERROR((INDEX($C$6:$C$80,MATCH(ROWS($I$6:I115),$I$6:$I$80,0))),"")))</f>
        <v/>
      </c>
    </row>
    <row r="116" spans="1:10" outlineLevel="1">
      <c r="A116" s="42">
        <f t="shared" si="2"/>
        <v>112</v>
      </c>
      <c r="I116" s="42" t="str">
        <f>IF(H116=1,COUNTIF($H$6:H116,1),"")</f>
        <v/>
      </c>
      <c r="J116" s="42" t="str">
        <f>IF($G$3="",C116,(IFERROR((INDEX($C$6:$C$80,MATCH(ROWS($I$6:I116),$I$6:$I$80,0))),"")))</f>
        <v/>
      </c>
    </row>
    <row r="117" spans="1:10" outlineLevel="1">
      <c r="A117" s="42">
        <f t="shared" si="2"/>
        <v>113</v>
      </c>
      <c r="I117" s="42" t="str">
        <f>IF(H117=1,COUNTIF($H$6:H117,1),"")</f>
        <v/>
      </c>
      <c r="J117" s="42" t="str">
        <f>IF($G$3="",C117,(IFERROR((INDEX($C$6:$C$80,MATCH(ROWS($I$6:I117),$I$6:$I$80,0))),"")))</f>
        <v/>
      </c>
    </row>
    <row r="118" spans="1:10" outlineLevel="1">
      <c r="A118" s="42">
        <f t="shared" si="2"/>
        <v>114</v>
      </c>
      <c r="I118" s="42" t="str">
        <f>IF(H118=1,COUNTIF($H$6:H118,1),"")</f>
        <v/>
      </c>
      <c r="J118" s="42" t="str">
        <f>IF($G$3="",C118,(IFERROR((INDEX($C$6:$C$80,MATCH(ROWS($I$6:I118),$I$6:$I$80,0))),"")))</f>
        <v/>
      </c>
    </row>
    <row r="119" spans="1:10" outlineLevel="1">
      <c r="A119" s="42">
        <f t="shared" si="2"/>
        <v>115</v>
      </c>
      <c r="I119" s="42" t="str">
        <f>IF(H119=1,COUNTIF($H$6:H119,1),"")</f>
        <v/>
      </c>
      <c r="J119" s="42" t="str">
        <f>IF($G$3="",C119,(IFERROR((INDEX($C$6:$C$80,MATCH(ROWS($I$6:I119),$I$6:$I$80,0))),"")))</f>
        <v/>
      </c>
    </row>
    <row r="120" spans="1:10" outlineLevel="1">
      <c r="A120" s="42">
        <f t="shared" si="2"/>
        <v>116</v>
      </c>
      <c r="I120" s="42" t="str">
        <f>IF(H120=1,COUNTIF($H$6:H120,1),"")</f>
        <v/>
      </c>
      <c r="J120" s="42" t="str">
        <f>IF($G$3="",C120,(IFERROR((INDEX($C$6:$C$80,MATCH(ROWS($I$6:I120),$I$6:$I$80,0))),"")))</f>
        <v/>
      </c>
    </row>
    <row r="121" spans="1:10" outlineLevel="1">
      <c r="A121" s="42">
        <f t="shared" si="2"/>
        <v>117</v>
      </c>
      <c r="I121" s="42" t="str">
        <f>IF(H121=1,COUNTIF($H$6:H121,1),"")</f>
        <v/>
      </c>
      <c r="J121" s="42" t="str">
        <f>IF($G$3="",C121,(IFERROR((INDEX($C$6:$C$80,MATCH(ROWS($I$6:I121),$I$6:$I$80,0))),"")))</f>
        <v/>
      </c>
    </row>
    <row r="122" spans="1:10" outlineLevel="1">
      <c r="A122" s="42">
        <f t="shared" si="2"/>
        <v>118</v>
      </c>
      <c r="I122" s="42" t="str">
        <f>IF(H122=1,COUNTIF($H$6:H122,1),"")</f>
        <v/>
      </c>
      <c r="J122" s="42" t="str">
        <f>IF($G$3="",C122,(IFERROR((INDEX($C$6:$C$80,MATCH(ROWS($I$6:I122),$I$6:$I$80,0))),"")))</f>
        <v/>
      </c>
    </row>
    <row r="123" spans="1:10" outlineLevel="1">
      <c r="A123" s="42">
        <f t="shared" si="2"/>
        <v>119</v>
      </c>
      <c r="I123" s="42" t="str">
        <f>IF(H123=1,COUNTIF($H$6:H123,1),"")</f>
        <v/>
      </c>
      <c r="J123" s="42" t="str">
        <f>IF($G$3="",C123,(IFERROR((INDEX($C$6:$C$80,MATCH(ROWS($I$6:I123),$I$6:$I$80,0))),"")))</f>
        <v/>
      </c>
    </row>
    <row r="124" spans="1:10" outlineLevel="1">
      <c r="A124" s="42">
        <f t="shared" si="2"/>
        <v>120</v>
      </c>
      <c r="I124" s="42" t="str">
        <f>IF(H124=1,COUNTIF($H$6:H124,1),"")</f>
        <v/>
      </c>
      <c r="J124" s="42" t="str">
        <f>IF($G$3="",C124,(IFERROR((INDEX($C$6:$C$80,MATCH(ROWS($I$6:I124),$I$6:$I$80,0))),"")))</f>
        <v/>
      </c>
    </row>
    <row r="125" spans="1:10" outlineLevel="1">
      <c r="A125" s="42">
        <f t="shared" si="2"/>
        <v>121</v>
      </c>
      <c r="I125" s="42" t="str">
        <f>IF(H125=1,COUNTIF($H$6:H125,1),"")</f>
        <v/>
      </c>
      <c r="J125" s="42" t="str">
        <f>IF($G$3="",C125,(IFERROR((INDEX($C$6:$C$80,MATCH(ROWS($I$6:I125),$I$6:$I$80,0))),"")))</f>
        <v/>
      </c>
    </row>
    <row r="126" spans="1:10" outlineLevel="1">
      <c r="A126" s="42">
        <f t="shared" si="2"/>
        <v>122</v>
      </c>
      <c r="I126" s="42" t="str">
        <f>IF(H126=1,COUNTIF($H$6:H126,1),"")</f>
        <v/>
      </c>
      <c r="J126" s="42" t="str">
        <f>IF($G$3="",C126,(IFERROR((INDEX($C$6:$C$80,MATCH(ROWS($I$6:I126),$I$6:$I$80,0))),"")))</f>
        <v/>
      </c>
    </row>
    <row r="127" spans="1:10" outlineLevel="1">
      <c r="A127" s="42">
        <f t="shared" si="2"/>
        <v>123</v>
      </c>
      <c r="I127" s="42" t="str">
        <f>IF(H127=1,COUNTIF($H$6:H127,1),"")</f>
        <v/>
      </c>
      <c r="J127" s="42" t="str">
        <f>IF($G$3="",C127,(IFERROR((INDEX($C$6:$C$80,MATCH(ROWS($I$6:I127),$I$6:$I$80,0))),"")))</f>
        <v/>
      </c>
    </row>
    <row r="128" spans="1:10" outlineLevel="1">
      <c r="A128" s="42">
        <f t="shared" si="2"/>
        <v>124</v>
      </c>
      <c r="I128" s="42" t="str">
        <f>IF(H128=1,COUNTIF($H$6:H128,1),"")</f>
        <v/>
      </c>
      <c r="J128" s="42" t="str">
        <f>IF($G$3="",C128,(IFERROR((INDEX($C$6:$C$80,MATCH(ROWS($I$6:I128),$I$6:$I$80,0))),"")))</f>
        <v/>
      </c>
    </row>
    <row r="129" spans="1:10" outlineLevel="1">
      <c r="A129" s="42">
        <f t="shared" si="2"/>
        <v>125</v>
      </c>
      <c r="I129" s="42" t="str">
        <f>IF(H129=1,COUNTIF($H$6:H129,1),"")</f>
        <v/>
      </c>
      <c r="J129" s="42" t="str">
        <f>IF($G$3="",C129,(IFERROR((INDEX($C$6:$C$80,MATCH(ROWS($I$6:I129),$I$6:$I$80,0))),"")))</f>
        <v/>
      </c>
    </row>
    <row r="130" spans="1:10" outlineLevel="1">
      <c r="A130" s="42">
        <f t="shared" si="2"/>
        <v>126</v>
      </c>
      <c r="I130" s="42" t="str">
        <f>IF(H130=1,COUNTIF($H$6:H130,1),"")</f>
        <v/>
      </c>
      <c r="J130" s="42" t="str">
        <f>IF($G$3="",C130,(IFERROR((INDEX($C$6:$C$80,MATCH(ROWS($I$6:I130),$I$6:$I$80,0))),"")))</f>
        <v/>
      </c>
    </row>
    <row r="131" spans="1:10" outlineLevel="1">
      <c r="A131" s="42">
        <f t="shared" si="2"/>
        <v>127</v>
      </c>
      <c r="I131" s="42" t="str">
        <f>IF(H131=1,COUNTIF($H$6:H131,1),"")</f>
        <v/>
      </c>
      <c r="J131" s="42" t="str">
        <f>IF($G$3="",C131,(IFERROR((INDEX($C$6:$C$80,MATCH(ROWS($I$6:I131),$I$6:$I$80,0))),"")))</f>
        <v/>
      </c>
    </row>
    <row r="132" spans="1:10" outlineLevel="1">
      <c r="A132" s="42">
        <f t="shared" si="2"/>
        <v>128</v>
      </c>
      <c r="I132" s="42" t="str">
        <f>IF(H132=1,COUNTIF($H$6:H132,1),"")</f>
        <v/>
      </c>
      <c r="J132" s="42" t="str">
        <f>IF($G$3="",C132,(IFERROR((INDEX($C$6:$C$80,MATCH(ROWS($I$6:I132),$I$6:$I$80,0))),"")))</f>
        <v/>
      </c>
    </row>
    <row r="133" spans="1:10" outlineLevel="1">
      <c r="A133" s="42">
        <f t="shared" si="2"/>
        <v>129</v>
      </c>
      <c r="I133" s="42" t="str">
        <f>IF(H133=1,COUNTIF($H$6:H133,1),"")</f>
        <v/>
      </c>
      <c r="J133" s="42" t="str">
        <f>IF($G$3="",C133,(IFERROR((INDEX($C$6:$C$80,MATCH(ROWS($I$6:I133),$I$6:$I$80,0))),"")))</f>
        <v/>
      </c>
    </row>
    <row r="134" spans="1:10" outlineLevel="1">
      <c r="A134" s="42">
        <f t="shared" si="2"/>
        <v>130</v>
      </c>
      <c r="I134" s="42" t="str">
        <f>IF(H134=1,COUNTIF($H$6:H134,1),"")</f>
        <v/>
      </c>
      <c r="J134" s="42" t="str">
        <f>IF($G$3="",C134,(IFERROR((INDEX($C$6:$C$80,MATCH(ROWS($I$6:I134),$I$6:$I$80,0))),"")))</f>
        <v/>
      </c>
    </row>
    <row r="135" spans="1:10" outlineLevel="1">
      <c r="A135" s="42">
        <f t="shared" si="2"/>
        <v>131</v>
      </c>
      <c r="I135" s="42" t="str">
        <f>IF(H135=1,COUNTIF($H$6:H135,1),"")</f>
        <v/>
      </c>
      <c r="J135" s="42" t="str">
        <f>IF($G$3="",C135,(IFERROR((INDEX($C$6:$C$80,MATCH(ROWS($I$6:I135),$I$6:$I$80,0))),"")))</f>
        <v/>
      </c>
    </row>
    <row r="136" spans="1:10" outlineLevel="1">
      <c r="A136" s="42">
        <f t="shared" ref="A136:A172" si="3">+A135+1</f>
        <v>132</v>
      </c>
      <c r="I136" s="42" t="str">
        <f>IF(H136=1,COUNTIF($H$6:H136,1),"")</f>
        <v/>
      </c>
      <c r="J136" s="42" t="str">
        <f>IF($G$3="",C136,(IFERROR((INDEX($C$6:$C$80,MATCH(ROWS($I$6:I136),$I$6:$I$80,0))),"")))</f>
        <v/>
      </c>
    </row>
    <row r="137" spans="1:10" outlineLevel="1">
      <c r="A137" s="42">
        <f t="shared" si="3"/>
        <v>133</v>
      </c>
      <c r="I137" s="42" t="str">
        <f>IF(H137=1,COUNTIF($H$6:H137,1),"")</f>
        <v/>
      </c>
      <c r="J137" s="42" t="str">
        <f>IF($G$3="",C137,(IFERROR((INDEX($C$6:$C$80,MATCH(ROWS($I$6:I137),$I$6:$I$80,0))),"")))</f>
        <v/>
      </c>
    </row>
    <row r="138" spans="1:10" outlineLevel="1">
      <c r="A138" s="42">
        <f t="shared" si="3"/>
        <v>134</v>
      </c>
      <c r="I138" s="42" t="str">
        <f>IF(H138=1,COUNTIF($H$6:H138,1),"")</f>
        <v/>
      </c>
      <c r="J138" s="42" t="str">
        <f>IF($G$3="",C138,(IFERROR((INDEX($C$6:$C$80,MATCH(ROWS($I$6:I138),$I$6:$I$80,0))),"")))</f>
        <v/>
      </c>
    </row>
    <row r="139" spans="1:10" outlineLevel="1">
      <c r="A139" s="42">
        <f t="shared" si="3"/>
        <v>135</v>
      </c>
      <c r="I139" s="42" t="str">
        <f>IF(H139=1,COUNTIF($H$6:H139,1),"")</f>
        <v/>
      </c>
      <c r="J139" s="42" t="str">
        <f>IF($G$3="",C139,(IFERROR((INDEX($C$6:$C$80,MATCH(ROWS($I$6:I139),$I$6:$I$80,0))),"")))</f>
        <v/>
      </c>
    </row>
    <row r="140" spans="1:10" outlineLevel="1">
      <c r="A140" s="42">
        <f t="shared" si="3"/>
        <v>136</v>
      </c>
      <c r="I140" s="42" t="str">
        <f>IF(H140=1,COUNTIF($H$6:H140,1),"")</f>
        <v/>
      </c>
      <c r="J140" s="42" t="str">
        <f>IF($G$3="",C140,(IFERROR((INDEX($C$6:$C$80,MATCH(ROWS($I$6:I140),$I$6:$I$80,0))),"")))</f>
        <v/>
      </c>
    </row>
    <row r="141" spans="1:10" outlineLevel="1">
      <c r="A141" s="42">
        <f t="shared" si="3"/>
        <v>137</v>
      </c>
      <c r="I141" s="42" t="str">
        <f>IF(H141=1,COUNTIF($H$6:H141,1),"")</f>
        <v/>
      </c>
      <c r="J141" s="42" t="str">
        <f>IF($G$3="",C141,(IFERROR((INDEX($C$6:$C$80,MATCH(ROWS($I$6:I141),$I$6:$I$80,0))),"")))</f>
        <v/>
      </c>
    </row>
    <row r="142" spans="1:10" outlineLevel="1">
      <c r="A142" s="42">
        <f t="shared" si="3"/>
        <v>138</v>
      </c>
      <c r="I142" s="42" t="str">
        <f>IF(H142=1,COUNTIF($H$6:H142,1),"")</f>
        <v/>
      </c>
      <c r="J142" s="42" t="str">
        <f>IF($G$3="",C142,(IFERROR((INDEX($C$6:$C$80,MATCH(ROWS($I$6:I142),$I$6:$I$80,0))),"")))</f>
        <v/>
      </c>
    </row>
    <row r="143" spans="1:10" outlineLevel="1">
      <c r="A143" s="42">
        <f t="shared" si="3"/>
        <v>139</v>
      </c>
      <c r="I143" s="42" t="str">
        <f>IF(H143=1,COUNTIF($H$6:H143,1),"")</f>
        <v/>
      </c>
      <c r="J143" s="42" t="str">
        <f>IF($G$3="",C143,(IFERROR((INDEX($C$6:$C$80,MATCH(ROWS($I$6:I143),$I$6:$I$80,0))),"")))</f>
        <v/>
      </c>
    </row>
    <row r="144" spans="1:10" outlineLevel="1">
      <c r="A144" s="42">
        <f t="shared" si="3"/>
        <v>140</v>
      </c>
      <c r="I144" s="42" t="str">
        <f>IF(H144=1,COUNTIF($H$6:H144,1),"")</f>
        <v/>
      </c>
      <c r="J144" s="42" t="str">
        <f>IF($G$3="",C144,(IFERROR((INDEX($C$6:$C$80,MATCH(ROWS($I$6:I144),$I$6:$I$80,0))),"")))</f>
        <v/>
      </c>
    </row>
    <row r="145" spans="1:10" outlineLevel="1">
      <c r="A145" s="42">
        <f t="shared" si="3"/>
        <v>141</v>
      </c>
      <c r="I145" s="42" t="str">
        <f>IF(H145=1,COUNTIF($H$6:H145,1),"")</f>
        <v/>
      </c>
      <c r="J145" s="42" t="str">
        <f>IF($G$3="",C145,(IFERROR((INDEX($C$6:$C$80,MATCH(ROWS($I$6:I145),$I$6:$I$80,0))),"")))</f>
        <v/>
      </c>
    </row>
    <row r="146" spans="1:10" outlineLevel="1">
      <c r="A146" s="42">
        <f t="shared" si="3"/>
        <v>142</v>
      </c>
      <c r="I146" s="42" t="str">
        <f>IF(H146=1,COUNTIF($H$6:H146,1),"")</f>
        <v/>
      </c>
      <c r="J146" s="42" t="str">
        <f>IF($G$3="",C146,(IFERROR((INDEX($C$6:$C$80,MATCH(ROWS($I$6:I146),$I$6:$I$80,0))),"")))</f>
        <v/>
      </c>
    </row>
    <row r="147" spans="1:10" outlineLevel="1">
      <c r="A147" s="42">
        <f t="shared" si="3"/>
        <v>143</v>
      </c>
      <c r="I147" s="42" t="str">
        <f>IF(H147=1,COUNTIF($H$6:H147,1),"")</f>
        <v/>
      </c>
      <c r="J147" s="42" t="str">
        <f>IF($G$3="",C147,(IFERROR((INDEX($C$6:$C$80,MATCH(ROWS($I$6:I147),$I$6:$I$80,0))),"")))</f>
        <v/>
      </c>
    </row>
    <row r="148" spans="1:10" outlineLevel="1">
      <c r="A148" s="42">
        <f t="shared" si="3"/>
        <v>144</v>
      </c>
      <c r="I148" s="42" t="str">
        <f>IF(H148=1,COUNTIF($H$6:H148,1),"")</f>
        <v/>
      </c>
      <c r="J148" s="42" t="str">
        <f>IF($G$3="",C148,(IFERROR((INDEX($C$6:$C$80,MATCH(ROWS($I$6:I148),$I$6:$I$80,0))),"")))</f>
        <v/>
      </c>
    </row>
    <row r="149" spans="1:10" outlineLevel="1">
      <c r="A149" s="42">
        <f t="shared" si="3"/>
        <v>145</v>
      </c>
      <c r="I149" s="42" t="str">
        <f>IF(H149=1,COUNTIF($H$6:H149,1),"")</f>
        <v/>
      </c>
      <c r="J149" s="42" t="str">
        <f>IF($G$3="",C149,(IFERROR((INDEX($C$6:$C$80,MATCH(ROWS($I$6:I149),$I$6:$I$80,0))),"")))</f>
        <v/>
      </c>
    </row>
    <row r="150" spans="1:10" outlineLevel="1">
      <c r="A150" s="42">
        <f t="shared" si="3"/>
        <v>146</v>
      </c>
      <c r="I150" s="42" t="str">
        <f>IF(H150=1,COUNTIF($H$6:H150,1),"")</f>
        <v/>
      </c>
      <c r="J150" s="42" t="str">
        <f>IF($G$3="",C150,(IFERROR((INDEX($C$6:$C$80,MATCH(ROWS($I$6:I150),$I$6:$I$80,0))),"")))</f>
        <v/>
      </c>
    </row>
    <row r="151" spans="1:10" outlineLevel="1">
      <c r="A151" s="42">
        <f t="shared" si="3"/>
        <v>147</v>
      </c>
      <c r="I151" s="42" t="str">
        <f>IF(H151=1,COUNTIF($H$6:H151,1),"")</f>
        <v/>
      </c>
      <c r="J151" s="42" t="str">
        <f>IF($G$3="",C151,(IFERROR((INDEX($C$6:$C$80,MATCH(ROWS($I$6:I151),$I$6:$I$80,0))),"")))</f>
        <v/>
      </c>
    </row>
    <row r="152" spans="1:10" outlineLevel="1">
      <c r="A152" s="42">
        <f t="shared" si="3"/>
        <v>148</v>
      </c>
      <c r="I152" s="42" t="str">
        <f>IF(H152=1,COUNTIF($H$6:H152,1),"")</f>
        <v/>
      </c>
      <c r="J152" s="42" t="str">
        <f>IF($G$3="",C152,(IFERROR((INDEX($C$6:$C$80,MATCH(ROWS($I$6:I152),$I$6:$I$80,0))),"")))</f>
        <v/>
      </c>
    </row>
    <row r="153" spans="1:10" outlineLevel="1">
      <c r="A153" s="42">
        <f t="shared" si="3"/>
        <v>149</v>
      </c>
      <c r="I153" s="42" t="str">
        <f>IF(H153=1,COUNTIF($H$6:H153,1),"")</f>
        <v/>
      </c>
      <c r="J153" s="42" t="str">
        <f>IF($G$3="",C153,(IFERROR((INDEX($C$6:$C$80,MATCH(ROWS($I$6:I153),$I$6:$I$80,0))),"")))</f>
        <v/>
      </c>
    </row>
    <row r="154" spans="1:10" outlineLevel="1">
      <c r="A154" s="42">
        <f t="shared" si="3"/>
        <v>150</v>
      </c>
      <c r="I154" s="42" t="str">
        <f>IF(H154=1,COUNTIF($H$6:H154,1),"")</f>
        <v/>
      </c>
      <c r="J154" s="42" t="str">
        <f>IF($G$3="",C154,(IFERROR((INDEX($C$6:$C$80,MATCH(ROWS($I$6:I154),$I$6:$I$80,0))),"")))</f>
        <v/>
      </c>
    </row>
    <row r="155" spans="1:10" outlineLevel="1">
      <c r="A155" s="42">
        <f t="shared" si="3"/>
        <v>151</v>
      </c>
      <c r="I155" s="42" t="str">
        <f>IF(H155=1,COUNTIF($H$6:H155,1),"")</f>
        <v/>
      </c>
      <c r="J155" s="42" t="str">
        <f>IF($G$3="",C155,(IFERROR((INDEX($C$6:$C$80,MATCH(ROWS($I$6:I155),$I$6:$I$80,0))),"")))</f>
        <v/>
      </c>
    </row>
    <row r="156" spans="1:10" outlineLevel="1">
      <c r="A156" s="42">
        <f t="shared" si="3"/>
        <v>152</v>
      </c>
      <c r="I156" s="42" t="str">
        <f>IF(H156=1,COUNTIF($H$6:H156,1),"")</f>
        <v/>
      </c>
      <c r="J156" s="42" t="str">
        <f>IF($G$3="",C156,(IFERROR((INDEX($C$6:$C$80,MATCH(ROWS($I$6:I156),$I$6:$I$80,0))),"")))</f>
        <v/>
      </c>
    </row>
    <row r="157" spans="1:10" outlineLevel="1">
      <c r="A157" s="42">
        <f t="shared" si="3"/>
        <v>153</v>
      </c>
      <c r="I157" s="42" t="str">
        <f>IF(H157=1,COUNTIF($H$6:H157,1),"")</f>
        <v/>
      </c>
      <c r="J157" s="42" t="str">
        <f>IF($G$3="",C157,(IFERROR((INDEX($C$6:$C$80,MATCH(ROWS($I$6:I157),$I$6:$I$80,0))),"")))</f>
        <v/>
      </c>
    </row>
    <row r="158" spans="1:10" outlineLevel="1">
      <c r="A158" s="42">
        <f t="shared" si="3"/>
        <v>154</v>
      </c>
      <c r="I158" s="42" t="str">
        <f>IF(H158=1,COUNTIF($H$6:H158,1),"")</f>
        <v/>
      </c>
      <c r="J158" s="42" t="str">
        <f>IF($G$3="",C158,(IFERROR((INDEX($C$6:$C$80,MATCH(ROWS($I$6:I158),$I$6:$I$80,0))),"")))</f>
        <v/>
      </c>
    </row>
    <row r="159" spans="1:10" outlineLevel="1">
      <c r="A159" s="42">
        <f t="shared" si="3"/>
        <v>155</v>
      </c>
      <c r="C159" s="43" t="str">
        <f>IF(MainSheet!B6="","",MainSheet!B6)</f>
        <v>India</v>
      </c>
      <c r="I159" s="42" t="str">
        <f>IF(H159=1,COUNTIF($H$6:H159,1),"")</f>
        <v/>
      </c>
      <c r="J159" s="42" t="str">
        <f>IF($G$3="",C159,(IFERROR((INDEX($C$6:$C$80,MATCH(ROWS($I$6:I159),$I$6:$I$80,0))),"")))</f>
        <v/>
      </c>
    </row>
    <row r="160" spans="1:10" outlineLevel="1">
      <c r="A160" s="42">
        <f t="shared" si="3"/>
        <v>156</v>
      </c>
      <c r="I160" s="42" t="str">
        <f>IF(H160=1,COUNTIF($H$6:H160,1),"")</f>
        <v/>
      </c>
      <c r="J160" s="42" t="str">
        <f>IF($G$3="",C160,(IFERROR((INDEX($C$6:$C$80,MATCH(ROWS($I$6:I160),$I$6:$I$80,0))),"")))</f>
        <v/>
      </c>
    </row>
    <row r="161" spans="1:10" outlineLevel="1">
      <c r="A161" s="42">
        <f t="shared" si="3"/>
        <v>157</v>
      </c>
      <c r="C161" s="42" t="s">
        <v>422</v>
      </c>
      <c r="D161" s="42" t="s">
        <v>423</v>
      </c>
      <c r="E161" s="42">
        <f>--ISNUMBER((SEARCH($C$159,C161)))</f>
        <v>0</v>
      </c>
      <c r="F161" s="42" t="str">
        <f>IF(E161=1,COUNTIF(D$161:$E161,1),"")</f>
        <v/>
      </c>
      <c r="G161" s="42" t="str">
        <f>IF($C$159="",D161,(IFERROR((INDEX($D$161:$D$169,MATCH(ROWS($F$161:F161),$F$161:$F$169,0))),"")))</f>
        <v/>
      </c>
      <c r="I161" s="42" t="str">
        <f>IF(H161=1,COUNTIF($H$6:H161,1),"")</f>
        <v/>
      </c>
      <c r="J161" s="42" t="str">
        <f>IF($G$3="",C161,(IFERROR((INDEX($C$6:$C$80,MATCH(ROWS($I$6:I161),$I$6:$I$80,0))),"")))</f>
        <v/>
      </c>
    </row>
    <row r="162" spans="1:10" outlineLevel="1">
      <c r="A162" s="42">
        <f t="shared" si="3"/>
        <v>158</v>
      </c>
      <c r="C162" s="42" t="s">
        <v>424</v>
      </c>
      <c r="D162" s="42" t="s">
        <v>425</v>
      </c>
      <c r="E162" s="42">
        <f t="shared" ref="E162:E169" si="4">--ISNUMBER((SEARCH($C$159,C162)))</f>
        <v>0</v>
      </c>
      <c r="F162" s="42" t="str">
        <f>IF(E162=1,COUNTIF(D$161:$E162,1),"")</f>
        <v/>
      </c>
      <c r="G162" s="42" t="str">
        <f>IF($C$159="",D162,(IFERROR((INDEX($D$161:$D$169,MATCH(ROWS($F$161:F162),$F$161:$F$169,0))),"")))</f>
        <v/>
      </c>
      <c r="I162" s="42" t="str">
        <f>IF(H162=1,COUNTIF($H$6:H162,1),"")</f>
        <v/>
      </c>
      <c r="J162" s="42" t="str">
        <f>IF($G$3="",C162,(IFERROR((INDEX($C$6:$C$80,MATCH(ROWS($I$6:I162),$I$6:$I$80,0))),"")))</f>
        <v/>
      </c>
    </row>
    <row r="163" spans="1:10" outlineLevel="1">
      <c r="A163" s="42">
        <f t="shared" si="3"/>
        <v>159</v>
      </c>
      <c r="C163" s="42" t="s">
        <v>426</v>
      </c>
      <c r="D163" s="42" t="s">
        <v>427</v>
      </c>
      <c r="E163" s="42">
        <f t="shared" si="4"/>
        <v>0</v>
      </c>
      <c r="F163" s="42" t="str">
        <f>IF(E163=1,COUNTIF(D$161:$E163,1),"")</f>
        <v/>
      </c>
      <c r="G163" s="42" t="str">
        <f>IF($C$159="",D163,(IFERROR((INDEX($D$161:$D$169,MATCH(ROWS($F$161:F163),$F$161:$F$169,0))),"")))</f>
        <v/>
      </c>
      <c r="I163" s="42" t="str">
        <f>IF(H163=1,COUNTIF($H$6:H163,1),"")</f>
        <v/>
      </c>
      <c r="J163" s="42" t="str">
        <f>IF($G$3="",C163,(IFERROR((INDEX($C$6:$C$80,MATCH(ROWS($I$6:I163),$I$6:$I$80,0))),"")))</f>
        <v/>
      </c>
    </row>
    <row r="164" spans="1:10" outlineLevel="1">
      <c r="A164" s="42">
        <f t="shared" si="3"/>
        <v>160</v>
      </c>
      <c r="C164" s="42" t="s">
        <v>428</v>
      </c>
      <c r="D164" s="42" t="s">
        <v>429</v>
      </c>
      <c r="E164" s="42">
        <f t="shared" si="4"/>
        <v>0</v>
      </c>
      <c r="F164" s="42" t="str">
        <f>IF(E164=1,COUNTIF(D$161:$E164,1),"")</f>
        <v/>
      </c>
      <c r="G164" s="42" t="str">
        <f>IF($C$159="",D164,(IFERROR((INDEX($D$161:$D$169,MATCH(ROWS($F$161:F164),$F$161:$F$169,0))),"")))</f>
        <v/>
      </c>
      <c r="I164" s="42" t="str">
        <f>IF(H164=1,COUNTIF($H$6:H164,1),"")</f>
        <v/>
      </c>
      <c r="J164" s="42" t="str">
        <f>IF($G$3="",C164,(IFERROR((INDEX($C$6:$C$80,MATCH(ROWS($I$6:I164),$I$6:$I$80,0))),"")))</f>
        <v/>
      </c>
    </row>
    <row r="165" spans="1:10" outlineLevel="1">
      <c r="A165" s="42">
        <f t="shared" si="3"/>
        <v>161</v>
      </c>
      <c r="C165" s="42" t="s">
        <v>428</v>
      </c>
      <c r="D165" s="42" t="s">
        <v>430</v>
      </c>
      <c r="E165" s="42">
        <f t="shared" si="4"/>
        <v>0</v>
      </c>
      <c r="F165" s="42" t="str">
        <f>IF(E165=1,COUNTIF(D$161:$E165,1),"")</f>
        <v/>
      </c>
      <c r="G165" s="42" t="str">
        <f>IF($C$159="",D165,(IFERROR((INDEX($D$161:$D$169,MATCH(ROWS($F$161:F165),$F$161:$F$169,0))),"")))</f>
        <v/>
      </c>
      <c r="I165" s="42" t="str">
        <f>IF(H165=1,COUNTIF($H$6:H165,1),"")</f>
        <v/>
      </c>
      <c r="J165" s="42" t="str">
        <f>IF($G$3="",C165,(IFERROR((INDEX($C$6:$C$80,MATCH(ROWS($I$6:I165),$I$6:$I$80,0))),"")))</f>
        <v/>
      </c>
    </row>
    <row r="166" spans="1:10" outlineLevel="1">
      <c r="A166" s="42">
        <f t="shared" si="3"/>
        <v>162</v>
      </c>
      <c r="C166" s="42" t="s">
        <v>431</v>
      </c>
      <c r="D166" s="42" t="s">
        <v>432</v>
      </c>
      <c r="E166" s="42">
        <f t="shared" si="4"/>
        <v>0</v>
      </c>
      <c r="F166" s="42" t="str">
        <f>IF(E166=1,COUNTIF(D$161:$E166,1),"")</f>
        <v/>
      </c>
      <c r="G166" s="42" t="str">
        <f>IF($C$159="",D166,(IFERROR((INDEX($D$161:$D$169,MATCH(ROWS($F$161:F166),$F$161:$F$169,0))),"")))</f>
        <v/>
      </c>
      <c r="I166" s="42" t="str">
        <f>IF(H166=1,COUNTIF($H$6:H166,1),"")</f>
        <v/>
      </c>
      <c r="J166" s="42" t="str">
        <f>IF($G$3="",C166,(IFERROR((INDEX($C$6:$C$80,MATCH(ROWS($I$6:I166),$I$6:$I$80,0))),"")))</f>
        <v/>
      </c>
    </row>
    <row r="167" spans="1:10" outlineLevel="1">
      <c r="A167" s="42">
        <f t="shared" si="3"/>
        <v>163</v>
      </c>
      <c r="C167" s="42" t="s">
        <v>433</v>
      </c>
      <c r="D167" s="42" t="s">
        <v>434</v>
      </c>
      <c r="E167" s="42">
        <f t="shared" si="4"/>
        <v>0</v>
      </c>
      <c r="F167" s="42" t="str">
        <f>IF(E167=1,COUNTIF(D$161:$E167,1),"")</f>
        <v/>
      </c>
      <c r="G167" s="42" t="str">
        <f>IF($C$159="",D167,(IFERROR((INDEX($D$161:$D$169,MATCH(ROWS($F$161:F167),$F$161:$F$169,0))),"")))</f>
        <v/>
      </c>
      <c r="I167" s="42" t="str">
        <f>IF(H167=1,COUNTIF($H$6:H167,1),"")</f>
        <v/>
      </c>
      <c r="J167" s="42" t="str">
        <f>IF($G$3="",C167,(IFERROR((INDEX($C$6:$C$80,MATCH(ROWS($I$6:I167),$I$6:$I$80,0))),"")))</f>
        <v/>
      </c>
    </row>
    <row r="168" spans="1:10" outlineLevel="1">
      <c r="A168" s="42">
        <f t="shared" si="3"/>
        <v>164</v>
      </c>
      <c r="C168" s="42" t="s">
        <v>433</v>
      </c>
      <c r="D168" s="42" t="s">
        <v>435</v>
      </c>
      <c r="E168" s="42">
        <f t="shared" si="4"/>
        <v>0</v>
      </c>
      <c r="F168" s="42" t="str">
        <f>IF(E168=1,COUNTIF(D$161:$E168,1),"")</f>
        <v/>
      </c>
      <c r="G168" s="42" t="str">
        <f>IF($C$159="",D168,(IFERROR((INDEX($D$161:$D$169,MATCH(ROWS($F$161:F168),$F$161:$F$169,0))),"")))</f>
        <v/>
      </c>
      <c r="I168" s="42" t="str">
        <f>IF(H168=1,COUNTIF($H$6:H168,1),"")</f>
        <v/>
      </c>
      <c r="J168" s="42" t="str">
        <f>IF($G$3="",C168,(IFERROR((INDEX($C$6:$C$80,MATCH(ROWS($I$6:I168),$I$6:$I$80,0))),"")))</f>
        <v/>
      </c>
    </row>
    <row r="169" spans="1:10" outlineLevel="1">
      <c r="A169" s="42">
        <f t="shared" si="3"/>
        <v>165</v>
      </c>
      <c r="C169" s="42" t="s">
        <v>433</v>
      </c>
      <c r="D169" s="42" t="s">
        <v>436</v>
      </c>
      <c r="E169" s="42">
        <f t="shared" si="4"/>
        <v>0</v>
      </c>
      <c r="F169" s="42" t="str">
        <f>IF(E169=1,COUNTIF(D$161:$E169,1),"")</f>
        <v/>
      </c>
      <c r="G169" s="42" t="str">
        <f>IF($C$159="",D169,(IFERROR((INDEX($D$161:$D$169,MATCH(ROWS($F$161:F169),$F$161:$F$169,0))),"")))</f>
        <v/>
      </c>
      <c r="I169" s="42" t="str">
        <f>IF(H169=1,COUNTIF($H$6:H169,1),"")</f>
        <v/>
      </c>
      <c r="J169" s="42" t="str">
        <f>IF($G$3="",C169,(IFERROR((INDEX($C$6:$C$80,MATCH(ROWS($I$6:I169),$I$6:$I$80,0))),"")))</f>
        <v/>
      </c>
    </row>
    <row r="170" spans="1:10" outlineLevel="1">
      <c r="A170" s="42">
        <f t="shared" si="3"/>
        <v>166</v>
      </c>
      <c r="I170" s="42" t="str">
        <f>IF(H170=1,COUNTIF($H$6:H170,1),"")</f>
        <v/>
      </c>
      <c r="J170" s="42" t="str">
        <f>IF($G$3="",C170,(IFERROR((INDEX($C$6:$C$80,MATCH(ROWS($I$6:I170),$I$6:$I$80,0))),"")))</f>
        <v/>
      </c>
    </row>
    <row r="171" spans="1:10" outlineLevel="1">
      <c r="A171" s="42">
        <f t="shared" si="3"/>
        <v>167</v>
      </c>
      <c r="I171" s="42" t="str">
        <f>IF(H171=1,COUNTIF($H$6:H171,1),"")</f>
        <v/>
      </c>
      <c r="J171" s="42" t="str">
        <f>IF($G$3="",C171,(IFERROR((INDEX($C$6:$C$80,MATCH(ROWS($I$6:I171),$I$6:$I$80,0))),"")))</f>
        <v/>
      </c>
    </row>
    <row r="172" spans="1:10" outlineLevel="1">
      <c r="A172" s="42">
        <f t="shared" si="3"/>
        <v>168</v>
      </c>
      <c r="I172" s="42" t="str">
        <f>IF(H172=1,COUNTIF($H$6:H172,1),"")</f>
        <v/>
      </c>
      <c r="J172" s="42" t="str">
        <f>IF($G$3="",C172,(IFERROR((INDEX($C$6:$C$80,MATCH(ROWS($I$6:I172),$I$6:$I$80,0))),"")))</f>
        <v/>
      </c>
    </row>
    <row r="175" spans="1:10" ht="10.8" thickBot="1"/>
    <row r="176" spans="1:10" ht="10.8" thickBot="1">
      <c r="A176" s="960" t="s">
        <v>437</v>
      </c>
      <c r="B176" s="961"/>
      <c r="C176" s="961"/>
      <c r="D176" s="961"/>
      <c r="E176" s="961"/>
      <c r="F176" s="961"/>
      <c r="G176" s="961"/>
      <c r="H176" s="962"/>
    </row>
    <row r="177" spans="3:3" hidden="1" outlineLevel="1"/>
    <row r="178" spans="3:3" hidden="1" outlineLevel="1">
      <c r="C178" s="48" t="s">
        <v>438</v>
      </c>
    </row>
    <row r="179" spans="3:3" hidden="1" outlineLevel="1">
      <c r="C179" s="48" t="s">
        <v>439</v>
      </c>
    </row>
    <row r="180" spans="3:3" hidden="1" outlineLevel="1">
      <c r="C180" s="48" t="s">
        <v>440</v>
      </c>
    </row>
    <row r="181" spans="3:3" hidden="1" outlineLevel="1">
      <c r="C181" s="48" t="s">
        <v>441</v>
      </c>
    </row>
    <row r="182" spans="3:3" hidden="1" outlineLevel="1">
      <c r="C182" s="48" t="s">
        <v>116</v>
      </c>
    </row>
    <row r="183" spans="3:3" hidden="1" outlineLevel="1">
      <c r="C183" s="48" t="s">
        <v>442</v>
      </c>
    </row>
    <row r="184" spans="3:3" hidden="1" outlineLevel="1">
      <c r="C184" s="48" t="s">
        <v>443</v>
      </c>
    </row>
    <row r="185" spans="3:3" hidden="1" outlineLevel="1">
      <c r="C185" s="48" t="s">
        <v>444</v>
      </c>
    </row>
    <row r="186" spans="3:3" hidden="1" outlineLevel="1">
      <c r="C186" s="48" t="s">
        <v>445</v>
      </c>
    </row>
    <row r="187" spans="3:3" hidden="1" outlineLevel="1">
      <c r="C187" s="48" t="s">
        <v>446</v>
      </c>
    </row>
    <row r="188" spans="3:3" hidden="1" outlineLevel="1">
      <c r="C188" s="48" t="s">
        <v>447</v>
      </c>
    </row>
    <row r="189" spans="3:3" hidden="1" outlineLevel="1">
      <c r="C189" s="48" t="s">
        <v>448</v>
      </c>
    </row>
    <row r="190" spans="3:3" hidden="1" outlineLevel="1">
      <c r="C190" s="48" t="s">
        <v>449</v>
      </c>
    </row>
    <row r="191" spans="3:3" hidden="1" outlineLevel="1">
      <c r="C191" s="48" t="s">
        <v>450</v>
      </c>
    </row>
    <row r="192" spans="3:3" hidden="1" outlineLevel="1">
      <c r="C192" s="48" t="s">
        <v>451</v>
      </c>
    </row>
    <row r="193" spans="3:3" hidden="1" outlineLevel="1">
      <c r="C193" s="48" t="s">
        <v>452</v>
      </c>
    </row>
    <row r="194" spans="3:3" hidden="1" outlineLevel="1">
      <c r="C194" s="48" t="s">
        <v>453</v>
      </c>
    </row>
    <row r="195" spans="3:3" hidden="1" outlineLevel="1">
      <c r="C195" s="48" t="s">
        <v>454</v>
      </c>
    </row>
    <row r="196" spans="3:3" hidden="1" outlineLevel="1">
      <c r="C196" s="48" t="s">
        <v>455</v>
      </c>
    </row>
    <row r="197" spans="3:3" hidden="1" outlineLevel="1">
      <c r="C197" s="48" t="s">
        <v>456</v>
      </c>
    </row>
    <row r="198" spans="3:3" hidden="1" outlineLevel="1">
      <c r="C198" s="48" t="s">
        <v>457</v>
      </c>
    </row>
    <row r="199" spans="3:3" hidden="1" outlineLevel="1">
      <c r="C199" s="48" t="s">
        <v>458</v>
      </c>
    </row>
    <row r="200" spans="3:3" hidden="1" outlineLevel="1">
      <c r="C200" s="48" t="s">
        <v>459</v>
      </c>
    </row>
    <row r="201" spans="3:3" hidden="1" outlineLevel="1">
      <c r="C201" s="48" t="s">
        <v>460</v>
      </c>
    </row>
    <row r="202" spans="3:3" hidden="1" outlineLevel="1">
      <c r="C202" s="48" t="s">
        <v>461</v>
      </c>
    </row>
    <row r="203" spans="3:3" hidden="1" outlineLevel="1">
      <c r="C203" s="48" t="s">
        <v>462</v>
      </c>
    </row>
    <row r="204" spans="3:3" hidden="1" outlineLevel="1">
      <c r="C204" s="48" t="s">
        <v>463</v>
      </c>
    </row>
    <row r="205" spans="3:3" hidden="1" outlineLevel="1">
      <c r="C205" s="48" t="s">
        <v>464</v>
      </c>
    </row>
    <row r="206" spans="3:3" hidden="1" outlineLevel="1">
      <c r="C206" s="48" t="s">
        <v>465</v>
      </c>
    </row>
    <row r="207" spans="3:3" hidden="1" outlineLevel="1">
      <c r="C207" s="48" t="s">
        <v>466</v>
      </c>
    </row>
    <row r="208" spans="3:3" hidden="1" outlineLevel="1">
      <c r="C208" s="48" t="s">
        <v>467</v>
      </c>
    </row>
    <row r="209" spans="3:3" hidden="1" outlineLevel="1">
      <c r="C209" s="48" t="s">
        <v>468</v>
      </c>
    </row>
    <row r="210" spans="3:3" hidden="1" outlineLevel="1">
      <c r="C210" s="48" t="s">
        <v>469</v>
      </c>
    </row>
    <row r="211" spans="3:3" hidden="1" outlineLevel="1">
      <c r="C211" s="48" t="s">
        <v>470</v>
      </c>
    </row>
    <row r="212" spans="3:3" hidden="1" outlineLevel="1">
      <c r="C212" s="48" t="s">
        <v>471</v>
      </c>
    </row>
    <row r="213" spans="3:3" hidden="1" outlineLevel="1">
      <c r="C213" s="48" t="s">
        <v>472</v>
      </c>
    </row>
    <row r="214" spans="3:3" hidden="1" outlineLevel="1">
      <c r="C214" s="48" t="s">
        <v>473</v>
      </c>
    </row>
    <row r="215" spans="3:3" hidden="1" outlineLevel="1">
      <c r="C215" s="48" t="s">
        <v>474</v>
      </c>
    </row>
    <row r="216" spans="3:3" hidden="1" outlineLevel="1">
      <c r="C216" s="48" t="s">
        <v>475</v>
      </c>
    </row>
    <row r="217" spans="3:3" hidden="1" outlineLevel="1">
      <c r="C217" s="48"/>
    </row>
    <row r="218" spans="3:3" hidden="1" outlineLevel="1"/>
    <row r="219" spans="3:3" hidden="1" outlineLevel="1"/>
    <row r="220" spans="3:3" hidden="1" outlineLevel="1"/>
    <row r="221" spans="3:3" hidden="1" outlineLevel="1"/>
    <row r="222" spans="3:3" hidden="1" outlineLevel="1"/>
    <row r="223" spans="3:3" hidden="1" outlineLevel="1"/>
    <row r="224" spans="3:3" collapsed="1"/>
    <row r="226" spans="1:8" ht="10.8" thickBot="1"/>
    <row r="227" spans="1:8" ht="10.8" thickBot="1">
      <c r="A227" s="963" t="s">
        <v>476</v>
      </c>
      <c r="B227" s="964"/>
      <c r="C227" s="964"/>
      <c r="D227" s="964"/>
      <c r="E227" s="964"/>
      <c r="F227" s="964"/>
      <c r="G227" s="964"/>
      <c r="H227" s="965"/>
    </row>
    <row r="228" spans="1:8" outlineLevel="1"/>
    <row r="229" spans="1:8" outlineLevel="1">
      <c r="G229" s="42" t="s">
        <v>477</v>
      </c>
    </row>
    <row r="230" spans="1:8" outlineLevel="1">
      <c r="B230" s="48" t="s">
        <v>286</v>
      </c>
      <c r="C230" s="48">
        <v>1</v>
      </c>
      <c r="E230" s="45"/>
      <c r="F230" s="43" t="s">
        <v>478</v>
      </c>
      <c r="G230" s="42" t="s">
        <v>479</v>
      </c>
    </row>
    <row r="231" spans="1:8" outlineLevel="1">
      <c r="B231" s="48" t="s">
        <v>191</v>
      </c>
      <c r="C231" s="48">
        <v>80.5</v>
      </c>
      <c r="E231" s="45"/>
      <c r="F231" s="43" t="s">
        <v>480</v>
      </c>
      <c r="G231" s="42" t="s">
        <v>481</v>
      </c>
    </row>
    <row r="232" spans="1:8" outlineLevel="1">
      <c r="E232" s="45"/>
      <c r="F232" s="43" t="s">
        <v>482</v>
      </c>
      <c r="G232" s="42" t="s">
        <v>483</v>
      </c>
    </row>
    <row r="233" spans="1:8" outlineLevel="1">
      <c r="E233" s="45"/>
      <c r="F233" s="43" t="s">
        <v>484</v>
      </c>
      <c r="G233" s="42" t="s">
        <v>485</v>
      </c>
    </row>
    <row r="234" spans="1:8" outlineLevel="1">
      <c r="E234" s="45"/>
      <c r="F234" s="43" t="s">
        <v>486</v>
      </c>
      <c r="G234" s="42" t="s">
        <v>487</v>
      </c>
    </row>
    <row r="235" spans="1:8" outlineLevel="1">
      <c r="E235" s="45"/>
      <c r="F235" s="43" t="s">
        <v>488</v>
      </c>
      <c r="G235" s="42" t="s">
        <v>489</v>
      </c>
    </row>
    <row r="236" spans="1:8" outlineLevel="1">
      <c r="E236" s="45"/>
      <c r="F236" s="43" t="s">
        <v>490</v>
      </c>
      <c r="G236" s="42" t="s">
        <v>491</v>
      </c>
    </row>
    <row r="237" spans="1:8" outlineLevel="1">
      <c r="E237" s="45"/>
      <c r="F237" s="43" t="s">
        <v>492</v>
      </c>
      <c r="G237" s="42" t="s">
        <v>493</v>
      </c>
    </row>
    <row r="238" spans="1:8" outlineLevel="1">
      <c r="E238" s="45"/>
      <c r="F238" s="43" t="s">
        <v>494</v>
      </c>
      <c r="G238" s="42" t="s">
        <v>495</v>
      </c>
    </row>
    <row r="239" spans="1:8" outlineLevel="1">
      <c r="B239" s="48" t="s">
        <v>286</v>
      </c>
      <c r="C239" s="48">
        <v>1</v>
      </c>
      <c r="E239" s="45"/>
      <c r="F239" s="43" t="s">
        <v>496</v>
      </c>
      <c r="G239" s="42" t="s">
        <v>497</v>
      </c>
    </row>
    <row r="240" spans="1:8" outlineLevel="1">
      <c r="B240" s="48" t="s">
        <v>191</v>
      </c>
      <c r="C240" s="48">
        <v>80.5</v>
      </c>
      <c r="E240" s="45"/>
      <c r="F240" s="43" t="s">
        <v>498</v>
      </c>
      <c r="G240" s="42" t="s">
        <v>499</v>
      </c>
    </row>
    <row r="241" spans="2:7" outlineLevel="1">
      <c r="E241" s="45"/>
      <c r="F241" s="43" t="s">
        <v>259</v>
      </c>
      <c r="G241" s="42" t="s">
        <v>500</v>
      </c>
    </row>
    <row r="242" spans="2:7" outlineLevel="1">
      <c r="E242" s="45"/>
      <c r="F242" s="43" t="s">
        <v>501</v>
      </c>
      <c r="G242" s="42" t="s">
        <v>502</v>
      </c>
    </row>
    <row r="243" spans="2:7" outlineLevel="1">
      <c r="E243" s="45"/>
      <c r="F243" s="43"/>
      <c r="G243" s="42" t="s">
        <v>503</v>
      </c>
    </row>
    <row r="244" spans="2:7" outlineLevel="1">
      <c r="C244" s="42" t="s">
        <v>504</v>
      </c>
      <c r="E244" s="45"/>
      <c r="F244" s="43"/>
      <c r="G244" s="42" t="s">
        <v>505</v>
      </c>
    </row>
    <row r="245" spans="2:7" outlineLevel="1">
      <c r="C245" s="42" t="s">
        <v>506</v>
      </c>
      <c r="E245" s="45"/>
      <c r="F245" s="43"/>
      <c r="G245" s="42" t="s">
        <v>507</v>
      </c>
    </row>
    <row r="246" spans="2:7" outlineLevel="1">
      <c r="B246" s="42" t="s">
        <v>428</v>
      </c>
      <c r="C246" s="42" t="s">
        <v>508</v>
      </c>
      <c r="E246" s="45"/>
      <c r="F246" s="42" t="s">
        <v>509</v>
      </c>
      <c r="G246" s="42" t="s">
        <v>510</v>
      </c>
    </row>
    <row r="247" spans="2:7" outlineLevel="1">
      <c r="B247" s="42" t="s">
        <v>426</v>
      </c>
      <c r="C247" s="42" t="s">
        <v>511</v>
      </c>
      <c r="E247" s="45"/>
      <c r="F247" s="42" t="s">
        <v>512</v>
      </c>
      <c r="G247" s="42" t="s">
        <v>513</v>
      </c>
    </row>
    <row r="248" spans="2:7" outlineLevel="1">
      <c r="B248" s="42" t="s">
        <v>422</v>
      </c>
      <c r="C248" s="42" t="s">
        <v>514</v>
      </c>
      <c r="E248" s="45"/>
      <c r="F248" s="42" t="s">
        <v>515</v>
      </c>
      <c r="G248" s="42" t="s">
        <v>516</v>
      </c>
    </row>
    <row r="249" spans="2:7" outlineLevel="1">
      <c r="B249" s="42" t="s">
        <v>431</v>
      </c>
      <c r="C249" s="42" t="s">
        <v>148</v>
      </c>
      <c r="E249" s="45"/>
      <c r="F249" s="42" t="s">
        <v>517</v>
      </c>
      <c r="G249" s="42" t="s">
        <v>518</v>
      </c>
    </row>
    <row r="250" spans="2:7" outlineLevel="1">
      <c r="B250" s="42" t="s">
        <v>424</v>
      </c>
      <c r="C250" s="42" t="s">
        <v>420</v>
      </c>
      <c r="E250" s="45"/>
      <c r="G250" s="42" t="s">
        <v>519</v>
      </c>
    </row>
    <row r="251" spans="2:7" outlineLevel="1">
      <c r="B251" s="42" t="s">
        <v>433</v>
      </c>
      <c r="C251" s="42" t="s">
        <v>419</v>
      </c>
      <c r="E251" s="45"/>
      <c r="G251" s="42" t="s">
        <v>520</v>
      </c>
    </row>
    <row r="252" spans="2:7" outlineLevel="1">
      <c r="C252" s="42" t="s">
        <v>521</v>
      </c>
      <c r="E252" s="45"/>
      <c r="G252" s="42" t="s">
        <v>522</v>
      </c>
    </row>
    <row r="253" spans="2:7" outlineLevel="1">
      <c r="C253" s="42" t="s">
        <v>523</v>
      </c>
      <c r="E253" s="45"/>
      <c r="G253" s="42" t="s">
        <v>524</v>
      </c>
    </row>
    <row r="254" spans="2:7" outlineLevel="1">
      <c r="C254" s="42" t="s">
        <v>525</v>
      </c>
      <c r="E254" s="45"/>
      <c r="G254" s="42" t="s">
        <v>526</v>
      </c>
    </row>
    <row r="255" spans="2:7" outlineLevel="1">
      <c r="E255" s="45"/>
      <c r="G255" s="42" t="s">
        <v>527</v>
      </c>
    </row>
    <row r="256" spans="2:7" outlineLevel="1">
      <c r="B256" s="42" t="s">
        <v>422</v>
      </c>
      <c r="C256" s="42" t="s">
        <v>528</v>
      </c>
      <c r="E256" s="45"/>
      <c r="G256" s="42" t="s">
        <v>529</v>
      </c>
    </row>
    <row r="257" spans="2:7" outlineLevel="1">
      <c r="B257" s="42" t="s">
        <v>424</v>
      </c>
      <c r="C257" s="42" t="s">
        <v>530</v>
      </c>
      <c r="E257" s="45"/>
      <c r="G257" s="42" t="s">
        <v>531</v>
      </c>
    </row>
    <row r="258" spans="2:7" outlineLevel="1">
      <c r="B258" s="42" t="s">
        <v>426</v>
      </c>
      <c r="E258" s="45"/>
      <c r="G258" s="42" t="s">
        <v>532</v>
      </c>
    </row>
    <row r="259" spans="2:7" outlineLevel="1">
      <c r="B259" s="42" t="s">
        <v>428</v>
      </c>
      <c r="E259" s="45"/>
      <c r="G259" s="42" t="s">
        <v>533</v>
      </c>
    </row>
    <row r="260" spans="2:7" outlineLevel="1">
      <c r="B260" s="42" t="s">
        <v>428</v>
      </c>
      <c r="E260" s="45"/>
      <c r="G260" s="42" t="s">
        <v>534</v>
      </c>
    </row>
    <row r="261" spans="2:7" outlineLevel="1">
      <c r="B261" s="42" t="s">
        <v>431</v>
      </c>
      <c r="E261" s="45"/>
      <c r="G261" s="42" t="s">
        <v>535</v>
      </c>
    </row>
    <row r="262" spans="2:7" outlineLevel="1">
      <c r="B262" s="42" t="s">
        <v>433</v>
      </c>
      <c r="E262" s="45"/>
      <c r="G262" s="42" t="s">
        <v>536</v>
      </c>
    </row>
    <row r="263" spans="2:7" outlineLevel="1">
      <c r="B263" s="42" t="s">
        <v>433</v>
      </c>
      <c r="E263" s="45"/>
      <c r="G263" s="42" t="s">
        <v>537</v>
      </c>
    </row>
    <row r="264" spans="2:7" outlineLevel="1">
      <c r="B264" s="42" t="s">
        <v>433</v>
      </c>
      <c r="E264" s="45"/>
      <c r="G264" s="42" t="s">
        <v>538</v>
      </c>
    </row>
    <row r="265" spans="2:7" outlineLevel="1">
      <c r="E265" s="45"/>
      <c r="G265" s="42" t="s">
        <v>539</v>
      </c>
    </row>
    <row r="266" spans="2:7" outlineLevel="1">
      <c r="E266" s="45"/>
      <c r="G266" s="42" t="s">
        <v>540</v>
      </c>
    </row>
    <row r="267" spans="2:7" outlineLevel="1">
      <c r="E267" s="45"/>
    </row>
    <row r="268" spans="2:7" outlineLevel="1">
      <c r="E268" s="45"/>
    </row>
    <row r="269" spans="2:7" outlineLevel="1">
      <c r="E269" s="45"/>
    </row>
    <row r="270" spans="2:7" outlineLevel="1">
      <c r="E270" s="45"/>
    </row>
    <row r="271" spans="2:7" outlineLevel="1">
      <c r="E271" s="45"/>
    </row>
    <row r="272" spans="2:7" outlineLevel="1">
      <c r="E272" s="45"/>
    </row>
    <row r="273" spans="1:8" outlineLevel="1">
      <c r="E273" s="45"/>
    </row>
    <row r="275" spans="1:8" ht="10.8" thickBot="1"/>
    <row r="276" spans="1:8" ht="10.8" thickBot="1">
      <c r="A276" s="49" t="s">
        <v>541</v>
      </c>
      <c r="B276" s="50"/>
      <c r="C276" s="50"/>
      <c r="D276" s="50"/>
      <c r="E276" s="50"/>
      <c r="F276" s="50"/>
      <c r="G276" s="50"/>
      <c r="H276" s="51"/>
    </row>
    <row r="277" spans="1:8" outlineLevel="1">
      <c r="A277" s="42" t="s">
        <v>84</v>
      </c>
    </row>
    <row r="278" spans="1:8" outlineLevel="1">
      <c r="A278" s="43" t="s">
        <v>86</v>
      </c>
      <c r="C278" s="42" t="s">
        <v>22</v>
      </c>
      <c r="D278" s="42" t="s">
        <v>542</v>
      </c>
      <c r="E278" s="42" t="s">
        <v>543</v>
      </c>
      <c r="F278" s="42" t="s">
        <v>303</v>
      </c>
      <c r="G278" s="42" t="s">
        <v>544</v>
      </c>
    </row>
    <row r="279" spans="1:8" outlineLevel="1">
      <c r="A279" s="43" t="s">
        <v>88</v>
      </c>
      <c r="F279" s="42" t="s">
        <v>304</v>
      </c>
      <c r="G279" s="42" t="s">
        <v>545</v>
      </c>
    </row>
    <row r="280" spans="1:8" outlineLevel="1">
      <c r="A280" s="43" t="s">
        <v>90</v>
      </c>
      <c r="C280" s="43" t="s">
        <v>145</v>
      </c>
      <c r="D280" s="43" t="s">
        <v>546</v>
      </c>
      <c r="E280" s="43" t="s">
        <v>509</v>
      </c>
      <c r="F280" s="42" t="s">
        <v>547</v>
      </c>
      <c r="G280" s="42" t="s">
        <v>548</v>
      </c>
    </row>
    <row r="281" spans="1:8" outlineLevel="1">
      <c r="A281" s="43" t="s">
        <v>221</v>
      </c>
      <c r="C281" s="43" t="s">
        <v>210</v>
      </c>
      <c r="D281" s="43" t="s">
        <v>549</v>
      </c>
      <c r="E281" s="43" t="s">
        <v>550</v>
      </c>
      <c r="F281" s="42" t="s">
        <v>551</v>
      </c>
    </row>
    <row r="282" spans="1:8" outlineLevel="1">
      <c r="A282" s="43" t="s">
        <v>94</v>
      </c>
      <c r="C282" s="43" t="s">
        <v>290</v>
      </c>
      <c r="D282" s="43" t="s">
        <v>552</v>
      </c>
      <c r="E282" s="43" t="s">
        <v>512</v>
      </c>
      <c r="F282" s="42" t="s">
        <v>553</v>
      </c>
    </row>
    <row r="283" spans="1:8" outlineLevel="1">
      <c r="A283" s="43"/>
      <c r="C283" s="43"/>
      <c r="D283" s="43" t="s">
        <v>36</v>
      </c>
      <c r="E283" s="43"/>
      <c r="F283" s="42" t="s">
        <v>554</v>
      </c>
    </row>
    <row r="284" spans="1:8" outlineLevel="1">
      <c r="C284" s="43"/>
      <c r="D284" s="43" t="s">
        <v>555</v>
      </c>
      <c r="E284" s="43"/>
      <c r="F284" s="42" t="s">
        <v>556</v>
      </c>
    </row>
    <row r="285" spans="1:8" outlineLevel="1">
      <c r="C285" s="43"/>
      <c r="D285" s="43" t="s">
        <v>557</v>
      </c>
      <c r="E285" s="43"/>
      <c r="F285" s="42" t="s">
        <v>558</v>
      </c>
    </row>
    <row r="286" spans="1:8" outlineLevel="1">
      <c r="C286" s="43"/>
      <c r="D286" s="43" t="s">
        <v>559</v>
      </c>
      <c r="E286" s="43"/>
      <c r="F286" s="42" t="s">
        <v>560</v>
      </c>
    </row>
    <row r="287" spans="1:8" outlineLevel="1">
      <c r="C287" s="43"/>
      <c r="D287" s="43" t="s">
        <v>561</v>
      </c>
      <c r="E287" s="43"/>
    </row>
    <row r="288" spans="1:8" outlineLevel="1">
      <c r="C288" s="43"/>
      <c r="D288" s="43" t="s">
        <v>562</v>
      </c>
      <c r="E288" s="43"/>
    </row>
    <row r="289" spans="1:8" outlineLevel="1">
      <c r="C289" s="43"/>
      <c r="D289" s="43" t="s">
        <v>563</v>
      </c>
      <c r="E289" s="43"/>
    </row>
    <row r="290" spans="1:8" outlineLevel="1">
      <c r="C290" s="43"/>
      <c r="D290" s="43" t="s">
        <v>46</v>
      </c>
      <c r="E290" s="43"/>
    </row>
    <row r="291" spans="1:8" outlineLevel="1">
      <c r="C291" s="43"/>
      <c r="D291" s="43" t="s">
        <v>564</v>
      </c>
      <c r="E291" s="43"/>
    </row>
    <row r="292" spans="1:8" outlineLevel="1">
      <c r="C292" s="43"/>
      <c r="D292" s="43"/>
      <c r="E292" s="43"/>
    </row>
    <row r="293" spans="1:8" outlineLevel="1">
      <c r="C293" s="43"/>
      <c r="D293" s="43"/>
      <c r="E293" s="43"/>
    </row>
    <row r="294" spans="1:8" outlineLevel="1">
      <c r="C294" s="43"/>
      <c r="D294" s="43"/>
      <c r="E294" s="43"/>
    </row>
    <row r="295" spans="1:8">
      <c r="C295" s="43"/>
      <c r="D295" s="43"/>
      <c r="E295" s="43"/>
    </row>
    <row r="296" spans="1:8" ht="10.8" thickBot="1">
      <c r="C296" s="43"/>
      <c r="D296" s="43"/>
      <c r="E296" s="43"/>
    </row>
    <row r="297" spans="1:8" ht="13.5" customHeight="1" thickBot="1">
      <c r="A297" s="52" t="s">
        <v>565</v>
      </c>
      <c r="B297" s="53"/>
      <c r="C297" s="53"/>
      <c r="D297" s="53"/>
      <c r="E297" s="53"/>
      <c r="F297" s="53"/>
      <c r="G297" s="53"/>
      <c r="H297" s="54"/>
    </row>
    <row r="298" spans="1:8" outlineLevel="1">
      <c r="C298" s="43"/>
      <c r="D298" s="43"/>
      <c r="E298" s="43"/>
    </row>
    <row r="299" spans="1:8" outlineLevel="1">
      <c r="C299" s="55"/>
      <c r="D299" s="55"/>
      <c r="E299" s="55"/>
      <c r="F299" s="55"/>
    </row>
    <row r="300" spans="1:8" outlineLevel="1">
      <c r="C300" s="55"/>
      <c r="D300" s="55"/>
      <c r="E300" s="55"/>
      <c r="F300" s="298"/>
    </row>
    <row r="301" spans="1:8" outlineLevel="1">
      <c r="A301" s="42" t="b">
        <f>C301=D301</f>
        <v>0</v>
      </c>
      <c r="B301" s="43" t="str">
        <f>MainSheet!$B$12</f>
        <v>Fixed Fee (Incl. Outlays)</v>
      </c>
      <c r="C301" s="355" t="str">
        <f>IF(B301=PRFIIO!$C$8,(IF(PRFIIO!A34="","",PRFIIO!A34)),(IF('Ref1'!B301=PRFEIO!$C$8,(IF(PRFEIO!A32="","",PRFEIO!A32)),IF(B301=PRTM!$C$9,IF(PRTM!H25="","",IF(PRTM!H25="Billable","",IF(PRTM!H25="Non Billable OPE","Home Office","Sub-Contractor (3rd party)"))),""))))</f>
        <v>Home Office</v>
      </c>
      <c r="D301" s="357" t="str">
        <f>IF(B301=PRFIIO!$C$8,(IF(PRFIIO!D34="","",PRFIIO!D34)),(IF('Ref1'!B301=PRFEIO!$C$8,(IF(PRFEIO!D32="","",PRFEIO!D32)),"")))</f>
        <v>India - R&amp;C</v>
      </c>
      <c r="E301" s="43" t="str">
        <f t="shared" ref="E301:E305" si="5">C301&amp;" - "&amp;D301</f>
        <v>Home Office - India - R&amp;C</v>
      </c>
      <c r="F301" s="299">
        <f>SUMIFS(Expenses!$F$7:$F$31,Expenses!$C$7:$C$31,'Ref1'!E301)</f>
        <v>0</v>
      </c>
      <c r="G301" s="356">
        <f>IF(B301=PRFEIO!$C$8,0,SUMIFS(Expenses!$P$7:$P$31,Expenses!$C$7:$C$31,'Ref1'!E301)-F301)</f>
        <v>0</v>
      </c>
      <c r="H301" s="533">
        <f>SUMIFS(Expenses!$E$7:$E$31,Expenses!$C$7:$C$31,'Ref1'!E301)</f>
        <v>0</v>
      </c>
    </row>
    <row r="302" spans="1:8" outlineLevel="1">
      <c r="A302" s="42" t="b">
        <f t="shared" ref="A302:A312" si="6">C302=D302</f>
        <v>0</v>
      </c>
      <c r="B302" s="43" t="str">
        <f>MainSheet!$B$12</f>
        <v>Fixed Fee (Incl. Outlays)</v>
      </c>
      <c r="C302" s="355" t="str">
        <f>IF(B302=PRFIIO!$C$8,(IF(PRFIIO!A35="","",PRFIIO!A35)),(IF('Ref1'!B302=PRFEIO!$C$8,(IF(PRFEIO!A33="","",PRFEIO!A33)),IF(B302=PRTM!$C$9,IF(PRTM!H25=PRTM!H26,"",IF(PRTM!H26="","",IF(PRTM!H26="Billable","",IF(PRTM!H26="Non Billable OPE","Home Office","Sub-Contractor (3rd party)")))),""))))</f>
        <v>Sub-Contractor (3rd party)</v>
      </c>
      <c r="D302" s="357" t="str">
        <f>IF(B302=PRFIIO!$C$8,(IF(PRFIIO!D35="","",PRFIIO!D35)),(IF('Ref1'!B302=PRFEIO!$C$8,(IF(PRFEIO!D33="","",PRFEIO!D33)),"")))</f>
        <v/>
      </c>
      <c r="E302" s="43" t="str">
        <f t="shared" si="5"/>
        <v xml:space="preserve">Sub-Contractor (3rd party) - </v>
      </c>
      <c r="F302" s="299">
        <f>SUMIFS(Expenses!$F$7:$F$31,Expenses!$C$7:$C$31,'Ref1'!E302)</f>
        <v>0</v>
      </c>
      <c r="G302" s="356">
        <f>SUMIFS(Expenses!$P$7:$P$31,Expenses!$C$7:$C$31,'Ref1'!E302)-F302</f>
        <v>0</v>
      </c>
      <c r="H302" s="533">
        <f>SUMIFS(Expenses!$E$7:$E$31,Expenses!$C$7:$C$31,'Ref1'!E302)</f>
        <v>0</v>
      </c>
    </row>
    <row r="303" spans="1:8" outlineLevel="1">
      <c r="A303" s="42" t="b">
        <f t="shared" si="6"/>
        <v>1</v>
      </c>
      <c r="B303" s="43" t="str">
        <f>MainSheet!$B$12</f>
        <v>Fixed Fee (Incl. Outlays)</v>
      </c>
      <c r="C303" s="355" t="str">
        <f>IF(B303=PRFIIO!$C$8,(IF(PRFIIO!A36="","",PRFIIO!A36)),(IF('Ref1'!B303=PRFEIO!$C$8,(IF(PRFEIO!A34="","",PRFEIO!A34)),"")))</f>
        <v/>
      </c>
      <c r="D303" s="357" t="str">
        <f>IF(B303=PRFIIO!$C$8,(IF(PRFIIO!D36="","",PRFIIO!D36)),(IF('Ref1'!B303=PRFEIO!$C$8,(IF(PRFEIO!D34="","",PRFEIO!D34)),"")))</f>
        <v/>
      </c>
      <c r="E303" s="43" t="str">
        <f t="shared" si="5"/>
        <v xml:space="preserve"> - </v>
      </c>
      <c r="F303" s="299">
        <f>SUMIFS(Expenses!$F$7:$F$31,Expenses!$C$7:$C$31,'Ref1'!E303)</f>
        <v>0</v>
      </c>
      <c r="G303" s="356">
        <f>SUMIFS(Expenses!$P$7:$P$31,Expenses!$C$7:$C$31,'Ref1'!E303)-F303</f>
        <v>0</v>
      </c>
      <c r="H303" s="533">
        <f>SUMIFS(Expenses!$E$7:$E$31,Expenses!$C$7:$C$31,'Ref1'!E303)</f>
        <v>0</v>
      </c>
    </row>
    <row r="304" spans="1:8" outlineLevel="1">
      <c r="A304" s="42" t="b">
        <f t="shared" si="6"/>
        <v>1</v>
      </c>
      <c r="B304" s="43" t="str">
        <f>MainSheet!$B$12</f>
        <v>Fixed Fee (Incl. Outlays)</v>
      </c>
      <c r="C304" s="355" t="str">
        <f>IF(B304=PRFIIO!$C$8,(IF(PRFIIO!A37="","",PRFIIO!A37)),(IF('Ref1'!B304=PRFEIO!$C$8,(IF(PRFEIO!A35="","",PRFEIO!A35)),"")))</f>
        <v/>
      </c>
      <c r="D304" s="357" t="str">
        <f>IF(B304=PRFIIO!$C$8,(IF(PRFIIO!D37="","",PRFIIO!D37)),(IF('Ref1'!B304=PRFEIO!$C$8,(IF(PRFEIO!D35="","",PRFEIO!D35)),"")))</f>
        <v/>
      </c>
      <c r="E304" s="43" t="str">
        <f t="shared" si="5"/>
        <v xml:space="preserve"> - </v>
      </c>
      <c r="F304" s="299">
        <f>SUMIFS(Expenses!$F$7:$F$31,Expenses!$C$7:$C$31,'Ref1'!E304)</f>
        <v>0</v>
      </c>
      <c r="G304" s="356">
        <f>SUMIFS(Expenses!$P$7:$P$31,Expenses!$C$7:$C$31,'Ref1'!E304)-F304</f>
        <v>0</v>
      </c>
      <c r="H304" s="533">
        <f>SUMIFS(Expenses!$E$7:$E$31,Expenses!$C$7:$C$31,'Ref1'!E304)</f>
        <v>0</v>
      </c>
    </row>
    <row r="305" spans="1:8" outlineLevel="1">
      <c r="A305" s="42" t="b">
        <f t="shared" si="6"/>
        <v>1</v>
      </c>
      <c r="B305" s="43" t="str">
        <f>MainSheet!$B$12</f>
        <v>Fixed Fee (Incl. Outlays)</v>
      </c>
      <c r="C305" s="355" t="str">
        <f>IF(B305=PRFIIO!$C$8,(IF(PRFIIO!A38="","",PRFIIO!A38)),(IF('Ref1'!B305=PRFEIO!$C$8,(IF(PRFEIO!A36="","",PRFEIO!A36)),"")))</f>
        <v/>
      </c>
      <c r="D305" s="357" t="str">
        <f>IF(B305=PRFIIO!$C$8,(IF(PRFIIO!D38="","",PRFIIO!D38)),(IF('Ref1'!B305=PRFEIO!$C$8,(IF(PRFEIO!D36="","",PRFEIO!D36)),"")))</f>
        <v/>
      </c>
      <c r="E305" s="43" t="str">
        <f t="shared" si="5"/>
        <v xml:space="preserve"> - </v>
      </c>
      <c r="F305" s="299">
        <f>SUMIFS(Expenses!$F$7:$F$31,Expenses!$C$7:$C$31,'Ref1'!E305)</f>
        <v>0</v>
      </c>
      <c r="G305" s="356">
        <f>SUMIFS(Expenses!$P$7:$P$31,Expenses!$C$7:$C$31,'Ref1'!E305)-F305</f>
        <v>0</v>
      </c>
      <c r="H305" s="533">
        <f>SUMIFS(Expenses!$E$7:$E$31,Expenses!$C$7:$C$31,'Ref1'!E305)</f>
        <v>0</v>
      </c>
    </row>
    <row r="306" spans="1:8" outlineLevel="1">
      <c r="A306" s="42" t="b">
        <f t="shared" si="6"/>
        <v>1</v>
      </c>
      <c r="B306" s="43" t="str">
        <f>MainSheet!$B$12</f>
        <v>Fixed Fee (Incl. Outlays)</v>
      </c>
      <c r="C306" s="355" t="str">
        <f>IF(B306=PRFIIO!$C$8,(IF(PRFIIO!A39="","",PRFIIO!A39)),(IF('Ref1'!B306=PRFEIO!$C$8,(IF(PRFEIO!A37="","",PRFEIO!A37)),"")))</f>
        <v/>
      </c>
      <c r="D306" s="357" t="str">
        <f>IF(B306=PRFIIO!$C$8,(IF(PRFIIO!D39="","",PRFIIO!D39)),(IF('Ref1'!B306=PRFEIO!$C$8,(IF(PRFEIO!D37="","",PRFEIO!D37)),"")))</f>
        <v/>
      </c>
      <c r="E306" s="43" t="str">
        <f>C306&amp;" - "&amp;D306</f>
        <v xml:space="preserve"> - </v>
      </c>
      <c r="F306" s="299">
        <f>SUMIFS(Expenses!$F$7:$F$31,Expenses!$C$7:$C$31,'Ref1'!E306)</f>
        <v>0</v>
      </c>
      <c r="G306" s="356">
        <f>SUMIFS(Expenses!$P$7:$P$31,Expenses!$C$7:$C$31,'Ref1'!E306)-F306</f>
        <v>0</v>
      </c>
      <c r="H306" s="533">
        <f>SUMIFS(Expenses!$E$7:$E$31,Expenses!$C$7:$C$31,'Ref1'!E306)</f>
        <v>0</v>
      </c>
    </row>
    <row r="307" spans="1:8" outlineLevel="1">
      <c r="A307" s="42" t="b">
        <f t="shared" si="6"/>
        <v>1</v>
      </c>
      <c r="B307" s="43" t="str">
        <f>MainSheet!$B$12</f>
        <v>Fixed Fee (Incl. Outlays)</v>
      </c>
      <c r="C307" s="355" t="str">
        <f>IF(B307=PRFIIO!$C$8,(IF(PRFIIO!A40="","",PRFIIO!A40)),(IF('Ref1'!B307=PRFEIO!$C$8,(IF(PRFEIO!A38="","",PRFEIO!A38)),"")))</f>
        <v/>
      </c>
      <c r="D307" s="357" t="str">
        <f>IF(B307=PRFIIO!$C$8,(IF(PRFIIO!D40="","",PRFIIO!D40)),(IF('Ref1'!B307=PRFEIO!$C$8,(IF(PRFEIO!D38="","",PRFEIO!D38)),"")))</f>
        <v/>
      </c>
      <c r="E307" s="43" t="str">
        <f t="shared" ref="E307:E311" si="7">C307&amp;" - "&amp;D307</f>
        <v xml:space="preserve"> - </v>
      </c>
      <c r="F307" s="299">
        <f>SUMIFS(Expenses!$F$7:$F$31,Expenses!$C$7:$C$31,'Ref1'!E307)</f>
        <v>0</v>
      </c>
      <c r="G307" s="356">
        <f>SUMIFS(Expenses!$P$7:$P$31,Expenses!$C$7:$C$31,'Ref1'!E307)-F307</f>
        <v>0</v>
      </c>
      <c r="H307" s="533">
        <f>SUMIFS(Expenses!$E$7:$E$31,Expenses!$C$7:$C$31,'Ref1'!E307)</f>
        <v>0</v>
      </c>
    </row>
    <row r="308" spans="1:8">
      <c r="A308" s="42" t="b">
        <f t="shared" si="6"/>
        <v>1</v>
      </c>
      <c r="B308" s="43" t="str">
        <f>MainSheet!$B$12</f>
        <v>Fixed Fee (Incl. Outlays)</v>
      </c>
      <c r="C308" s="355" t="str">
        <f>IF(B308=PRFIIO!$C$8,(IF(PRFIIO!A41="","",PRFIIO!A41)),(IF('Ref1'!B308=PRFEIO!$C$8,(IF(PRFEIO!A39="","",PRFEIO!A39)),"")))</f>
        <v/>
      </c>
      <c r="D308" s="357" t="str">
        <f>IF(B308=PRFIIO!$C$8,(IF(PRFIIO!D41="","",PRFIIO!D41)),(IF('Ref1'!B308=PRFEIO!$C$8,(IF(PRFEIO!D39="","",PRFEIO!D39)),"")))</f>
        <v/>
      </c>
      <c r="E308" s="43" t="str">
        <f t="shared" si="7"/>
        <v xml:space="preserve"> - </v>
      </c>
      <c r="F308" s="299">
        <f>SUMIFS(Expenses!$F$7:$F$31,Expenses!$C$7:$C$31,'Ref1'!E308)</f>
        <v>0</v>
      </c>
      <c r="G308" s="356">
        <f>SUMIFS(Expenses!$P$7:$P$31,Expenses!$C$7:$C$31,'Ref1'!E308)-F308</f>
        <v>0</v>
      </c>
      <c r="H308" s="533">
        <f>SUMIFS(Expenses!$E$7:$E$31,Expenses!$C$7:$C$31,'Ref1'!E308)</f>
        <v>0</v>
      </c>
    </row>
    <row r="309" spans="1:8">
      <c r="A309" s="42" t="b">
        <f t="shared" si="6"/>
        <v>0</v>
      </c>
      <c r="B309" s="43" t="str">
        <f>MainSheet!$B$12</f>
        <v>Fixed Fee (Incl. Outlays)</v>
      </c>
      <c r="C309" s="355" t="str">
        <f>IF(B309=PRFIIO!$C$8,(IF(PRFIIO!A42="","",PRFIIO!A42)),(IF('Ref1'!B309=PRFEIO!$C$8,(IF(PRFEIO!A40="","",PRFEIO!A40)),"")))</f>
        <v>GST</v>
      </c>
      <c r="D309" s="357" t="str">
        <f>IF(B309=PRFIIO!$C$8,(IF(PRFIIO!D42="","",PRFIIO!D42)),(IF('Ref1'!B309=PRFEIO!$C$8,(IF(PRFEIO!D40="","",PRFEIO!D40)),"")))</f>
        <v/>
      </c>
      <c r="E309" s="43" t="str">
        <f t="shared" si="7"/>
        <v xml:space="preserve">GST - </v>
      </c>
      <c r="F309" s="299">
        <f>SUMIFS(Expenses!$F$7:$F$31,Expenses!$C$7:$C$31,'Ref1'!E309)</f>
        <v>0</v>
      </c>
      <c r="G309" s="356">
        <f>SUMIFS(Expenses!$P$7:$P$31,Expenses!$C$7:$C$31,'Ref1'!E309)-F309</f>
        <v>0</v>
      </c>
      <c r="H309" s="533">
        <f>SUMIFS(Expenses!$E$7:$E$31,Expenses!$C$7:$C$31,'Ref1'!E309)</f>
        <v>0</v>
      </c>
    </row>
    <row r="310" spans="1:8">
      <c r="A310" s="42" t="b">
        <f t="shared" si="6"/>
        <v>0</v>
      </c>
      <c r="B310" s="43" t="str">
        <f>MainSheet!$B$12</f>
        <v>Fixed Fee (Incl. Outlays)</v>
      </c>
      <c r="C310" s="355" t="str">
        <f>IF(B310=PRFIIO!$C$8,(IF(PRFIIO!A43="","",PRFIIO!A43)),(IF('Ref1'!B310=PRFEIO!$C$8,(IF(PRFEIO!A41="","",PRFEIO!A41)),"")))</f>
        <v>Total</v>
      </c>
      <c r="D310" s="357" t="str">
        <f>IF(B310=PRFIIO!$C$8,(IF(PRFIIO!D43="","",PRFIIO!D43)),(IF('Ref1'!B310=PRFEIO!$C$8,(IF(PRFEIO!D41="","",PRFEIO!D41)),"")))</f>
        <v/>
      </c>
      <c r="E310" s="43" t="str">
        <f t="shared" si="7"/>
        <v xml:space="preserve">Total - </v>
      </c>
      <c r="F310" s="299">
        <f>SUMIFS(Expenses!$F$7:$F$31,Expenses!$C$7:$C$31,'Ref1'!E310)</f>
        <v>0</v>
      </c>
      <c r="G310" s="356">
        <f>SUMIFS(Expenses!$P$7:$P$31,Expenses!$C$7:$C$31,'Ref1'!E310)-F310</f>
        <v>0</v>
      </c>
      <c r="H310" s="533">
        <f>SUMIFS(Expenses!$E$7:$E$31,Expenses!$C$7:$C$31,'Ref1'!E310)</f>
        <v>0</v>
      </c>
    </row>
    <row r="311" spans="1:8">
      <c r="A311" s="42" t="b">
        <f t="shared" si="6"/>
        <v>1</v>
      </c>
      <c r="B311" s="43" t="str">
        <f>MainSheet!$B$12</f>
        <v>Fixed Fee (Incl. Outlays)</v>
      </c>
      <c r="C311" s="355" t="str">
        <f>IF(B311=PRFIIO!$C$8,(IF(PRFIIO!A44="","",PRFIIO!A44)),(IF('Ref1'!B311=PRFEIO!$C$8,(IF(PRFEIO!A42="","",PRFEIO!A42)),"")))</f>
        <v/>
      </c>
      <c r="D311" s="357" t="str">
        <f>IF(B311=PRFIIO!$C$8,(IF(PRFIIO!D44="","",PRFIIO!D44)),(IF('Ref1'!B311=PRFEIO!$C$8,(IF(PRFEIO!D42="","",PRFEIO!D42)),"")))</f>
        <v/>
      </c>
      <c r="E311" s="43" t="str">
        <f t="shared" si="7"/>
        <v xml:space="preserve"> - </v>
      </c>
      <c r="F311" s="299">
        <f>SUMIFS(Expenses!$F$7:$F$31,Expenses!$C$7:$C$31,'Ref1'!E311)</f>
        <v>0</v>
      </c>
      <c r="G311" s="356">
        <f>SUMIFS(Expenses!$P$7:$P$31,Expenses!$C$7:$C$31,'Ref1'!E311)-F311</f>
        <v>0</v>
      </c>
      <c r="H311" s="533">
        <f>SUMIFS(Expenses!$E$7:$E$31,Expenses!$C$7:$C$31,'Ref1'!E311)</f>
        <v>0</v>
      </c>
    </row>
    <row r="312" spans="1:8">
      <c r="A312" s="42" t="b">
        <f t="shared" si="6"/>
        <v>1</v>
      </c>
      <c r="B312" s="43" t="str">
        <f>MainSheet!$B$12</f>
        <v>Fixed Fee (Incl. Outlays)</v>
      </c>
      <c r="C312" s="355" t="str">
        <f>IF(B312=PRFIIO!$C$8,(IF(PRFIIO!A45="","",PRFIIO!A45)),(IF('Ref1'!B312=PRFEIO!$C$8,(IF(PRFEIO!A43="","",PRFEIO!A43)),"")))</f>
        <v/>
      </c>
      <c r="D312" s="355"/>
      <c r="E312" s="43"/>
      <c r="H312" s="533">
        <f>SUMIFS(Expenses!$E$7:$E$31,Expenses!$C$7:$C$31,'Ref1'!E312)</f>
        <v>0</v>
      </c>
    </row>
    <row r="313" spans="1:8">
      <c r="C313" s="43"/>
      <c r="D313" s="43"/>
      <c r="E313" s="43"/>
      <c r="F313" s="356">
        <f>SUM(F301:F312)</f>
        <v>0</v>
      </c>
      <c r="G313" s="356">
        <f>SUM(G301:G312)</f>
        <v>0</v>
      </c>
    </row>
    <row r="314" spans="1:8">
      <c r="C314" s="43"/>
      <c r="D314" s="43"/>
      <c r="E314" s="43"/>
    </row>
    <row r="315" spans="1:8">
      <c r="C315" s="43"/>
      <c r="D315" s="43"/>
      <c r="E315" s="43"/>
    </row>
    <row r="316" spans="1:8">
      <c r="C316" s="43"/>
      <c r="D316" s="43"/>
      <c r="E316" s="43"/>
    </row>
    <row r="317" spans="1:8">
      <c r="C317" s="43"/>
      <c r="D317" s="43"/>
      <c r="E317" s="43"/>
    </row>
    <row r="318" spans="1:8">
      <c r="C318" s="43"/>
      <c r="D318" s="43"/>
      <c r="E318" s="43"/>
    </row>
    <row r="333" spans="3:3">
      <c r="C333" s="43"/>
    </row>
    <row r="334" spans="3:3">
      <c r="C334" s="43"/>
    </row>
    <row r="335" spans="3:3">
      <c r="C335" s="43"/>
    </row>
    <row r="336" spans="3:3">
      <c r="C336" s="43"/>
    </row>
    <row r="337" spans="3:3">
      <c r="C337" s="43"/>
    </row>
    <row r="338" spans="3:3">
      <c r="C338" s="43"/>
    </row>
    <row r="339" spans="3:3">
      <c r="C339" s="43"/>
    </row>
    <row r="340" spans="3:3">
      <c r="C340" s="43"/>
    </row>
    <row r="341" spans="3:3">
      <c r="C341" s="43"/>
    </row>
    <row r="342" spans="3:3">
      <c r="C342" s="43"/>
    </row>
    <row r="343" spans="3:3">
      <c r="C343" s="43"/>
    </row>
    <row r="344" spans="3:3">
      <c r="C344" s="43"/>
    </row>
    <row r="345" spans="3:3">
      <c r="C345" s="43"/>
    </row>
    <row r="346" spans="3:3">
      <c r="C346" s="43"/>
    </row>
    <row r="347" spans="3:3">
      <c r="C347" s="43"/>
    </row>
    <row r="348" spans="3:3">
      <c r="C348" s="43"/>
    </row>
    <row r="349" spans="3:3">
      <c r="C349" s="43"/>
    </row>
    <row r="350" spans="3:3">
      <c r="C350" s="43"/>
    </row>
    <row r="351" spans="3:3">
      <c r="C351" s="43"/>
    </row>
    <row r="352" spans="3:3">
      <c r="C352" s="43"/>
    </row>
    <row r="353" spans="3:3">
      <c r="C353" s="43"/>
    </row>
    <row r="354" spans="3:3">
      <c r="C354" s="43"/>
    </row>
    <row r="355" spans="3:3">
      <c r="C355" s="43"/>
    </row>
    <row r="356" spans="3:3">
      <c r="C356" s="43"/>
    </row>
    <row r="357" spans="3:3">
      <c r="C357" s="43"/>
    </row>
    <row r="358" spans="3:3">
      <c r="C358" s="43"/>
    </row>
    <row r="359" spans="3:3">
      <c r="C359" s="43"/>
    </row>
    <row r="360" spans="3:3">
      <c r="C360" s="43"/>
    </row>
    <row r="361" spans="3:3">
      <c r="C361" s="43"/>
    </row>
    <row r="362" spans="3:3">
      <c r="C362" s="43"/>
    </row>
    <row r="363" spans="3:3">
      <c r="C363" s="43"/>
    </row>
    <row r="364" spans="3:3">
      <c r="C364" s="43"/>
    </row>
    <row r="365" spans="3:3">
      <c r="C365" s="43"/>
    </row>
    <row r="366" spans="3:3">
      <c r="C366" s="43"/>
    </row>
    <row r="367" spans="3:3">
      <c r="C367" s="43"/>
    </row>
    <row r="368" spans="3:3">
      <c r="C368" s="43"/>
    </row>
    <row r="369" spans="3:3">
      <c r="C369" s="43"/>
    </row>
    <row r="370" spans="3:3">
      <c r="C370" s="43"/>
    </row>
    <row r="371" spans="3:3">
      <c r="C371" s="43"/>
    </row>
    <row r="372" spans="3:3">
      <c r="C372" s="43"/>
    </row>
    <row r="373" spans="3:3">
      <c r="C373" s="43"/>
    </row>
    <row r="374" spans="3:3">
      <c r="C374" s="43"/>
    </row>
    <row r="375" spans="3:3">
      <c r="C375" s="43"/>
    </row>
    <row r="376" spans="3:3">
      <c r="C376" s="43"/>
    </row>
    <row r="377" spans="3:3">
      <c r="C377" s="43"/>
    </row>
    <row r="378" spans="3:3">
      <c r="C378" s="43"/>
    </row>
    <row r="379" spans="3:3">
      <c r="C379" s="43"/>
    </row>
    <row r="380" spans="3:3">
      <c r="C380" s="43"/>
    </row>
    <row r="381" spans="3:3">
      <c r="C381" s="43"/>
    </row>
    <row r="382" spans="3:3">
      <c r="C382" s="43"/>
    </row>
    <row r="383" spans="3:3">
      <c r="C383" s="43"/>
    </row>
    <row r="384" spans="3:3">
      <c r="C384" s="43"/>
    </row>
    <row r="385" spans="3:3">
      <c r="C385" s="43"/>
    </row>
    <row r="386" spans="3:3">
      <c r="C386" s="43"/>
    </row>
    <row r="387" spans="3:3">
      <c r="C387" s="43"/>
    </row>
    <row r="388" spans="3:3">
      <c r="C388" s="43"/>
    </row>
    <row r="389" spans="3:3">
      <c r="C389" s="43"/>
    </row>
    <row r="390" spans="3:3">
      <c r="C390" s="43"/>
    </row>
    <row r="391" spans="3:3">
      <c r="C391" s="43"/>
    </row>
    <row r="392" spans="3:3">
      <c r="C392" s="43"/>
    </row>
    <row r="393" spans="3:3">
      <c r="C393" s="43"/>
    </row>
    <row r="394" spans="3:3">
      <c r="C394" s="43"/>
    </row>
    <row r="395" spans="3:3">
      <c r="C395" s="43"/>
    </row>
    <row r="396" spans="3:3">
      <c r="C396" s="43"/>
    </row>
    <row r="397" spans="3:3">
      <c r="C397" s="43"/>
    </row>
    <row r="398" spans="3:3">
      <c r="C398" s="43"/>
    </row>
    <row r="399" spans="3:3">
      <c r="C399" s="43"/>
    </row>
    <row r="400" spans="3:3">
      <c r="C400" s="43"/>
    </row>
    <row r="401" spans="3:3">
      <c r="C401" s="43"/>
    </row>
    <row r="402" spans="3:3">
      <c r="C402" s="43"/>
    </row>
    <row r="403" spans="3:3">
      <c r="C403" s="43"/>
    </row>
    <row r="404" spans="3:3">
      <c r="C404" s="43"/>
    </row>
    <row r="405" spans="3:3">
      <c r="C405" s="43"/>
    </row>
    <row r="406" spans="3:3">
      <c r="C406" s="43"/>
    </row>
    <row r="407" spans="3:3">
      <c r="C407" s="43"/>
    </row>
    <row r="408" spans="3:3">
      <c r="C408" s="43"/>
    </row>
    <row r="409" spans="3:3">
      <c r="C409" s="43"/>
    </row>
    <row r="410" spans="3:3">
      <c r="C410" s="43"/>
    </row>
    <row r="411" spans="3:3">
      <c r="C411" s="43"/>
    </row>
    <row r="412" spans="3:3">
      <c r="C412" s="43"/>
    </row>
    <row r="413" spans="3:3">
      <c r="C413" s="43"/>
    </row>
    <row r="414" spans="3:3">
      <c r="C414" s="43"/>
    </row>
    <row r="415" spans="3:3">
      <c r="C415" s="43"/>
    </row>
    <row r="416" spans="3:3">
      <c r="C416" s="43"/>
    </row>
    <row r="417" spans="3:3">
      <c r="C417" s="43"/>
    </row>
    <row r="418" spans="3:3">
      <c r="C418" s="43"/>
    </row>
    <row r="419" spans="3:3">
      <c r="C419" s="43"/>
    </row>
    <row r="420" spans="3:3">
      <c r="C420" s="43"/>
    </row>
    <row r="421" spans="3:3">
      <c r="C421" s="43"/>
    </row>
    <row r="422" spans="3:3">
      <c r="C422" s="43"/>
    </row>
    <row r="423" spans="3:3">
      <c r="C423" s="43"/>
    </row>
    <row r="424" spans="3:3">
      <c r="C424" s="43"/>
    </row>
    <row r="425" spans="3:3">
      <c r="C425" s="43"/>
    </row>
    <row r="426" spans="3:3">
      <c r="C426" s="43"/>
    </row>
    <row r="427" spans="3:3">
      <c r="C427" s="43"/>
    </row>
    <row r="428" spans="3:3">
      <c r="C428" s="43"/>
    </row>
    <row r="429" spans="3:3">
      <c r="C429" s="43"/>
    </row>
    <row r="430" spans="3:3">
      <c r="C430" s="43"/>
    </row>
    <row r="431" spans="3:3">
      <c r="C431" s="43"/>
    </row>
    <row r="432" spans="3:3">
      <c r="C432" s="43"/>
    </row>
    <row r="433" spans="3:3">
      <c r="C433" s="43"/>
    </row>
    <row r="434" spans="3:3">
      <c r="C434" s="43"/>
    </row>
    <row r="435" spans="3:3">
      <c r="C435" s="43"/>
    </row>
    <row r="436" spans="3:3">
      <c r="C436" s="43"/>
    </row>
    <row r="437" spans="3:3">
      <c r="C437" s="43"/>
    </row>
    <row r="438" spans="3:3">
      <c r="C438" s="43"/>
    </row>
    <row r="439" spans="3:3">
      <c r="C439" s="43"/>
    </row>
    <row r="440" spans="3:3">
      <c r="C440" s="43"/>
    </row>
    <row r="441" spans="3:3">
      <c r="C441" s="43"/>
    </row>
    <row r="442" spans="3:3">
      <c r="C442" s="43"/>
    </row>
    <row r="443" spans="3:3">
      <c r="C443" s="43"/>
    </row>
    <row r="444" spans="3:3">
      <c r="C444" s="43"/>
    </row>
    <row r="445" spans="3:3">
      <c r="C445" s="43"/>
    </row>
    <row r="446" spans="3:3">
      <c r="C446" s="43"/>
    </row>
    <row r="447" spans="3:3">
      <c r="C447" s="43"/>
    </row>
    <row r="448" spans="3:3">
      <c r="C448" s="43"/>
    </row>
    <row r="449" spans="3:3">
      <c r="C449" s="43"/>
    </row>
    <row r="450" spans="3:3">
      <c r="C450" s="43"/>
    </row>
    <row r="451" spans="3:3">
      <c r="C451" s="43"/>
    </row>
    <row r="452" spans="3:3">
      <c r="C452" s="43"/>
    </row>
    <row r="453" spans="3:3">
      <c r="C453" s="43"/>
    </row>
    <row r="454" spans="3:3">
      <c r="C454" s="43"/>
    </row>
    <row r="455" spans="3:3">
      <c r="C455" s="43"/>
    </row>
    <row r="456" spans="3:3">
      <c r="C456" s="43"/>
    </row>
    <row r="457" spans="3:3">
      <c r="C457" s="43"/>
    </row>
    <row r="458" spans="3:3">
      <c r="C458" s="43"/>
    </row>
    <row r="459" spans="3:3">
      <c r="C459" s="43"/>
    </row>
    <row r="460" spans="3:3">
      <c r="C460" s="43"/>
    </row>
    <row r="461" spans="3:3">
      <c r="C461" s="43"/>
    </row>
    <row r="462" spans="3:3">
      <c r="C462" s="43"/>
    </row>
    <row r="463" spans="3:3">
      <c r="C463" s="43"/>
    </row>
    <row r="464" spans="3:3">
      <c r="C464" s="43"/>
    </row>
    <row r="465" spans="3:3">
      <c r="C465" s="43"/>
    </row>
    <row r="466" spans="3:3">
      <c r="C466" s="43"/>
    </row>
    <row r="467" spans="3:3">
      <c r="C467" s="43"/>
    </row>
    <row r="468" spans="3:3">
      <c r="C468" s="43"/>
    </row>
    <row r="469" spans="3:3">
      <c r="C469" s="43"/>
    </row>
    <row r="470" spans="3:3">
      <c r="C470" s="43"/>
    </row>
    <row r="471" spans="3:3">
      <c r="C471" s="43"/>
    </row>
    <row r="472" spans="3:3">
      <c r="C472" s="43"/>
    </row>
    <row r="473" spans="3:3">
      <c r="C473" s="43"/>
    </row>
    <row r="474" spans="3:3">
      <c r="C474" s="43"/>
    </row>
    <row r="475" spans="3:3">
      <c r="C475" s="43"/>
    </row>
    <row r="476" spans="3:3">
      <c r="C476" s="43"/>
    </row>
    <row r="477" spans="3:3">
      <c r="C477" s="43"/>
    </row>
    <row r="478" spans="3:3">
      <c r="C478" s="43"/>
    </row>
    <row r="479" spans="3:3">
      <c r="C479" s="43"/>
    </row>
    <row r="480" spans="3:3">
      <c r="C480" s="43"/>
    </row>
    <row r="481" spans="3:3">
      <c r="C481" s="43"/>
    </row>
    <row r="482" spans="3:3">
      <c r="C482" s="43"/>
    </row>
    <row r="483" spans="3:3">
      <c r="C483" s="43"/>
    </row>
    <row r="484" spans="3:3">
      <c r="C484" s="43"/>
    </row>
    <row r="485" spans="3:3">
      <c r="C485" s="43"/>
    </row>
    <row r="486" spans="3:3">
      <c r="C486" s="43"/>
    </row>
    <row r="487" spans="3:3">
      <c r="C487" s="43"/>
    </row>
    <row r="488" spans="3:3">
      <c r="C488" s="43"/>
    </row>
    <row r="489" spans="3:3">
      <c r="C489" s="43"/>
    </row>
    <row r="490" spans="3:3">
      <c r="C490" s="43"/>
    </row>
    <row r="491" spans="3:3">
      <c r="C491" s="43"/>
    </row>
    <row r="492" spans="3:3">
      <c r="C492" s="43"/>
    </row>
    <row r="493" spans="3:3">
      <c r="C493" s="43"/>
    </row>
    <row r="494" spans="3:3">
      <c r="C494" s="43"/>
    </row>
    <row r="495" spans="3:3">
      <c r="C495" s="43"/>
    </row>
    <row r="496" spans="3:3">
      <c r="C496" s="43"/>
    </row>
    <row r="497" spans="3:3">
      <c r="C497" s="43"/>
    </row>
    <row r="498" spans="3:3">
      <c r="C498" s="43"/>
    </row>
    <row r="499" spans="3:3">
      <c r="C499" s="43"/>
    </row>
    <row r="500" spans="3:3">
      <c r="C500" s="43"/>
    </row>
    <row r="501" spans="3:3">
      <c r="C501" s="43"/>
    </row>
    <row r="502" spans="3:3">
      <c r="C502" s="43"/>
    </row>
    <row r="503" spans="3:3">
      <c r="C503" s="43"/>
    </row>
    <row r="504" spans="3:3">
      <c r="C504" s="43"/>
    </row>
    <row r="505" spans="3:3">
      <c r="C505" s="43"/>
    </row>
    <row r="506" spans="3:3">
      <c r="C506" s="43"/>
    </row>
    <row r="507" spans="3:3">
      <c r="C507" s="43"/>
    </row>
    <row r="508" spans="3:3">
      <c r="C508" s="43"/>
    </row>
    <row r="509" spans="3:3">
      <c r="C509" s="43"/>
    </row>
    <row r="510" spans="3:3">
      <c r="C510" s="43"/>
    </row>
  </sheetData>
  <mergeCells count="3">
    <mergeCell ref="A1:H1"/>
    <mergeCell ref="A176:H176"/>
    <mergeCell ref="A227:H227"/>
  </mergeCells>
  <pageMargins left="0.7" right="0.7" top="0.75" bottom="0.75" header="0.3" footer="0.3"/>
  <pageSetup paperSize="9" orientation="portrait" verticalDpi="3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EU134"/>
  <sheetViews>
    <sheetView showGridLines="0" showZeros="0" zoomScale="76" zoomScaleNormal="80" zoomScaleSheetLayoutView="100" workbookViewId="0">
      <selection activeCell="L31" sqref="L31"/>
    </sheetView>
  </sheetViews>
  <sheetFormatPr defaultColWidth="0" defaultRowHeight="0" customHeight="1" zeroHeight="1"/>
  <cols>
    <col min="1" max="1" width="24" style="486" customWidth="1"/>
    <col min="2" max="2" width="10.33203125" style="486" customWidth="1"/>
    <col min="3" max="3" width="13.33203125" style="486" customWidth="1"/>
    <col min="4" max="4" width="17.109375" style="486" customWidth="1"/>
    <col min="5" max="5" width="3.109375" style="486" customWidth="1"/>
    <col min="6" max="6" width="22.44140625" style="486" customWidth="1"/>
    <col min="7" max="7" width="19.6640625" style="486" customWidth="1"/>
    <col min="8" max="8" width="21.6640625" style="486" customWidth="1"/>
    <col min="9" max="9" width="21.33203125" style="486" customWidth="1"/>
    <col min="10" max="10" width="2.6640625" style="486" customWidth="1"/>
    <col min="11" max="11" width="1" style="486" customWidth="1"/>
    <col min="12" max="12" width="25.109375" style="486" customWidth="1"/>
    <col min="13" max="13" width="9.109375" style="486" hidden="1"/>
    <col min="14" max="14" width="24.109375" style="486" hidden="1"/>
    <col min="15" max="15" width="53.109375" style="486" hidden="1"/>
    <col min="16" max="16374" width="9.109375" style="486" hidden="1"/>
    <col min="16375" max="16375" width="0" style="486" hidden="1"/>
    <col min="16376" max="16384" width="9.109375" style="486" hidden="1"/>
  </cols>
  <sheetData>
    <row r="1" spans="1:16" ht="12">
      <c r="A1" s="484" t="s">
        <v>566</v>
      </c>
      <c r="B1" s="642"/>
      <c r="C1" s="642"/>
      <c r="D1" s="642"/>
      <c r="E1" s="642"/>
      <c r="F1" s="642"/>
      <c r="G1" s="642"/>
      <c r="H1" s="642"/>
      <c r="I1" s="642"/>
      <c r="J1" s="485" t="s">
        <v>567</v>
      </c>
    </row>
    <row r="2" spans="1:16" ht="7.5" customHeight="1">
      <c r="A2" s="487"/>
      <c r="J2" s="488"/>
    </row>
    <row r="3" spans="1:16" ht="15.75" customHeight="1">
      <c r="A3" s="487" t="s">
        <v>568</v>
      </c>
      <c r="B3" s="967" t="s">
        <v>569</v>
      </c>
      <c r="C3" s="968"/>
      <c r="D3" s="969"/>
      <c r="F3" s="643" t="s">
        <v>570</v>
      </c>
      <c r="G3" s="610"/>
      <c r="H3" s="643" t="s">
        <v>571</v>
      </c>
      <c r="I3" s="543" t="s">
        <v>572</v>
      </c>
      <c r="J3" s="489"/>
    </row>
    <row r="4" spans="1:16" ht="16.5" customHeight="1">
      <c r="A4" s="490"/>
      <c r="H4" s="491"/>
      <c r="I4" s="524"/>
      <c r="J4" s="489"/>
    </row>
    <row r="5" spans="1:16" ht="19.5" customHeight="1">
      <c r="A5" s="492" t="s">
        <v>573</v>
      </c>
      <c r="B5" s="493" t="str">
        <f>B6&amp;" - "&amp;D6</f>
        <v>India - R&amp;C</v>
      </c>
      <c r="C5" s="494"/>
      <c r="D5" s="494"/>
      <c r="F5" s="495" t="s">
        <v>574</v>
      </c>
      <c r="G5" s="496"/>
      <c r="H5" s="497"/>
      <c r="I5" s="498"/>
      <c r="J5" s="489"/>
      <c r="L5" s="84"/>
    </row>
    <row r="6" spans="1:16" ht="20.25" customHeight="1">
      <c r="A6" s="554" t="s">
        <v>275</v>
      </c>
      <c r="B6" s="546" t="s">
        <v>147</v>
      </c>
      <c r="C6" s="499" t="s">
        <v>575</v>
      </c>
      <c r="D6" s="546" t="s">
        <v>148</v>
      </c>
      <c r="F6" s="560" t="s">
        <v>576</v>
      </c>
      <c r="G6" s="544"/>
      <c r="H6" s="500" t="s">
        <v>577</v>
      </c>
      <c r="I6" s="542"/>
      <c r="J6" s="489"/>
      <c r="L6" s="84"/>
    </row>
    <row r="7" spans="1:16" ht="18.75" customHeight="1">
      <c r="A7" s="555" t="s">
        <v>281</v>
      </c>
      <c r="B7" s="970" t="s">
        <v>528</v>
      </c>
      <c r="C7" s="971"/>
      <c r="D7" s="972"/>
      <c r="F7" s="560" t="s">
        <v>578</v>
      </c>
      <c r="G7" s="973" t="s">
        <v>356</v>
      </c>
      <c r="H7" s="974"/>
      <c r="I7" s="975"/>
      <c r="J7" s="489"/>
      <c r="L7" s="84"/>
    </row>
    <row r="8" spans="1:16" ht="17.25" customHeight="1">
      <c r="A8" s="556" t="s">
        <v>579</v>
      </c>
      <c r="B8" s="976" t="s">
        <v>108</v>
      </c>
      <c r="C8" s="976"/>
      <c r="D8" s="976"/>
      <c r="F8" s="560" t="s">
        <v>580</v>
      </c>
      <c r="G8" s="977" t="s">
        <v>673</v>
      </c>
      <c r="H8" s="978"/>
      <c r="I8" s="979"/>
      <c r="J8" s="489"/>
    </row>
    <row r="9" spans="1:16" ht="17.25" customHeight="1">
      <c r="A9" s="555" t="s">
        <v>288</v>
      </c>
      <c r="B9" s="980" t="s">
        <v>191</v>
      </c>
      <c r="C9" s="981"/>
      <c r="D9" s="982"/>
      <c r="F9" s="560" t="s">
        <v>581</v>
      </c>
      <c r="G9" s="977"/>
      <c r="H9" s="983"/>
      <c r="I9" s="979"/>
      <c r="J9" s="489"/>
    </row>
    <row r="10" spans="1:16" ht="17.25" customHeight="1">
      <c r="A10" s="554" t="s">
        <v>582</v>
      </c>
      <c r="B10" s="984"/>
      <c r="C10" s="984"/>
      <c r="D10" s="984"/>
      <c r="F10" s="560" t="s">
        <v>583</v>
      </c>
      <c r="G10" s="985"/>
      <c r="H10" s="986"/>
      <c r="I10" s="987"/>
      <c r="J10" s="489"/>
    </row>
    <row r="11" spans="1:16" ht="17.25" customHeight="1">
      <c r="A11" s="554" t="s">
        <v>584</v>
      </c>
      <c r="B11" s="976"/>
      <c r="C11" s="976"/>
      <c r="D11" s="976"/>
      <c r="F11" s="560" t="s">
        <v>585</v>
      </c>
      <c r="G11" s="988"/>
      <c r="H11" s="989"/>
      <c r="I11" s="990"/>
      <c r="J11" s="489"/>
    </row>
    <row r="12" spans="1:16" ht="28.5" customHeight="1">
      <c r="A12" s="554" t="s">
        <v>289</v>
      </c>
      <c r="B12" s="966" t="s">
        <v>145</v>
      </c>
      <c r="C12" s="966"/>
      <c r="D12" s="966"/>
      <c r="F12" s="561" t="str">
        <f>"Contract status"</f>
        <v>Contract status</v>
      </c>
      <c r="G12" s="547" t="s">
        <v>586</v>
      </c>
      <c r="H12" s="548" t="str">
        <f>IF(G12="","",IF(G12="Not Available","Expected by:","Submitted to Finance.?"))</f>
        <v>Expected by:</v>
      </c>
      <c r="I12" s="542"/>
      <c r="J12" s="489"/>
    </row>
    <row r="13" spans="1:16" ht="17.25" customHeight="1">
      <c r="A13" s="557" t="s">
        <v>587</v>
      </c>
      <c r="B13" s="966" t="s">
        <v>38</v>
      </c>
      <c r="C13" s="966"/>
      <c r="D13" s="966"/>
      <c r="F13" s="644" t="str">
        <f>"3rd party Sub Con req.?"</f>
        <v>3rd party Sub Con req.?</v>
      </c>
      <c r="G13" s="645" t="s">
        <v>113</v>
      </c>
      <c r="H13" s="501" t="str">
        <f>IF(G13="","",IF(G13="Yes","Basis of Billing",""))</f>
        <v/>
      </c>
      <c r="I13" s="502"/>
      <c r="J13" s="489"/>
      <c r="N13" s="84" t="str">
        <f>IF(G13="Yes","Yes","No")</f>
        <v>No</v>
      </c>
      <c r="O13" s="486" t="str">
        <f>IF(SA!F20&gt;0,"Yes","No")</f>
        <v>No</v>
      </c>
      <c r="P13" s="486" t="str">
        <f>IF(((N13=O13)= FALSE)=TRUE,"No","Yes")</f>
        <v>Yes</v>
      </c>
    </row>
    <row r="14" spans="1:16" ht="17.25" customHeight="1">
      <c r="A14" s="503"/>
      <c r="B14" s="518"/>
      <c r="C14" s="518"/>
      <c r="D14" s="518"/>
      <c r="F14" s="504" t="str">
        <f>"Sub Contractor Contract"</f>
        <v>Sub Contractor Contract</v>
      </c>
      <c r="G14" s="504" t="s">
        <v>588</v>
      </c>
      <c r="H14" s="504" t="str">
        <f>IF(G14="","",IF(G14="Available","Submitted to Finance.?","Expected by:"))</f>
        <v>Expected by:</v>
      </c>
      <c r="I14" s="504"/>
      <c r="J14" s="489"/>
    </row>
    <row r="15" spans="1:16" ht="18.75" customHeight="1">
      <c r="A15" s="492" t="s">
        <v>589</v>
      </c>
      <c r="F15" s="504" t="str">
        <f>"SubCon. Prjt. Time  Access"</f>
        <v>SubCon. Prjt. Time  Access</v>
      </c>
      <c r="G15" s="505" t="s">
        <v>572</v>
      </c>
      <c r="H15" s="505"/>
      <c r="I15" s="505"/>
      <c r="J15" s="489"/>
    </row>
    <row r="16" spans="1:16" ht="12.75" hidden="1" customHeight="1">
      <c r="A16" s="490"/>
      <c r="J16" s="489"/>
    </row>
    <row r="17" spans="1:15" ht="12.75" hidden="1" customHeight="1">
      <c r="A17" s="490"/>
      <c r="G17" s="506"/>
      <c r="H17" s="506"/>
      <c r="I17" s="506"/>
      <c r="J17" s="489"/>
    </row>
    <row r="18" spans="1:15" ht="23.25" customHeight="1">
      <c r="A18" s="558" t="s">
        <v>590</v>
      </c>
      <c r="B18" s="995" t="s">
        <v>67</v>
      </c>
      <c r="C18" s="996"/>
      <c r="D18" s="997"/>
      <c r="F18" s="507"/>
      <c r="G18" s="507"/>
      <c r="H18" s="507"/>
      <c r="J18" s="489"/>
    </row>
    <row r="19" spans="1:15" ht="28.5" customHeight="1">
      <c r="A19" s="503" t="s">
        <v>591</v>
      </c>
      <c r="B19" s="998"/>
      <c r="C19" s="998"/>
      <c r="D19" s="998"/>
      <c r="F19" s="1035" t="str">
        <f>IF(G12="","Contract Status is Mandatory",IF(G12="Not Available","Please note Temp Code will be created in absence of Fee Confirmation and no revenue shall be booked. The code will be automatically locked after 30 days",""))</f>
        <v>Please note Temp Code will be created in absence of Fee Confirmation and no revenue shall be booked. The code will be automatically locked after 30 days</v>
      </c>
      <c r="G19" s="1035"/>
      <c r="H19" s="1035"/>
      <c r="I19" s="1035"/>
      <c r="J19" s="489"/>
    </row>
    <row r="20" spans="1:15" ht="18.75" customHeight="1">
      <c r="A20" s="558" t="s">
        <v>73</v>
      </c>
      <c r="B20" s="999" t="s">
        <v>116</v>
      </c>
      <c r="C20" s="999"/>
      <c r="D20" s="999"/>
      <c r="J20" s="489"/>
    </row>
    <row r="21" spans="1:15" ht="14.25" customHeight="1">
      <c r="A21" s="558" t="s">
        <v>592</v>
      </c>
      <c r="B21" s="1003"/>
      <c r="C21" s="1004"/>
      <c r="D21" s="1005"/>
      <c r="F21" s="508" t="s">
        <v>593</v>
      </c>
      <c r="G21" s="508"/>
      <c r="H21" s="508"/>
      <c r="I21" s="508"/>
      <c r="J21" s="489"/>
    </row>
    <row r="22" spans="1:15" ht="14.25" customHeight="1">
      <c r="A22" s="558"/>
      <c r="B22" s="1006"/>
      <c r="C22" s="1007"/>
      <c r="D22" s="1008"/>
      <c r="F22" s="1024"/>
      <c r="G22" s="1025"/>
      <c r="H22" s="1025"/>
      <c r="I22" s="1026"/>
      <c r="J22" s="489"/>
    </row>
    <row r="23" spans="1:15" ht="14.25" customHeight="1">
      <c r="A23" s="558"/>
      <c r="B23" s="1009"/>
      <c r="C23" s="1010"/>
      <c r="D23" s="1011"/>
      <c r="F23" s="1027"/>
      <c r="G23" s="1028"/>
      <c r="H23" s="1028"/>
      <c r="I23" s="1029"/>
      <c r="J23" s="489"/>
    </row>
    <row r="24" spans="1:15" ht="14.25" customHeight="1">
      <c r="A24" s="558" t="s">
        <v>594</v>
      </c>
      <c r="B24" s="1018" t="s">
        <v>540</v>
      </c>
      <c r="C24" s="1019"/>
      <c r="D24" s="1020"/>
      <c r="F24" s="1027"/>
      <c r="G24" s="1028"/>
      <c r="H24" s="1028"/>
      <c r="I24" s="1029"/>
      <c r="J24" s="489"/>
    </row>
    <row r="25" spans="1:15" ht="14.25" customHeight="1">
      <c r="A25" s="558" t="s">
        <v>595</v>
      </c>
      <c r="B25" s="549" t="s">
        <v>596</v>
      </c>
      <c r="C25" s="1000"/>
      <c r="D25" s="1001"/>
      <c r="F25" s="1027"/>
      <c r="G25" s="1028"/>
      <c r="H25" s="1028"/>
      <c r="I25" s="1029"/>
      <c r="J25" s="489"/>
    </row>
    <row r="26" spans="1:15" ht="14.25" customHeight="1">
      <c r="A26" s="558" t="s">
        <v>597</v>
      </c>
      <c r="B26" s="1021"/>
      <c r="C26" s="1022"/>
      <c r="D26" s="1023"/>
      <c r="F26" s="1027"/>
      <c r="G26" s="1028"/>
      <c r="H26" s="1028"/>
      <c r="I26" s="1029"/>
      <c r="J26" s="489"/>
    </row>
    <row r="27" spans="1:15" ht="14.25" customHeight="1">
      <c r="A27" s="558" t="s">
        <v>598</v>
      </c>
      <c r="B27" s="1000"/>
      <c r="C27" s="1002"/>
      <c r="D27" s="1001"/>
      <c r="F27" s="1027"/>
      <c r="G27" s="1028"/>
      <c r="H27" s="1028"/>
      <c r="I27" s="1029"/>
      <c r="J27" s="489"/>
    </row>
    <row r="28" spans="1:15" ht="14.25" customHeight="1">
      <c r="A28" s="558" t="s">
        <v>599</v>
      </c>
      <c r="B28" s="1000"/>
      <c r="C28" s="1002"/>
      <c r="D28" s="1001"/>
      <c r="F28" s="1027"/>
      <c r="G28" s="1028"/>
      <c r="H28" s="1028"/>
      <c r="I28" s="1029"/>
      <c r="J28" s="489"/>
    </row>
    <row r="29" spans="1:15" ht="14.25" customHeight="1">
      <c r="A29" s="558" t="s">
        <v>600</v>
      </c>
      <c r="B29" s="1000"/>
      <c r="C29" s="1002"/>
      <c r="D29" s="1001"/>
      <c r="F29" s="1027"/>
      <c r="G29" s="1028"/>
      <c r="H29" s="1028"/>
      <c r="I29" s="1029"/>
      <c r="J29" s="489"/>
    </row>
    <row r="30" spans="1:15" ht="14.25" customHeight="1">
      <c r="A30" s="558" t="s">
        <v>601</v>
      </c>
      <c r="B30" s="992"/>
      <c r="C30" s="993"/>
      <c r="D30" s="994"/>
      <c r="F30" s="1030"/>
      <c r="G30" s="1031"/>
      <c r="H30" s="1031"/>
      <c r="I30" s="1032"/>
      <c r="J30" s="489"/>
      <c r="N30" s="339"/>
      <c r="O30" s="339"/>
    </row>
    <row r="31" spans="1:15" ht="14.25" customHeight="1">
      <c r="A31" s="559" t="s">
        <v>602</v>
      </c>
      <c r="B31" s="1012"/>
      <c r="C31" s="1013"/>
      <c r="D31" s="1014"/>
      <c r="F31" s="339"/>
      <c r="G31" s="339"/>
      <c r="H31" s="339"/>
      <c r="I31" s="339"/>
      <c r="J31" s="489"/>
      <c r="N31" s="339"/>
      <c r="O31" s="339"/>
    </row>
    <row r="32" spans="1:15" ht="14.25" customHeight="1">
      <c r="A32" s="559" t="s">
        <v>603</v>
      </c>
      <c r="B32" s="1015"/>
      <c r="C32" s="1016"/>
      <c r="D32" s="1017"/>
      <c r="F32" s="486">
        <f>'Ref1'!G6:G80</f>
        <v>0</v>
      </c>
      <c r="J32" s="489"/>
      <c r="N32" s="339"/>
      <c r="O32" s="991"/>
    </row>
    <row r="33" spans="1:15" ht="6.75" customHeight="1">
      <c r="A33" s="509"/>
      <c r="B33" s="510"/>
      <c r="C33" s="510"/>
      <c r="D33" s="510"/>
      <c r="E33" s="510"/>
      <c r="F33" s="510"/>
      <c r="G33" s="510"/>
      <c r="H33" s="510"/>
      <c r="I33" s="510"/>
      <c r="J33" s="511"/>
      <c r="N33" s="339"/>
      <c r="O33" s="991"/>
    </row>
    <row r="34" spans="1:15" ht="6.75" customHeight="1">
      <c r="A34" s="642"/>
      <c r="J34" s="642"/>
      <c r="N34" s="339"/>
      <c r="O34" s="991"/>
    </row>
    <row r="35" spans="1:15" ht="12">
      <c r="A35" s="550"/>
      <c r="B35" s="486" t="s">
        <v>194</v>
      </c>
      <c r="E35" s="512" t="s">
        <v>195</v>
      </c>
      <c r="L35" s="513"/>
      <c r="N35" s="339"/>
      <c r="O35" s="991"/>
    </row>
    <row r="36" spans="1:15" ht="12">
      <c r="A36" s="545"/>
      <c r="B36" s="486" t="s">
        <v>198</v>
      </c>
      <c r="E36" s="514" t="s">
        <v>199</v>
      </c>
      <c r="N36" s="339"/>
      <c r="O36" s="339"/>
    </row>
    <row r="37" spans="1:15" ht="12">
      <c r="E37" s="514" t="s">
        <v>604</v>
      </c>
      <c r="N37" s="339"/>
      <c r="O37" s="339"/>
    </row>
    <row r="38" spans="1:15" ht="15" customHeight="1">
      <c r="A38" s="1036" t="s">
        <v>605</v>
      </c>
      <c r="B38" s="1036"/>
      <c r="C38" s="1036"/>
      <c r="D38" s="1036"/>
      <c r="E38" s="514" t="s">
        <v>606</v>
      </c>
      <c r="N38" s="339"/>
      <c r="O38" s="339"/>
    </row>
    <row r="39" spans="1:15" ht="15" customHeight="1">
      <c r="A39" s="1036"/>
      <c r="B39" s="1036"/>
      <c r="C39" s="1036"/>
      <c r="D39" s="1036"/>
      <c r="E39" s="514" t="s">
        <v>607</v>
      </c>
      <c r="I39" s="515"/>
      <c r="J39" s="516"/>
      <c r="N39" s="339"/>
      <c r="O39" s="339"/>
    </row>
    <row r="40" spans="1:15" ht="12">
      <c r="E40" s="514" t="s">
        <v>608</v>
      </c>
      <c r="N40" s="339"/>
      <c r="O40" s="339"/>
    </row>
    <row r="41" spans="1:15" ht="12.75" customHeight="1">
      <c r="A41" s="1036" t="s">
        <v>609</v>
      </c>
      <c r="B41" s="1036"/>
      <c r="C41" s="1036"/>
      <c r="D41" s="1036"/>
      <c r="N41" s="1037"/>
      <c r="O41" s="1033"/>
    </row>
    <row r="42" spans="1:15" ht="2.25" customHeight="1">
      <c r="A42" s="1036"/>
      <c r="B42" s="1036"/>
      <c r="C42" s="1036"/>
      <c r="D42" s="1036"/>
      <c r="N42" s="1037"/>
      <c r="O42" s="1033"/>
    </row>
    <row r="43" spans="1:15" ht="12">
      <c r="A43" s="1036"/>
      <c r="B43" s="1036"/>
      <c r="C43" s="1036"/>
      <c r="D43" s="1036"/>
      <c r="F43" s="513"/>
      <c r="N43" s="339"/>
      <c r="O43" s="339"/>
    </row>
    <row r="44" spans="1:15" ht="12">
      <c r="A44" s="1036"/>
      <c r="B44" s="1036"/>
      <c r="C44" s="1036"/>
      <c r="D44" s="1036"/>
      <c r="I44" s="517"/>
    </row>
    <row r="45" spans="1:15" ht="14.25" customHeight="1">
      <c r="A45" s="1036"/>
      <c r="B45" s="1036"/>
      <c r="C45" s="1036"/>
      <c r="D45" s="1036"/>
      <c r="F45" s="339"/>
      <c r="G45" s="339">
        <f>'Ref1'!G6:G80</f>
        <v>0</v>
      </c>
      <c r="H45" s="339"/>
      <c r="I45" s="339"/>
    </row>
    <row r="46" spans="1:15" ht="12" hidden="1">
      <c r="F46" s="339"/>
      <c r="G46" s="1034"/>
      <c r="H46" s="1034"/>
      <c r="I46" s="1034"/>
    </row>
    <row r="47" spans="1:15" ht="12" hidden="1">
      <c r="F47" s="339"/>
      <c r="G47" s="1034"/>
      <c r="H47" s="1034"/>
      <c r="I47" s="1034"/>
    </row>
    <row r="48" spans="1:15" ht="12" hidden="1">
      <c r="F48" s="339"/>
      <c r="G48" s="1034"/>
      <c r="H48" s="1034"/>
      <c r="I48" s="1034"/>
    </row>
    <row r="49" spans="1:9" ht="12" hidden="1">
      <c r="F49" s="339"/>
      <c r="G49" s="1034"/>
      <c r="H49" s="1034"/>
      <c r="I49" s="1034"/>
    </row>
    <row r="50" spans="1:9" ht="12" hidden="1">
      <c r="F50" s="339"/>
      <c r="G50" s="1034"/>
      <c r="H50" s="1034"/>
      <c r="I50" s="1034"/>
    </row>
    <row r="51" spans="1:9" ht="12" hidden="1">
      <c r="F51" s="339"/>
      <c r="G51" s="1034"/>
      <c r="H51" s="1034"/>
      <c r="I51" s="1034"/>
    </row>
    <row r="52" spans="1:9" ht="12" hidden="1">
      <c r="F52" s="339"/>
      <c r="G52" s="1034"/>
      <c r="H52" s="1034"/>
      <c r="I52" s="1034"/>
    </row>
    <row r="53" spans="1:9" ht="4.5" hidden="1" customHeight="1"/>
    <row r="54" spans="1:9" ht="14.25" hidden="1" customHeight="1"/>
    <row r="55" spans="1:9" ht="14.25" hidden="1" customHeight="1"/>
    <row r="56" spans="1:9" ht="14.25" hidden="1" customHeight="1"/>
    <row r="57" spans="1:9" ht="14.25" hidden="1" customHeight="1"/>
    <row r="58" spans="1:9" ht="14.25" hidden="1" customHeight="1"/>
    <row r="59" spans="1:9" ht="14.25" hidden="1" customHeight="1"/>
    <row r="60" spans="1:9" ht="14.25" hidden="1" customHeight="1">
      <c r="A60" s="486">
        <f>'Ref1'!F6</f>
        <v>0</v>
      </c>
    </row>
    <row r="61" spans="1:9" ht="14.25" hidden="1" customHeight="1">
      <c r="A61" s="486">
        <f>'Ref1'!F7</f>
        <v>0</v>
      </c>
    </row>
    <row r="62" spans="1:9" ht="14.25" hidden="1" customHeight="1">
      <c r="A62" s="486">
        <f>'Ref1'!F8</f>
        <v>0</v>
      </c>
    </row>
    <row r="63" spans="1:9" ht="14.25" hidden="1" customHeight="1">
      <c r="A63" s="486">
        <f>'Ref1'!F9</f>
        <v>0</v>
      </c>
    </row>
    <row r="64" spans="1:9" ht="14.25" hidden="1" customHeight="1">
      <c r="A64" s="486">
        <f>'Ref1'!F10</f>
        <v>0</v>
      </c>
    </row>
    <row r="65" spans="1:1" ht="14.25" hidden="1" customHeight="1">
      <c r="A65" s="486">
        <f>'Ref1'!F11</f>
        <v>0</v>
      </c>
    </row>
    <row r="66" spans="1:1" ht="14.25" hidden="1" customHeight="1">
      <c r="A66" s="486">
        <f>'Ref1'!F12</f>
        <v>0</v>
      </c>
    </row>
    <row r="67" spans="1:1" ht="14.25" hidden="1" customHeight="1">
      <c r="A67" s="486">
        <f>'Ref1'!F13</f>
        <v>0</v>
      </c>
    </row>
    <row r="68" spans="1:1" ht="14.25" hidden="1" customHeight="1">
      <c r="A68" s="486">
        <f>'Ref1'!F14</f>
        <v>0</v>
      </c>
    </row>
    <row r="69" spans="1:1" ht="14.25" hidden="1" customHeight="1">
      <c r="A69" s="486">
        <f>'Ref1'!F15</f>
        <v>0</v>
      </c>
    </row>
    <row r="70" spans="1:1" ht="14.25" hidden="1" customHeight="1">
      <c r="A70" s="486">
        <f>'Ref1'!F16</f>
        <v>0</v>
      </c>
    </row>
    <row r="71" spans="1:1" ht="14.25" hidden="1" customHeight="1">
      <c r="A71" s="486">
        <f>'Ref1'!F17</f>
        <v>0</v>
      </c>
    </row>
    <row r="72" spans="1:1" ht="14.25" hidden="1" customHeight="1">
      <c r="A72" s="486">
        <f>'Ref1'!F18</f>
        <v>0</v>
      </c>
    </row>
    <row r="73" spans="1:1" ht="14.25" hidden="1" customHeight="1">
      <c r="A73" s="486">
        <f>'Ref1'!F19</f>
        <v>0</v>
      </c>
    </row>
    <row r="74" spans="1:1" ht="14.25" hidden="1" customHeight="1">
      <c r="A74" s="486">
        <f>'Ref1'!F20</f>
        <v>0</v>
      </c>
    </row>
    <row r="75" spans="1:1" ht="14.25" hidden="1" customHeight="1">
      <c r="A75" s="486">
        <f>'Ref1'!F21</f>
        <v>0</v>
      </c>
    </row>
    <row r="76" spans="1:1" ht="14.25" hidden="1" customHeight="1">
      <c r="A76" s="486">
        <f>'Ref1'!F22</f>
        <v>0</v>
      </c>
    </row>
    <row r="77" spans="1:1" ht="14.25" hidden="1" customHeight="1">
      <c r="A77" s="486">
        <f>'Ref1'!F23</f>
        <v>0</v>
      </c>
    </row>
    <row r="78" spans="1:1" ht="14.25" hidden="1" customHeight="1">
      <c r="A78" s="486">
        <f>'Ref1'!F24</f>
        <v>0</v>
      </c>
    </row>
    <row r="79" spans="1:1" ht="14.25" hidden="1" customHeight="1">
      <c r="A79" s="486">
        <f>'Ref1'!F25</f>
        <v>0</v>
      </c>
    </row>
    <row r="80" spans="1:1" ht="14.25" hidden="1" customHeight="1">
      <c r="A80" s="486">
        <f>'Ref1'!F26</f>
        <v>0</v>
      </c>
    </row>
    <row r="81" spans="1:1" ht="14.25" hidden="1" customHeight="1">
      <c r="A81" s="486">
        <f>'Ref1'!F27</f>
        <v>0</v>
      </c>
    </row>
    <row r="82" spans="1:1" ht="14.25" hidden="1" customHeight="1">
      <c r="A82" s="486">
        <f>'Ref1'!F28</f>
        <v>0</v>
      </c>
    </row>
    <row r="83" spans="1:1" ht="14.25" hidden="1" customHeight="1">
      <c r="A83" s="486">
        <f>'Ref1'!F29</f>
        <v>0</v>
      </c>
    </row>
    <row r="84" spans="1:1" ht="14.25" hidden="1" customHeight="1">
      <c r="A84" s="486">
        <f>'Ref1'!F30</f>
        <v>0</v>
      </c>
    </row>
    <row r="85" spans="1:1" ht="14.25" hidden="1" customHeight="1">
      <c r="A85" s="486">
        <f>'Ref1'!F31</f>
        <v>0</v>
      </c>
    </row>
    <row r="86" spans="1:1" ht="14.25" hidden="1" customHeight="1">
      <c r="A86" s="486">
        <f>'Ref1'!F32</f>
        <v>0</v>
      </c>
    </row>
    <row r="87" spans="1:1" ht="14.25" hidden="1" customHeight="1">
      <c r="A87" s="486">
        <f>'Ref1'!F33</f>
        <v>0</v>
      </c>
    </row>
    <row r="88" spans="1:1" ht="14.25" hidden="1" customHeight="1">
      <c r="A88" s="486">
        <f>'Ref1'!F34</f>
        <v>0</v>
      </c>
    </row>
    <row r="89" spans="1:1" ht="14.25" hidden="1" customHeight="1">
      <c r="A89" s="486">
        <f>'Ref1'!F35</f>
        <v>0</v>
      </c>
    </row>
    <row r="90" spans="1:1" ht="14.25" hidden="1" customHeight="1">
      <c r="A90" s="486">
        <f>'Ref1'!F36</f>
        <v>0</v>
      </c>
    </row>
    <row r="91" spans="1:1" ht="14.25" hidden="1" customHeight="1">
      <c r="A91" s="486">
        <f>'Ref1'!F37</f>
        <v>0</v>
      </c>
    </row>
    <row r="92" spans="1:1" ht="14.25" hidden="1" customHeight="1">
      <c r="A92" s="486">
        <f>'Ref1'!F38</f>
        <v>0</v>
      </c>
    </row>
    <row r="93" spans="1:1" ht="14.25" hidden="1" customHeight="1">
      <c r="A93" s="486">
        <f>'Ref1'!F39</f>
        <v>0</v>
      </c>
    </row>
    <row r="94" spans="1:1" ht="14.25" hidden="1" customHeight="1">
      <c r="A94" s="486">
        <f>'Ref1'!F40</f>
        <v>0</v>
      </c>
    </row>
    <row r="95" spans="1:1" ht="14.25" hidden="1" customHeight="1">
      <c r="A95" s="486">
        <f>'Ref1'!F41</f>
        <v>0</v>
      </c>
    </row>
    <row r="96" spans="1:1" ht="14.25" hidden="1" customHeight="1">
      <c r="A96" s="486">
        <f>'Ref1'!F42</f>
        <v>0</v>
      </c>
    </row>
    <row r="97" spans="1:1" ht="14.25" hidden="1" customHeight="1">
      <c r="A97" s="486">
        <f>'Ref1'!F43</f>
        <v>0</v>
      </c>
    </row>
    <row r="98" spans="1:1" ht="14.25" hidden="1" customHeight="1">
      <c r="A98" s="486">
        <f>'Ref1'!F44</f>
        <v>0</v>
      </c>
    </row>
    <row r="99" spans="1:1" ht="14.25" hidden="1" customHeight="1">
      <c r="A99" s="486">
        <f>'Ref1'!F45</f>
        <v>0</v>
      </c>
    </row>
    <row r="100" spans="1:1" ht="14.25" hidden="1" customHeight="1">
      <c r="A100" s="486">
        <f>'Ref1'!F46</f>
        <v>0</v>
      </c>
    </row>
    <row r="101" spans="1:1" ht="14.25" hidden="1" customHeight="1">
      <c r="A101" s="486">
        <f>'Ref1'!F47</f>
        <v>0</v>
      </c>
    </row>
    <row r="102" spans="1:1" ht="14.25" hidden="1" customHeight="1">
      <c r="A102" s="486">
        <f>'Ref1'!F48</f>
        <v>0</v>
      </c>
    </row>
    <row r="103" spans="1:1" ht="14.25" hidden="1" customHeight="1">
      <c r="A103" s="486">
        <f>'Ref1'!F49</f>
        <v>0</v>
      </c>
    </row>
    <row r="104" spans="1:1" ht="14.25" hidden="1" customHeight="1">
      <c r="A104" s="486">
        <f>'Ref1'!F50</f>
        <v>0</v>
      </c>
    </row>
    <row r="105" spans="1:1" ht="14.25" hidden="1" customHeight="1">
      <c r="A105" s="486">
        <f>'Ref1'!F51</f>
        <v>0</v>
      </c>
    </row>
    <row r="106" spans="1:1" ht="14.25" hidden="1" customHeight="1">
      <c r="A106" s="486">
        <f>'Ref1'!F52</f>
        <v>0</v>
      </c>
    </row>
    <row r="107" spans="1:1" ht="14.25" hidden="1" customHeight="1">
      <c r="A107" s="486">
        <f>'Ref1'!F53</f>
        <v>0</v>
      </c>
    </row>
    <row r="108" spans="1:1" ht="14.25" hidden="1" customHeight="1">
      <c r="A108" s="486">
        <f>'Ref1'!F54</f>
        <v>0</v>
      </c>
    </row>
    <row r="109" spans="1:1" ht="14.25" hidden="1" customHeight="1">
      <c r="A109" s="486">
        <f>'Ref1'!F55</f>
        <v>0</v>
      </c>
    </row>
    <row r="110" spans="1:1" ht="14.25" hidden="1" customHeight="1">
      <c r="A110" s="486">
        <f>'Ref1'!F56</f>
        <v>0</v>
      </c>
    </row>
    <row r="111" spans="1:1" ht="14.25" hidden="1" customHeight="1">
      <c r="A111" s="486">
        <f>'Ref1'!F57</f>
        <v>0</v>
      </c>
    </row>
    <row r="112" spans="1:1" ht="14.25" hidden="1" customHeight="1">
      <c r="A112" s="486">
        <f>'Ref1'!F58</f>
        <v>0</v>
      </c>
    </row>
    <row r="113" spans="1:1" ht="14.25" hidden="1" customHeight="1">
      <c r="A113" s="486">
        <f>'Ref1'!F59</f>
        <v>0</v>
      </c>
    </row>
    <row r="114" spans="1:1" ht="14.25" hidden="1" customHeight="1">
      <c r="A114" s="486">
        <f>'Ref1'!F60</f>
        <v>0</v>
      </c>
    </row>
    <row r="115" spans="1:1" ht="14.25" hidden="1" customHeight="1">
      <c r="A115" s="486">
        <f>'Ref1'!F61</f>
        <v>0</v>
      </c>
    </row>
    <row r="116" spans="1:1" ht="14.25" hidden="1" customHeight="1">
      <c r="A116" s="486">
        <f>'Ref1'!F62</f>
        <v>0</v>
      </c>
    </row>
    <row r="117" spans="1:1" ht="14.25" hidden="1" customHeight="1">
      <c r="A117" s="486">
        <f>'Ref1'!F63</f>
        <v>0</v>
      </c>
    </row>
    <row r="118" spans="1:1" ht="14.25" hidden="1" customHeight="1">
      <c r="A118" s="486">
        <f>'Ref1'!F64</f>
        <v>0</v>
      </c>
    </row>
    <row r="119" spans="1:1" ht="14.25" hidden="1" customHeight="1">
      <c r="A119" s="486">
        <f>'Ref1'!F65</f>
        <v>0</v>
      </c>
    </row>
    <row r="120" spans="1:1" ht="14.25" hidden="1" customHeight="1">
      <c r="A120" s="486">
        <f>'Ref1'!F66</f>
        <v>0</v>
      </c>
    </row>
    <row r="121" spans="1:1" ht="14.25" hidden="1" customHeight="1">
      <c r="A121" s="486">
        <f>'Ref1'!F67</f>
        <v>0</v>
      </c>
    </row>
    <row r="122" spans="1:1" ht="14.25" hidden="1" customHeight="1">
      <c r="A122" s="486">
        <f>'Ref1'!F68</f>
        <v>0</v>
      </c>
    </row>
    <row r="123" spans="1:1" ht="14.25" hidden="1" customHeight="1">
      <c r="A123" s="486">
        <f>'Ref1'!F69</f>
        <v>0</v>
      </c>
    </row>
    <row r="124" spans="1:1" ht="14.25" hidden="1" customHeight="1">
      <c r="A124" s="486">
        <f>'Ref1'!F70</f>
        <v>0</v>
      </c>
    </row>
    <row r="125" spans="1:1" ht="14.25" hidden="1" customHeight="1">
      <c r="A125" s="486">
        <f>'Ref1'!F71</f>
        <v>0</v>
      </c>
    </row>
    <row r="126" spans="1:1" ht="14.25" hidden="1" customHeight="1">
      <c r="A126" s="486">
        <f>'Ref1'!F72</f>
        <v>0</v>
      </c>
    </row>
    <row r="127" spans="1:1" ht="14.25" hidden="1" customHeight="1">
      <c r="A127" s="486">
        <f>'Ref1'!F73</f>
        <v>0</v>
      </c>
    </row>
    <row r="128" spans="1:1" ht="14.25" hidden="1" customHeight="1">
      <c r="A128" s="486">
        <f>'Ref1'!F74</f>
        <v>0</v>
      </c>
    </row>
    <row r="129" spans="1:1" ht="14.25" hidden="1" customHeight="1">
      <c r="A129" s="486">
        <f>'Ref1'!F75</f>
        <v>0</v>
      </c>
    </row>
    <row r="130" spans="1:1" ht="14.25" hidden="1" customHeight="1">
      <c r="A130" s="486">
        <f>'Ref1'!F76</f>
        <v>0</v>
      </c>
    </row>
    <row r="131" spans="1:1" ht="14.25" hidden="1" customHeight="1">
      <c r="A131" s="486">
        <f>'Ref1'!F77</f>
        <v>0</v>
      </c>
    </row>
    <row r="132" spans="1:1" ht="14.25" hidden="1" customHeight="1">
      <c r="A132" s="486">
        <f>'Ref1'!F78</f>
        <v>0</v>
      </c>
    </row>
    <row r="133" spans="1:1" ht="14.25" hidden="1" customHeight="1">
      <c r="A133" s="486">
        <f>'Ref1'!F79</f>
        <v>0</v>
      </c>
    </row>
    <row r="134" spans="1:1" ht="14.25" hidden="1" customHeight="1">
      <c r="A134" s="486">
        <f>'Ref1'!F80</f>
        <v>0</v>
      </c>
    </row>
  </sheetData>
  <sheetProtection selectLockedCells="1"/>
  <dataConsolidate/>
  <mergeCells count="41">
    <mergeCell ref="F19:I19"/>
    <mergeCell ref="G52:I52"/>
    <mergeCell ref="A38:D39"/>
    <mergeCell ref="A41:D45"/>
    <mergeCell ref="N41:N42"/>
    <mergeCell ref="G50:I50"/>
    <mergeCell ref="G51:I51"/>
    <mergeCell ref="O41:O42"/>
    <mergeCell ref="G46:I46"/>
    <mergeCell ref="G47:I47"/>
    <mergeCell ref="G48:I48"/>
    <mergeCell ref="G49:I49"/>
    <mergeCell ref="O32:O33"/>
    <mergeCell ref="O34:O35"/>
    <mergeCell ref="B30:D30"/>
    <mergeCell ref="B18:D18"/>
    <mergeCell ref="B19:D19"/>
    <mergeCell ref="B20:D20"/>
    <mergeCell ref="C25:D25"/>
    <mergeCell ref="B29:D29"/>
    <mergeCell ref="B21:D23"/>
    <mergeCell ref="B31:D31"/>
    <mergeCell ref="B32:D32"/>
    <mergeCell ref="B24:D24"/>
    <mergeCell ref="B26:D26"/>
    <mergeCell ref="B27:D27"/>
    <mergeCell ref="B28:D28"/>
    <mergeCell ref="F22:I30"/>
    <mergeCell ref="B13:D13"/>
    <mergeCell ref="B3:D3"/>
    <mergeCell ref="B7:D7"/>
    <mergeCell ref="G7:I7"/>
    <mergeCell ref="B8:D8"/>
    <mergeCell ref="G8:I8"/>
    <mergeCell ref="B9:D9"/>
    <mergeCell ref="G9:I9"/>
    <mergeCell ref="B10:D10"/>
    <mergeCell ref="G10:I10"/>
    <mergeCell ref="B11:D11"/>
    <mergeCell ref="G11:I11"/>
    <mergeCell ref="B12:D12"/>
  </mergeCells>
  <conditionalFormatting sqref="A13">
    <cfRule type="expression" dxfId="17" priority="39" stopIfTrue="1">
      <formula>IF($B$12="",0,1)</formula>
    </cfRule>
  </conditionalFormatting>
  <conditionalFormatting sqref="F3">
    <cfRule type="expression" dxfId="16" priority="41" stopIfTrue="1">
      <formula>IF($B$3="New",1,0)</formula>
    </cfRule>
  </conditionalFormatting>
  <conditionalFormatting sqref="G3">
    <cfRule type="expression" dxfId="15" priority="34" stopIfTrue="1">
      <formula>IF($B$3="New",0,1)</formula>
    </cfRule>
  </conditionalFormatting>
  <conditionalFormatting sqref="A19">
    <cfRule type="expression" dxfId="14" priority="33" stopIfTrue="1">
      <formula>IF($B$18="Subsidary",1,0)</formula>
    </cfRule>
  </conditionalFormatting>
  <conditionalFormatting sqref="B19:D19">
    <cfRule type="expression" dxfId="13" priority="32" stopIfTrue="1">
      <formula>IF($B$18="Subsidary",1,0)</formula>
    </cfRule>
  </conditionalFormatting>
  <conditionalFormatting sqref="H3">
    <cfRule type="expression" dxfId="12" priority="31" stopIfTrue="1">
      <formula>IF($B$3="Revision",1,0)</formula>
    </cfRule>
  </conditionalFormatting>
  <conditionalFormatting sqref="H12">
    <cfRule type="expression" dxfId="11" priority="22" stopIfTrue="1">
      <formula>IF(G12="","",(IF($G$12="Available",1,1)))</formula>
    </cfRule>
  </conditionalFormatting>
  <conditionalFormatting sqref="H13">
    <cfRule type="expression" dxfId="10" priority="20" stopIfTrue="1">
      <formula>IF(G13="","",(IF($G$13="Yes",1,"")))</formula>
    </cfRule>
  </conditionalFormatting>
  <conditionalFormatting sqref="I13">
    <cfRule type="expression" dxfId="9" priority="16" stopIfTrue="1">
      <formula>IF($G$13="Yes",1,0)</formula>
    </cfRule>
  </conditionalFormatting>
  <conditionalFormatting sqref="H4">
    <cfRule type="expression" dxfId="8" priority="15" stopIfTrue="1">
      <formula>IF($B$3="Revision",0,(IF(I3="","",(IF($I$3="Yes",1,"")))))</formula>
    </cfRule>
  </conditionalFormatting>
  <conditionalFormatting sqref="F14">
    <cfRule type="expression" dxfId="7" priority="14">
      <formula>IF($G$13="Yes",1,0)</formula>
    </cfRule>
  </conditionalFormatting>
  <conditionalFormatting sqref="H14">
    <cfRule type="expression" dxfId="6" priority="13">
      <formula>IF($G$13="Yes",1,0)</formula>
    </cfRule>
  </conditionalFormatting>
  <conditionalFormatting sqref="G15">
    <cfRule type="expression" dxfId="5" priority="6">
      <formula>IF($G$13="Yes",1,0)</formula>
    </cfRule>
  </conditionalFormatting>
  <conditionalFormatting sqref="F15">
    <cfRule type="expression" dxfId="4" priority="11">
      <formula>IF($G$13="Yes",1,0)</formula>
    </cfRule>
  </conditionalFormatting>
  <conditionalFormatting sqref="G14">
    <cfRule type="expression" dxfId="3" priority="9">
      <formula>IF($G$13="Yes",1,0)</formula>
    </cfRule>
  </conditionalFormatting>
  <conditionalFormatting sqref="I14">
    <cfRule type="expression" dxfId="2" priority="3">
      <formula>IF(AND($G$13="Yes"),1,0)</formula>
    </cfRule>
  </conditionalFormatting>
  <conditionalFormatting sqref="I4">
    <cfRule type="expression" dxfId="1" priority="1">
      <formula>IF($B$3="Revision",0,(IF($I$3="No",1,0)))</formula>
    </cfRule>
  </conditionalFormatting>
  <dataValidations count="10">
    <dataValidation type="list" allowBlank="1" showInputMessage="1" showErrorMessage="1" sqref="B3" xr:uid="{00000000-0002-0000-0200-000000000000}">
      <formula1>"New, Revision"</formula1>
    </dataValidation>
    <dataValidation type="list" allowBlank="1" showInputMessage="1" showErrorMessage="1" sqref="I3" xr:uid="{00000000-0002-0000-0200-000001000000}">
      <formula1>"Yes,No"</formula1>
    </dataValidation>
    <dataValidation type="list" allowBlank="1" showInputMessage="1" showErrorMessage="1" sqref="I4" xr:uid="{00000000-0002-0000-0200-000002000000}">
      <formula1>"(Please select),Recurring/ Renewal,MSA,Addendum,Extension"</formula1>
    </dataValidation>
    <dataValidation type="list" allowBlank="1" showInputMessage="1" showErrorMessage="1" sqref="G14" xr:uid="{00000000-0002-0000-0200-000003000000}">
      <formula1>"Available,Draft,Client Sign Awaited"</formula1>
    </dataValidation>
    <dataValidation type="list" allowBlank="1" showInputMessage="1" showErrorMessage="1" sqref="B18:D18" xr:uid="{00000000-0002-0000-0200-000004000000}">
      <formula1>"Independent,Parent,Subsidary"</formula1>
    </dataValidation>
    <dataValidation type="list" allowBlank="1" showInputMessage="1" showErrorMessage="1" sqref="B25" xr:uid="{00000000-0002-0000-0200-000005000000}">
      <formula1>"Ms.,Mrs.,Mr."</formula1>
    </dataValidation>
    <dataValidation type="list" allowBlank="1" showInputMessage="1" showErrorMessage="1" sqref="B6" xr:uid="{00000000-0002-0000-0200-000006000000}">
      <formula1>"India"</formula1>
    </dataValidation>
    <dataValidation type="list" allowBlank="1" showInputMessage="1" showErrorMessage="1" sqref="G13" xr:uid="{00000000-0002-0000-0200-000007000000}">
      <formula1>"Yes,No,N/A"</formula1>
    </dataValidation>
    <dataValidation type="list" allowBlank="1" showInputMessage="1" showErrorMessage="1" sqref="G15" xr:uid="{00000000-0002-0000-0200-000008000000}">
      <formula1>"Yes,No,NA"</formula1>
    </dataValidation>
    <dataValidation type="list" allowBlank="1" showInputMessage="1" showErrorMessage="1" sqref="G12" xr:uid="{7B1A352E-FA65-4C52-A7BD-E6E5787F12FC}">
      <formula1>"Signed, Draft with Client e-mail Confirmation, PO, LOI, Not Available"</formula1>
    </dataValidation>
  </dataValidations>
  <printOptions horizontalCentered="1"/>
  <pageMargins left="0.75" right="0.75" top="1" bottom="1" header="0.5" footer="0.5"/>
  <pageSetup paperSize="9" scale="75" orientation="landscape" horizontalDpi="1200" verticalDpi="1200" r:id="rId1"/>
  <headerFooter alignWithMargins="0">
    <oddFooter>Page &amp;P</oddFooter>
  </headerFooter>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9000000}">
          <x14:formula1>
            <xm:f>'Ref1'!$C$256:$C$257</xm:f>
          </x14:formula1>
          <xm:sqref>B7:D7</xm:sqref>
        </x14:dataValidation>
        <x14:dataValidation type="list" allowBlank="1" showInputMessage="1" showErrorMessage="1" xr:uid="{00000000-0002-0000-0200-00000A000000}">
          <x14:formula1>
            <xm:f>'Ref1'!$C$244:$C$254</xm:f>
          </x14:formula1>
          <xm:sqref>D6</xm:sqref>
        </x14:dataValidation>
        <x14:dataValidation type="list" allowBlank="1" showInputMessage="1" showErrorMessage="1" xr:uid="{00000000-0002-0000-0200-00000B000000}">
          <x14:formula1>
            <xm:f>'Ref1'!$B$230:$B$231</xm:f>
          </x14:formula1>
          <xm:sqref>B9:D9</xm:sqref>
        </x14:dataValidation>
        <x14:dataValidation type="list" allowBlank="1" showInputMessage="1" showErrorMessage="1" xr:uid="{00000000-0002-0000-0200-00000C000000}">
          <x14:formula1>
            <xm:f>'Ref1'!$C$280:$C$282</xm:f>
          </x14:formula1>
          <xm:sqref>B12:D12</xm:sqref>
        </x14:dataValidation>
        <x14:dataValidation type="list" allowBlank="1" showInputMessage="1" showErrorMessage="1" xr:uid="{00000000-0002-0000-0200-00000D000000}">
          <x14:formula1>
            <xm:f>'Ref1'!$C$6:$C$88</xm:f>
          </x14:formula1>
          <xm:sqref>G7:I7</xm:sqref>
        </x14:dataValidation>
        <x14:dataValidation type="list" allowBlank="1" showInputMessage="1" showErrorMessage="1" xr:uid="{00000000-0002-0000-0200-00000E000000}">
          <x14:formula1>
            <xm:f>'Ref1'!$C$178:$C$216</xm:f>
          </x14:formula1>
          <xm:sqref>B20:D20</xm:sqref>
        </x14:dataValidation>
        <x14:dataValidation type="list" allowBlank="1" showInputMessage="1" showErrorMessage="1" xr:uid="{00000000-0002-0000-0200-00000F000000}">
          <x14:formula1>
            <xm:f>'Ref1'!$G$230:$G$268</xm:f>
          </x14:formula1>
          <xm:sqref>B24:D24</xm:sqref>
        </x14:dataValidation>
        <x14:dataValidation type="list" allowBlank="1" showInputMessage="1" showErrorMessage="1" xr:uid="{00000000-0002-0000-0200-000010000000}">
          <x14:formula1>
            <xm:f>Reference!$X$37:$X$43</xm:f>
          </x14:formula1>
          <xm:sqref>I13 B13:D13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11"/>
  <dimension ref="A1:XEU74"/>
  <sheetViews>
    <sheetView showGridLines="0" topLeftCell="A15" zoomScale="74" zoomScaleNormal="74" workbookViewId="0">
      <selection activeCell="F14" sqref="F14:F16"/>
    </sheetView>
  </sheetViews>
  <sheetFormatPr defaultColWidth="0" defaultRowHeight="14.4" zeroHeight="1"/>
  <cols>
    <col min="1" max="1" width="0.109375" style="349" customWidth="1"/>
    <col min="2" max="2" width="0.109375" style="350" customWidth="1"/>
    <col min="3" max="3" width="0.109375" style="349" customWidth="1"/>
    <col min="4" max="4" width="1.44140625" customWidth="1"/>
    <col min="5" max="5" width="26.6640625" customWidth="1"/>
    <col min="6" max="6" width="17.6640625" customWidth="1"/>
    <col min="7" max="7" width="6.109375" customWidth="1"/>
    <col min="8" max="8" width="13.33203125" customWidth="1"/>
    <col min="9" max="9" width="25" customWidth="1"/>
    <col min="10" max="10" width="12.5546875" customWidth="1"/>
    <col min="11" max="11" width="4.33203125" customWidth="1"/>
    <col min="12" max="12" width="10.5546875" customWidth="1"/>
    <col min="13" max="13" width="11.33203125" customWidth="1"/>
    <col min="14" max="14" width="6.44140625" customWidth="1"/>
    <col min="15" max="15" width="53.44140625" customWidth="1"/>
    <col min="16" max="16" width="3.33203125" style="351" customWidth="1"/>
    <col min="17" max="17" width="1.109375" customWidth="1"/>
    <col min="18" max="18" width="1.6640625" customWidth="1"/>
    <col min="19" max="19" width="11.6640625" customWidth="1"/>
    <col min="20" max="20" width="9.109375" customWidth="1"/>
    <col min="21" max="21" width="9.109375" hidden="1" customWidth="1"/>
    <col min="22" max="32" width="10.33203125" hidden="1" customWidth="1"/>
    <col min="33" max="33" width="0" hidden="1" customWidth="1"/>
    <col min="34" max="16374" width="9.109375" hidden="1"/>
    <col min="16376" max="16384" width="9.109375" hidden="1"/>
  </cols>
  <sheetData>
    <row r="1" spans="1:16" s="358" customFormat="1" ht="14.25" customHeight="1" thickBot="1">
      <c r="A1" s="352"/>
      <c r="B1" s="352"/>
      <c r="C1" s="352"/>
      <c r="O1" s="359" t="str">
        <f>MainSheet!J1</f>
        <v>Project_Template_2023_Apr.23</v>
      </c>
    </row>
    <row r="2" spans="1:16" s="358" customFormat="1" ht="22.5" customHeight="1" thickBot="1">
      <c r="A2" s="352"/>
      <c r="B2" s="352"/>
      <c r="C2" s="352"/>
      <c r="D2" s="1059" t="s">
        <v>610</v>
      </c>
      <c r="E2" s="1060"/>
      <c r="F2" s="1060"/>
      <c r="G2" s="1060"/>
      <c r="H2" s="1060"/>
      <c r="I2" s="1060"/>
      <c r="J2" s="1060"/>
      <c r="K2" s="1060"/>
      <c r="L2" s="1060"/>
      <c r="M2" s="1060"/>
      <c r="N2" s="1060"/>
      <c r="O2" s="391" t="str">
        <f>"Values in "&amp;MainSheet!B9</f>
        <v>Values in INR</v>
      </c>
      <c r="P2" s="392"/>
    </row>
    <row r="3" spans="1:16" s="358" customFormat="1" ht="11.25" customHeight="1">
      <c r="A3" s="352"/>
      <c r="B3" s="352"/>
      <c r="C3" s="352"/>
      <c r="D3" s="445"/>
      <c r="E3" s="446"/>
      <c r="F3" s="447"/>
      <c r="G3" s="447"/>
      <c r="H3" s="447"/>
      <c r="I3" s="447"/>
      <c r="J3" s="447"/>
      <c r="K3" s="447"/>
      <c r="L3" s="447"/>
      <c r="M3" s="447"/>
      <c r="N3" s="447"/>
      <c r="O3" s="447"/>
      <c r="P3" s="448"/>
    </row>
    <row r="4" spans="1:16" s="358" customFormat="1" ht="26.25" customHeight="1">
      <c r="A4" s="352"/>
      <c r="B4" s="352"/>
      <c r="C4" s="352"/>
      <c r="D4" s="445"/>
      <c r="E4" s="380" t="s">
        <v>611</v>
      </c>
      <c r="F4" s="401" t="str">
        <f>MainSheet!I3</f>
        <v>Yes</v>
      </c>
      <c r="G4" s="1054" t="s">
        <v>612</v>
      </c>
      <c r="H4" s="1054"/>
      <c r="I4" s="1063">
        <f>MainSheet!B10</f>
        <v>0</v>
      </c>
      <c r="J4" s="1063"/>
      <c r="K4" s="453"/>
      <c r="L4" s="1053" t="s">
        <v>613</v>
      </c>
      <c r="M4" s="1053"/>
      <c r="N4" s="1053"/>
      <c r="O4" s="474">
        <f>MainSheet!B11</f>
        <v>0</v>
      </c>
      <c r="P4" s="448"/>
    </row>
    <row r="5" spans="1:16" s="358" customFormat="1" ht="30" customHeight="1">
      <c r="A5" s="352"/>
      <c r="B5" s="352"/>
      <c r="C5" s="352"/>
      <c r="D5" s="445"/>
      <c r="E5" s="380" t="s">
        <v>614</v>
      </c>
      <c r="F5" s="1066" t="str">
        <f>MainSheet!B7</f>
        <v>Protiviti India Member Pvt. Ltd.</v>
      </c>
      <c r="G5" s="1066"/>
      <c r="H5" s="1066"/>
      <c r="I5" s="381" t="s">
        <v>126</v>
      </c>
      <c r="J5" s="402" t="str">
        <f>MainSheet!D6&amp;"-"&amp;MainSheet!B6</f>
        <v>R&amp;C-India</v>
      </c>
      <c r="K5" s="453"/>
      <c r="L5" s="1053" t="s">
        <v>615</v>
      </c>
      <c r="M5" s="1053"/>
      <c r="N5" s="1053"/>
      <c r="O5" s="475">
        <f>MainSheet!G9</f>
        <v>0</v>
      </c>
      <c r="P5" s="448"/>
    </row>
    <row r="6" spans="1:16" s="358" customFormat="1" ht="26.25" customHeight="1">
      <c r="A6" s="352"/>
      <c r="B6" s="352"/>
      <c r="C6" s="352"/>
      <c r="D6" s="445"/>
      <c r="E6" s="380" t="s">
        <v>616</v>
      </c>
      <c r="F6" s="1061" t="str">
        <f>MainSheet!B8</f>
        <v>HSBC</v>
      </c>
      <c r="G6" s="1061"/>
      <c r="H6" s="1061"/>
      <c r="I6" s="1061"/>
      <c r="J6" s="1061"/>
      <c r="K6" s="453"/>
      <c r="L6" s="1053" t="s">
        <v>617</v>
      </c>
      <c r="M6" s="1053"/>
      <c r="N6" s="1053"/>
      <c r="O6" s="475">
        <f>MainSheet!G10</f>
        <v>0</v>
      </c>
      <c r="P6" s="448"/>
    </row>
    <row r="7" spans="1:16" s="358" customFormat="1" ht="30" customHeight="1">
      <c r="A7" s="352"/>
      <c r="B7" s="352"/>
      <c r="C7" s="352"/>
      <c r="D7" s="445"/>
      <c r="E7" s="380" t="s">
        <v>9</v>
      </c>
      <c r="F7" s="1062" t="str">
        <f>MainSheet!G8</f>
        <v>CCM Project</v>
      </c>
      <c r="G7" s="1062"/>
      <c r="H7" s="1062"/>
      <c r="I7" s="1062"/>
      <c r="J7" s="1062"/>
      <c r="K7" s="453"/>
      <c r="L7" s="1053" t="s">
        <v>618</v>
      </c>
      <c r="M7" s="1053"/>
      <c r="N7" s="1053"/>
      <c r="O7" s="475">
        <f>MainSheet!G11</f>
        <v>0</v>
      </c>
      <c r="P7" s="448"/>
    </row>
    <row r="8" spans="1:16" s="358" customFormat="1" ht="30" customHeight="1">
      <c r="A8" s="352"/>
      <c r="B8" s="352"/>
      <c r="C8" s="352"/>
      <c r="D8" s="445"/>
      <c r="E8" s="380" t="s">
        <v>73</v>
      </c>
      <c r="F8" s="1064" t="str">
        <f>MainSheet!B20</f>
        <v>Banking</v>
      </c>
      <c r="G8" s="1064"/>
      <c r="H8" s="1064"/>
      <c r="I8" s="1064"/>
      <c r="J8" s="1064"/>
      <c r="K8" s="453"/>
      <c r="L8" s="1053" t="s">
        <v>619</v>
      </c>
      <c r="M8" s="1053"/>
      <c r="N8" s="1053"/>
      <c r="O8" s="473">
        <f>MainSheet!G6</f>
        <v>0</v>
      </c>
      <c r="P8" s="448"/>
    </row>
    <row r="9" spans="1:16" s="358" customFormat="1" ht="30" customHeight="1">
      <c r="A9" s="352"/>
      <c r="B9" s="352"/>
      <c r="C9" s="352"/>
      <c r="D9" s="445"/>
      <c r="E9" s="380" t="s">
        <v>620</v>
      </c>
      <c r="F9" s="1065" t="str">
        <f>MainSheet!G7</f>
        <v>Enterprise Risk Management</v>
      </c>
      <c r="G9" s="1065"/>
      <c r="H9" s="1065"/>
      <c r="I9" s="1065"/>
      <c r="J9" s="1065"/>
      <c r="K9" s="453"/>
      <c r="L9" s="1053" t="s">
        <v>621</v>
      </c>
      <c r="M9" s="1053"/>
      <c r="N9" s="1053"/>
      <c r="O9" s="473">
        <f>MainSheet!I6</f>
        <v>0</v>
      </c>
      <c r="P9" s="448"/>
    </row>
    <row r="10" spans="1:16" s="358" customFormat="1" ht="24" customHeight="1">
      <c r="A10" s="352"/>
      <c r="B10" s="352"/>
      <c r="C10" s="352"/>
      <c r="D10" s="445"/>
      <c r="E10" s="380" t="s">
        <v>22</v>
      </c>
      <c r="F10" s="1058" t="str">
        <f>MainSheet!B12</f>
        <v>Fixed Fee (Incl. Outlays)</v>
      </c>
      <c r="G10" s="1058"/>
      <c r="H10" s="1058"/>
      <c r="I10" s="1058"/>
      <c r="J10" s="1058"/>
      <c r="K10" s="453"/>
      <c r="L10" s="1053" t="s">
        <v>622</v>
      </c>
      <c r="M10" s="1053"/>
      <c r="N10" s="1053"/>
      <c r="O10" s="400" t="str">
        <f>MainSheet!G12</f>
        <v>Not Available</v>
      </c>
      <c r="P10" s="448"/>
    </row>
    <row r="11" spans="1:16" s="358" customFormat="1" ht="27" customHeight="1">
      <c r="A11" s="352"/>
      <c r="B11" s="352"/>
      <c r="C11" s="352"/>
      <c r="D11" s="445"/>
      <c r="E11" s="380" t="s">
        <v>623</v>
      </c>
      <c r="F11" s="1052" t="str">
        <f>MainSheet!B13</f>
        <v>Fixed Fee</v>
      </c>
      <c r="G11" s="1052"/>
      <c r="H11" s="1052"/>
      <c r="I11" s="1052"/>
      <c r="J11" s="1052"/>
      <c r="K11" s="453"/>
      <c r="L11" s="1053" t="str">
        <f>Billing!F7</f>
        <v>Payment Terms</v>
      </c>
      <c r="M11" s="1053"/>
      <c r="N11" s="1053"/>
      <c r="O11" s="399" t="str">
        <f>Billing!H7</f>
        <v>On Delivery / Completion</v>
      </c>
      <c r="P11" s="448"/>
    </row>
    <row r="12" spans="1:16" s="358" customFormat="1" ht="9.75" customHeight="1">
      <c r="A12" s="352"/>
      <c r="B12" s="352"/>
      <c r="C12" s="352"/>
      <c r="D12" s="445"/>
      <c r="E12" s="453"/>
      <c r="F12" s="453"/>
      <c r="G12" s="453"/>
      <c r="H12" s="453"/>
      <c r="I12" s="453"/>
      <c r="J12" s="453"/>
      <c r="K12" s="453"/>
      <c r="L12" s="453"/>
      <c r="M12" s="453"/>
      <c r="N12" s="453"/>
      <c r="O12" s="1038"/>
      <c r="P12" s="448"/>
    </row>
    <row r="13" spans="1:16" s="358" customFormat="1" ht="13.5" customHeight="1">
      <c r="A13" s="352"/>
      <c r="B13" s="352"/>
      <c r="C13" s="352"/>
      <c r="D13" s="445"/>
      <c r="E13" s="453"/>
      <c r="F13" s="453"/>
      <c r="G13" s="453"/>
      <c r="H13" s="453"/>
      <c r="I13" s="453"/>
      <c r="J13" s="453"/>
      <c r="K13" s="453"/>
      <c r="L13" s="459"/>
      <c r="M13" s="456"/>
      <c r="N13" s="453"/>
      <c r="O13" s="1039"/>
      <c r="P13" s="448"/>
    </row>
    <row r="14" spans="1:16" s="358" customFormat="1" ht="25.2" customHeight="1">
      <c r="A14" s="352"/>
      <c r="B14" s="352"/>
      <c r="C14" s="352"/>
      <c r="D14" s="445"/>
      <c r="E14" s="380" t="s">
        <v>624</v>
      </c>
      <c r="F14" s="403">
        <f>IF(F10=PRFIIO!C8,PRFIIO!V26,(IF(SA!F10=PRTM!C9,PRTM!K24,(IF(SA!F10=PRFEIO!C8,PRFEIO!V24,"")))))</f>
        <v>2595</v>
      </c>
      <c r="G14" s="458"/>
      <c r="H14" s="1053" t="s">
        <v>625</v>
      </c>
      <c r="I14" s="1053"/>
      <c r="J14" s="1053"/>
      <c r="K14" s="1053"/>
      <c r="L14" s="382">
        <f>IFERROR(M14/F23,0)</f>
        <v>0.76164061538461536</v>
      </c>
      <c r="M14" s="461">
        <f>IF(F10=PRFIIO!C8,(PRFIIO!V44+(5%*F23)),(IF(SA!F10=PRTM!C9,(PRTM!A33+(5%*F23)),(IF(SA!F10=PRFEIO!C8,(PRFEIO!V42+(5%*F23)),"")))))</f>
        <v>4950664</v>
      </c>
      <c r="N14" s="453"/>
      <c r="O14" s="1039"/>
      <c r="P14" s="448"/>
    </row>
    <row r="15" spans="1:16" s="358" customFormat="1" ht="25.2" customHeight="1">
      <c r="A15" s="352"/>
      <c r="B15" s="354"/>
      <c r="C15" s="352"/>
      <c r="D15" s="445"/>
      <c r="E15" s="380" t="s">
        <v>626</v>
      </c>
      <c r="F15" s="404">
        <f>IF(F10=PRFIIO!C8,PRFIIO!Q33,(IF(SA!F10=PRTM!C9,PRTM!X24,(IF(SA!F10=PRFEIO!C8,PRFEIO!Q31,"")))))</f>
        <v>17920540</v>
      </c>
      <c r="G15" s="454"/>
      <c r="H15" s="1053" t="s">
        <v>627</v>
      </c>
      <c r="I15" s="1053"/>
      <c r="J15" s="1053"/>
      <c r="K15" s="1053"/>
      <c r="L15" s="383">
        <f>IFERROR(M15/F23,0)</f>
        <v>0.23835938461538461</v>
      </c>
      <c r="M15" s="461">
        <f>IFERROR(F23-M14,"")</f>
        <v>1549336</v>
      </c>
      <c r="N15" s="453"/>
      <c r="O15" s="460"/>
      <c r="P15" s="448"/>
    </row>
    <row r="16" spans="1:16" s="358" customFormat="1" ht="25.2" customHeight="1">
      <c r="A16" s="352"/>
      <c r="B16" s="352"/>
      <c r="C16" s="352"/>
      <c r="D16" s="445"/>
      <c r="E16" s="380" t="s">
        <v>628</v>
      </c>
      <c r="F16" s="404">
        <f>IF(F10=PRFIIO!C8,PRFIIO!D32,(IF(SA!F10=PRTM!C9,PRTM!I33,(IF(SA!F10=PRFEIO!C8,PRFEIO!D30,"")))))</f>
        <v>6500000</v>
      </c>
      <c r="G16" s="454"/>
      <c r="H16" s="453"/>
      <c r="I16" s="453"/>
      <c r="J16" s="453"/>
      <c r="K16" s="453"/>
      <c r="L16" s="453"/>
      <c r="M16" s="453"/>
      <c r="N16" s="453"/>
      <c r="O16" s="453"/>
      <c r="P16" s="448"/>
    </row>
    <row r="17" spans="1:32" s="358" customFormat="1" ht="25.2" customHeight="1">
      <c r="A17" s="352"/>
      <c r="B17" s="352"/>
      <c r="C17" s="352"/>
      <c r="D17" s="445"/>
      <c r="E17" s="380" t="s">
        <v>629</v>
      </c>
      <c r="F17" s="404">
        <f>'Ref1'!G313</f>
        <v>0</v>
      </c>
      <c r="G17" s="454"/>
      <c r="H17" s="453"/>
      <c r="I17" s="453"/>
      <c r="J17" s="453"/>
      <c r="K17" s="453"/>
      <c r="L17" s="453"/>
      <c r="M17" s="373"/>
      <c r="N17" s="373"/>
      <c r="O17" s="453"/>
      <c r="P17" s="448"/>
    </row>
    <row r="18" spans="1:32" s="358" customFormat="1" ht="25.2" customHeight="1">
      <c r="A18" s="352"/>
      <c r="B18" s="352"/>
      <c r="C18" s="352"/>
      <c r="D18" s="445"/>
      <c r="E18" s="380" t="s">
        <v>86</v>
      </c>
      <c r="F18" s="404">
        <f>IFERROR((SUMIFS('Ref1'!$F$301:$F$311,'Ref1'!$C$301:$C$311,SA!E18)),0)</f>
        <v>0</v>
      </c>
      <c r="G18" s="454"/>
      <c r="H18" s="453"/>
      <c r="I18" s="646" t="s">
        <v>630</v>
      </c>
      <c r="J18" s="647">
        <f>IFERROR(M15/F16,0)</f>
        <v>0.23835938461538461</v>
      </c>
      <c r="K18" s="453"/>
      <c r="L18" s="373"/>
      <c r="M18" s="373"/>
      <c r="N18" s="373"/>
      <c r="O18" s="453"/>
      <c r="P18" s="448"/>
    </row>
    <row r="19" spans="1:32" s="358" customFormat="1" ht="29.25" customHeight="1">
      <c r="A19" s="352"/>
      <c r="B19" s="364"/>
      <c r="C19" s="352"/>
      <c r="D19" s="445"/>
      <c r="E19" s="380" t="s">
        <v>88</v>
      </c>
      <c r="F19" s="404">
        <f>IFERROR((SUMIFS('Ref1'!$F$301:$F$311,'Ref1'!$C$301:$C$311,SA!E19)),0)</f>
        <v>0</v>
      </c>
      <c r="G19" s="454"/>
      <c r="H19" s="453"/>
      <c r="I19" s="648" t="s">
        <v>625</v>
      </c>
      <c r="J19" s="647">
        <f>IFERROR(M14/F16,0)</f>
        <v>0.76164061538461536</v>
      </c>
      <c r="K19" s="453"/>
      <c r="L19" s="373"/>
      <c r="M19" s="373"/>
      <c r="N19" s="373"/>
      <c r="O19" s="453"/>
      <c r="P19" s="448"/>
      <c r="S19" s="372"/>
    </row>
    <row r="20" spans="1:32" s="358" customFormat="1" ht="25.2" customHeight="1">
      <c r="A20" s="352"/>
      <c r="B20" s="364"/>
      <c r="C20" s="352"/>
      <c r="D20" s="445"/>
      <c r="E20" s="380" t="s">
        <v>90</v>
      </c>
      <c r="F20" s="404">
        <f>IFERROR((SUMIFS('Ref1'!$F$301:$F$311,'Ref1'!$C$301:$C$311,SA!E20)),0)</f>
        <v>0</v>
      </c>
      <c r="G20" s="454"/>
      <c r="H20" s="453"/>
      <c r="I20" s="649" t="s">
        <v>631</v>
      </c>
      <c r="J20" s="647">
        <f>IFERROR(F17/F16,0)</f>
        <v>0</v>
      </c>
      <c r="K20" s="453"/>
      <c r="L20" s="373"/>
      <c r="M20" s="373"/>
      <c r="N20" s="373"/>
      <c r="O20" s="453"/>
      <c r="P20" s="448"/>
    </row>
    <row r="21" spans="1:32" s="358" customFormat="1" ht="25.2" customHeight="1">
      <c r="A21" s="352"/>
      <c r="B21" s="364"/>
      <c r="C21" s="352"/>
      <c r="D21" s="445"/>
      <c r="E21" s="380" t="s">
        <v>92</v>
      </c>
      <c r="F21" s="404">
        <f>IFERROR((SUMIFS('Ref1'!$F$301:$F$311,'Ref1'!$C$301:$C$311,SA!E21)),0)</f>
        <v>0</v>
      </c>
      <c r="G21" s="454"/>
      <c r="H21" s="453"/>
      <c r="I21" s="650" t="s">
        <v>147</v>
      </c>
      <c r="J21" s="647">
        <f>IFERROR(F18/F16,0)</f>
        <v>0</v>
      </c>
      <c r="K21" s="453"/>
      <c r="L21" s="373"/>
      <c r="M21" s="373"/>
      <c r="N21" s="373"/>
      <c r="O21" s="453"/>
      <c r="P21" s="448"/>
    </row>
    <row r="22" spans="1:32" s="358" customFormat="1" ht="25.2" customHeight="1">
      <c r="A22" s="352"/>
      <c r="B22" s="364"/>
      <c r="C22" s="352"/>
      <c r="D22" s="445"/>
      <c r="E22" s="380" t="str">
        <f>"VAT "&amp; (IF(F10=PRFIIO!C8,PRFIIO!B42,(IF(SA!F10=PRTM!C9,PRTM!H27,(IF(SA!F10=PRFEIO!C8,PRFEIO!B40,""))))))</f>
        <v xml:space="preserve">VAT </v>
      </c>
      <c r="F22" s="404">
        <f>IF(F10=PRFIIO!C8,PRFIIO!G40,(IF(SA!F10=PRTM!C9,PRTM!L27,(IF(SA!F10=PRFEIO!C8,PRFEIO!G40,"")))))</f>
        <v>0</v>
      </c>
      <c r="G22" s="455"/>
      <c r="H22" s="456"/>
      <c r="I22" s="651" t="s">
        <v>632</v>
      </c>
      <c r="J22" s="647">
        <f>IFERROR((F19+F20)/F16,0)</f>
        <v>0</v>
      </c>
      <c r="K22" s="453"/>
      <c r="L22" s="373"/>
      <c r="M22" s="373"/>
      <c r="N22" s="373"/>
      <c r="O22" s="453"/>
      <c r="P22" s="448"/>
    </row>
    <row r="23" spans="1:32" s="358" customFormat="1" ht="25.2" customHeight="1">
      <c r="A23" s="352"/>
      <c r="B23" s="364"/>
      <c r="C23" s="352"/>
      <c r="D23" s="445"/>
      <c r="E23" s="380" t="s">
        <v>633</v>
      </c>
      <c r="F23" s="404">
        <f>IFERROR(F16-SUM(F17:F22),0)</f>
        <v>6500000</v>
      </c>
      <c r="G23" s="455"/>
      <c r="H23" s="456"/>
      <c r="I23" s="652" t="s">
        <v>634</v>
      </c>
      <c r="J23" s="647">
        <f>IFERROR((F21+F22)/F16,0)</f>
        <v>0</v>
      </c>
      <c r="K23" s="453"/>
      <c r="L23" s="373"/>
      <c r="M23" s="373"/>
      <c r="N23" s="373"/>
      <c r="O23" s="453"/>
      <c r="P23" s="448"/>
    </row>
    <row r="24" spans="1:32" s="358" customFormat="1" ht="25.2" customHeight="1">
      <c r="A24" s="352"/>
      <c r="B24" s="364"/>
      <c r="C24" s="352"/>
      <c r="D24" s="445"/>
      <c r="E24" s="380" t="s">
        <v>192</v>
      </c>
      <c r="F24" s="386">
        <f>IFERROR(F23/F15,"")</f>
        <v>0.36271228433964603</v>
      </c>
      <c r="G24" s="457" t="str">
        <f>E24&amp;"  "&amp;IFERROR(ROUND((F24*100),1),"")</f>
        <v>Budgeted Recovery %  36.3</v>
      </c>
      <c r="H24" s="456"/>
      <c r="I24" s="456"/>
      <c r="J24" s="456"/>
      <c r="K24" s="453"/>
      <c r="L24" s="373"/>
      <c r="M24" s="373"/>
      <c r="N24" s="373"/>
      <c r="O24" s="453"/>
      <c r="P24" s="448"/>
    </row>
    <row r="25" spans="1:32" s="358" customFormat="1" ht="25.2" customHeight="1">
      <c r="A25" s="352"/>
      <c r="B25" s="352"/>
      <c r="C25" s="352"/>
      <c r="D25" s="445"/>
      <c r="E25" s="380" t="s">
        <v>635</v>
      </c>
      <c r="F25" s="404">
        <f>IFERROR(F23/F14,"")</f>
        <v>2504.8169556840076</v>
      </c>
      <c r="G25" s="457" t="str">
        <f>E25&amp;" "&amp;" "&amp;MainSheet!B9 &amp;" "&amp; IFERROR(ROUND(F25,1),"")</f>
        <v>Net Rev per hour  INR 2504.8</v>
      </c>
      <c r="H25" s="457"/>
      <c r="I25" s="456"/>
      <c r="J25" s="456"/>
      <c r="K25" s="453"/>
      <c r="L25" s="453"/>
      <c r="M25" s="453"/>
      <c r="N25" s="453"/>
      <c r="O25" s="453"/>
      <c r="P25" s="448"/>
    </row>
    <row r="26" spans="1:32" s="358" customFormat="1" ht="5.25" customHeight="1">
      <c r="A26" s="352"/>
      <c r="B26" s="352"/>
      <c r="C26" s="352"/>
      <c r="D26" s="445"/>
      <c r="E26" s="453"/>
      <c r="F26" s="453"/>
      <c r="G26" s="453"/>
      <c r="H26" s="456"/>
      <c r="I26" s="456"/>
      <c r="J26" s="456"/>
      <c r="K26" s="453"/>
      <c r="L26" s="453"/>
      <c r="M26" s="453"/>
      <c r="N26" s="453"/>
      <c r="O26" s="453"/>
      <c r="P26" s="448"/>
    </row>
    <row r="27" spans="1:32" s="358" customFormat="1" ht="5.25" customHeight="1" thickBot="1">
      <c r="A27" s="352"/>
      <c r="B27" s="352"/>
      <c r="C27" s="352"/>
      <c r="D27" s="445"/>
      <c r="E27" s="453"/>
      <c r="F27" s="453"/>
      <c r="G27" s="453"/>
      <c r="H27" s="453"/>
      <c r="I27" s="453"/>
      <c r="J27" s="453"/>
      <c r="K27" s="453"/>
      <c r="L27" s="453"/>
      <c r="M27" s="453"/>
      <c r="N27" s="453"/>
      <c r="O27" s="453"/>
      <c r="P27" s="448"/>
    </row>
    <row r="28" spans="1:32" s="358" customFormat="1" ht="5.25" customHeight="1">
      <c r="A28" s="393"/>
      <c r="B28" s="394"/>
      <c r="C28" s="394"/>
      <c r="D28" s="449"/>
      <c r="E28" s="462"/>
      <c r="F28" s="462"/>
      <c r="G28" s="462"/>
      <c r="H28" s="462"/>
      <c r="I28" s="462"/>
      <c r="J28" s="462"/>
      <c r="K28" s="462"/>
      <c r="L28" s="462"/>
      <c r="M28" s="462"/>
      <c r="N28" s="462"/>
      <c r="O28" s="462"/>
      <c r="P28" s="463"/>
    </row>
    <row r="29" spans="1:32" s="358" customFormat="1" ht="18" customHeight="1">
      <c r="A29" s="395"/>
      <c r="B29" s="352"/>
      <c r="C29" s="408"/>
      <c r="D29" s="450"/>
      <c r="E29" s="1055" t="s">
        <v>636</v>
      </c>
      <c r="F29" s="1056"/>
      <c r="G29" s="1056"/>
      <c r="H29" s="1057"/>
      <c r="I29" s="453"/>
      <c r="J29" s="453"/>
      <c r="K29" s="453"/>
      <c r="L29" s="453"/>
      <c r="M29" s="453"/>
      <c r="N29" s="453"/>
      <c r="O29" s="453"/>
      <c r="P29" s="464"/>
    </row>
    <row r="30" spans="1:32" s="358" customFormat="1" ht="18" customHeight="1">
      <c r="A30" s="395"/>
      <c r="B30" s="352"/>
      <c r="C30" s="352"/>
      <c r="D30" s="450"/>
      <c r="E30" s="381" t="s">
        <v>637</v>
      </c>
      <c r="F30" s="381" t="s">
        <v>638</v>
      </c>
      <c r="G30" s="1054" t="s">
        <v>639</v>
      </c>
      <c r="H30" s="1054"/>
      <c r="I30" s="453"/>
      <c r="J30" s="453"/>
      <c r="K30" s="453"/>
      <c r="L30" s="453"/>
      <c r="M30" s="453"/>
      <c r="N30" s="453"/>
      <c r="O30" s="453"/>
      <c r="P30" s="464"/>
      <c r="V30" s="43" t="str">
        <f>'Ref1'!F230</f>
        <v>Managing Director</v>
      </c>
      <c r="W30" s="43" t="s">
        <v>482</v>
      </c>
      <c r="X30" s="43" t="s">
        <v>484</v>
      </c>
      <c r="Y30" s="43" t="s">
        <v>486</v>
      </c>
      <c r="Z30" s="43" t="s">
        <v>488</v>
      </c>
      <c r="AA30" s="43" t="s">
        <v>640</v>
      </c>
      <c r="AB30" s="43" t="s">
        <v>492</v>
      </c>
      <c r="AC30" s="43" t="s">
        <v>641</v>
      </c>
      <c r="AD30" s="43" t="s">
        <v>642</v>
      </c>
      <c r="AE30" s="43" t="s">
        <v>259</v>
      </c>
      <c r="AF30" s="43" t="s">
        <v>260</v>
      </c>
    </row>
    <row r="31" spans="1:32" s="358" customFormat="1" ht="20.25" customHeight="1">
      <c r="A31" s="395"/>
      <c r="B31" s="353"/>
      <c r="C31" s="353"/>
      <c r="D31" s="450"/>
      <c r="E31" s="384" t="s">
        <v>643</v>
      </c>
      <c r="F31" s="385" t="str">
        <f>IFERROR(HLOOKUP(E31,$V$31:$AF$34,(VLOOKUP($F$10,$AA$38:$AB$40,2,FALSE)),FALSE),"")</f>
        <v/>
      </c>
      <c r="G31" s="1041" t="str">
        <f>IF(F31=0,"",(IFERROR(F31/$F$42,"")))</f>
        <v/>
      </c>
      <c r="H31" s="1041"/>
      <c r="I31" s="459"/>
      <c r="J31" s="453"/>
      <c r="K31" s="453"/>
      <c r="L31" s="453"/>
      <c r="M31" s="453"/>
      <c r="N31" s="453"/>
      <c r="O31" s="453"/>
      <c r="P31" s="464"/>
      <c r="V31" s="653" t="str">
        <f>PRFIIO!J6</f>
        <v>MD</v>
      </c>
      <c r="W31" s="653" t="str">
        <f>PRFIIO!K6</f>
        <v>SD</v>
      </c>
      <c r="X31" s="653" t="str">
        <f>PRFIIO!L6</f>
        <v>DIR</v>
      </c>
      <c r="Y31" s="653" t="str">
        <f>PRFIIO!M6</f>
        <v>AD</v>
      </c>
      <c r="Z31" s="653" t="str">
        <f>PRFIIO!N6</f>
        <v>SR. MGR</v>
      </c>
      <c r="AA31" s="653" t="str">
        <f>PRFIIO!O6</f>
        <v>MGR</v>
      </c>
      <c r="AB31" s="653" t="str">
        <f>PRFIIO!P6</f>
        <v>DM</v>
      </c>
      <c r="AC31" s="653" t="str">
        <f>PRFIIO!Q6</f>
        <v>SR. CONS.</v>
      </c>
      <c r="AD31" s="653" t="str">
        <f>PRFIIO!R6</f>
        <v>CON3</v>
      </c>
      <c r="AE31" s="653" t="str">
        <f>PRFIIO!S6</f>
        <v>CON2</v>
      </c>
      <c r="AF31" s="653" t="str">
        <f>PRFIIO!T6</f>
        <v>CON1</v>
      </c>
    </row>
    <row r="32" spans="1:32" s="358" customFormat="1" ht="20.25" customHeight="1">
      <c r="A32" s="395"/>
      <c r="B32" s="354"/>
      <c r="C32" s="353"/>
      <c r="D32" s="450"/>
      <c r="E32" s="384" t="s">
        <v>249</v>
      </c>
      <c r="F32" s="385">
        <f t="shared" ref="F32:F40" si="0">IFERROR(HLOOKUP(E32,$V$31:$AF$34,(VLOOKUP($F$10,$AA$38:$AB$40,2,FALSE)),FALSE),"")</f>
        <v>65</v>
      </c>
      <c r="G32" s="1041">
        <f t="shared" ref="G32:G40" si="1">IF(F32=0,"",(IFERROR(F32/$F$42,"")))</f>
        <v>2.5145067698259187E-2</v>
      </c>
      <c r="H32" s="1041"/>
      <c r="I32" s="453"/>
      <c r="J32" s="453"/>
      <c r="K32" s="453"/>
      <c r="L32" s="453"/>
      <c r="M32" s="453"/>
      <c r="N32" s="453"/>
      <c r="O32" s="453"/>
      <c r="P32" s="464"/>
      <c r="U32" s="358" t="s">
        <v>145</v>
      </c>
      <c r="V32" s="366">
        <f>PRFIIO!J26</f>
        <v>10</v>
      </c>
      <c r="W32" s="366">
        <f>PRFIIO!K26</f>
        <v>0</v>
      </c>
      <c r="X32" s="366">
        <f>PRFIIO!L26</f>
        <v>65</v>
      </c>
      <c r="Y32" s="366">
        <f>PRFIIO!M26</f>
        <v>144</v>
      </c>
      <c r="Z32" s="366">
        <f>PRFIIO!N26</f>
        <v>240</v>
      </c>
      <c r="AA32" s="366">
        <f>PRFIIO!O26</f>
        <v>0</v>
      </c>
      <c r="AB32" s="366">
        <f>PRFIIO!P26</f>
        <v>360</v>
      </c>
      <c r="AC32" s="366">
        <f>PRFIIO!Q26</f>
        <v>464</v>
      </c>
      <c r="AD32" s="366">
        <f>PRFIIO!R26</f>
        <v>656</v>
      </c>
      <c r="AE32" s="366">
        <f>PRFIIO!S26</f>
        <v>656</v>
      </c>
      <c r="AF32" s="366">
        <f>PRFIIO!T26</f>
        <v>0</v>
      </c>
    </row>
    <row r="33" spans="1:32" s="358" customFormat="1" ht="20.25" customHeight="1">
      <c r="A33" s="395"/>
      <c r="B33" s="354"/>
      <c r="C33" s="353"/>
      <c r="D33" s="451"/>
      <c r="E33" s="384" t="s">
        <v>130</v>
      </c>
      <c r="F33" s="385">
        <f t="shared" si="0"/>
        <v>144</v>
      </c>
      <c r="G33" s="1041">
        <f t="shared" si="1"/>
        <v>5.5705996131528046E-2</v>
      </c>
      <c r="H33" s="1041"/>
      <c r="I33" s="453"/>
      <c r="J33" s="453"/>
      <c r="K33" s="453"/>
      <c r="L33" s="453"/>
      <c r="M33" s="453"/>
      <c r="N33" s="453"/>
      <c r="O33" s="453"/>
      <c r="P33" s="464"/>
      <c r="U33" s="358" t="s">
        <v>210</v>
      </c>
      <c r="V33" s="366">
        <f>PRFEIO!J24</f>
        <v>0</v>
      </c>
      <c r="W33" s="366">
        <f>PRFEIO!K24</f>
        <v>0</v>
      </c>
      <c r="X33" s="366">
        <f>PRFEIO!L24</f>
        <v>0</v>
      </c>
      <c r="Y33" s="366">
        <f>PRFEIO!M24</f>
        <v>0</v>
      </c>
      <c r="Z33" s="366">
        <f>PRFEIO!N24</f>
        <v>0</v>
      </c>
      <c r="AA33" s="366">
        <f>PRFEIO!O24</f>
        <v>0</v>
      </c>
      <c r="AB33" s="366">
        <f>PRFEIO!P24</f>
        <v>0</v>
      </c>
      <c r="AC33" s="366">
        <f>PRFEIO!Q24</f>
        <v>0</v>
      </c>
      <c r="AD33" s="366">
        <f>PRFEIO!R24</f>
        <v>0</v>
      </c>
      <c r="AE33" s="366">
        <f>PRFEIO!S24</f>
        <v>0</v>
      </c>
      <c r="AF33" s="366">
        <f>PRFEIO!U24</f>
        <v>0</v>
      </c>
    </row>
    <row r="34" spans="1:32" s="358" customFormat="1" ht="20.25" customHeight="1">
      <c r="A34" s="395"/>
      <c r="B34" s="354"/>
      <c r="C34" s="352"/>
      <c r="D34" s="451"/>
      <c r="E34" s="384" t="s">
        <v>644</v>
      </c>
      <c r="F34" s="385">
        <f t="shared" si="0"/>
        <v>240</v>
      </c>
      <c r="G34" s="1041">
        <f t="shared" si="1"/>
        <v>9.2843326885880081E-2</v>
      </c>
      <c r="H34" s="1041"/>
      <c r="I34" s="453"/>
      <c r="J34" s="465"/>
      <c r="K34" s="453"/>
      <c r="L34" s="453"/>
      <c r="M34" s="453"/>
      <c r="N34" s="453"/>
      <c r="O34" s="453"/>
      <c r="P34" s="464"/>
      <c r="U34" s="358" t="s">
        <v>290</v>
      </c>
      <c r="V34" s="366">
        <f ca="1">SUMIF(PRTM!$H$8:$I$23,SA!V30,PRTM!$K$8:$K$23)</f>
        <v>0</v>
      </c>
      <c r="W34" s="366">
        <f ca="1">SUMIF(PRTM!$H$8:$I$23,SA!W30,PRTM!$K$8:$K$23)</f>
        <v>0</v>
      </c>
      <c r="X34" s="366">
        <f ca="1">SUMIF(PRTM!$H$8:$I$23,SA!X30,PRTM!$K$8:$K$23)</f>
        <v>0</v>
      </c>
      <c r="Y34" s="366">
        <f ca="1">SUMIF(PRTM!$H$8:$I$23,SA!Y30,PRTM!$K$8:$K$23)</f>
        <v>0</v>
      </c>
      <c r="Z34" s="366">
        <f ca="1">SUMIF(PRTM!$H$8:$I$23,SA!Z30,PRTM!$K$8:$K$23)</f>
        <v>0</v>
      </c>
      <c r="AA34" s="366">
        <f ca="1">SUMIF(PRTM!$H$8:$I$23,SA!AA30,PRTM!$K$8:$K$23)</f>
        <v>0</v>
      </c>
      <c r="AB34" s="366">
        <f ca="1">SUMIF(PRTM!$H$8:$I$23,SA!AB30,PRTM!$K$8:$K$23)</f>
        <v>0</v>
      </c>
      <c r="AC34" s="366">
        <f ca="1">SUMIF(PRTM!$H$8:$I$23,SA!AC30,PRTM!$K$8:$K$23)</f>
        <v>0</v>
      </c>
      <c r="AD34" s="366">
        <f ca="1">SUMIF(PRTM!$H$8:$I$23,SA!AD30,PRTM!$K$8:$K$23)</f>
        <v>0</v>
      </c>
      <c r="AE34" s="366">
        <f ca="1">SUMIF(PRTM!$H$8:$I$23,SA!AE30,PRTM!$K$8:$K$23)</f>
        <v>0</v>
      </c>
      <c r="AF34" s="366">
        <f ca="1">SUMIF(PRTM!$H$8:$I$23,SA!AF30,PRTM!$K$8:$K$23)</f>
        <v>0</v>
      </c>
    </row>
    <row r="35" spans="1:32" s="358" customFormat="1" ht="20.25" customHeight="1">
      <c r="A35" s="395"/>
      <c r="B35" s="354"/>
      <c r="C35" s="352"/>
      <c r="D35" s="451"/>
      <c r="E35" s="384" t="s">
        <v>254</v>
      </c>
      <c r="F35" s="385">
        <f t="shared" si="0"/>
        <v>0</v>
      </c>
      <c r="G35" s="1041" t="str">
        <f t="shared" si="1"/>
        <v/>
      </c>
      <c r="H35" s="1041"/>
      <c r="I35" s="453"/>
      <c r="J35" s="465"/>
      <c r="K35" s="453"/>
      <c r="L35" s="453"/>
      <c r="M35" s="453"/>
      <c r="N35" s="453"/>
      <c r="O35" s="453"/>
      <c r="P35" s="464"/>
      <c r="V35" s="358" t="s">
        <v>145</v>
      </c>
      <c r="W35" s="358" t="s">
        <v>210</v>
      </c>
      <c r="X35" s="358" t="s">
        <v>290</v>
      </c>
    </row>
    <row r="36" spans="1:32" s="358" customFormat="1" ht="20.25" customHeight="1">
      <c r="A36" s="395"/>
      <c r="B36" s="354"/>
      <c r="C36" s="352"/>
      <c r="D36" s="450"/>
      <c r="E36" s="384" t="s">
        <v>133</v>
      </c>
      <c r="F36" s="385">
        <f t="shared" si="0"/>
        <v>360</v>
      </c>
      <c r="G36" s="1041">
        <f t="shared" si="1"/>
        <v>0.13926499032882012</v>
      </c>
      <c r="H36" s="1041"/>
      <c r="I36" s="453"/>
      <c r="J36" s="465"/>
      <c r="K36" s="453"/>
      <c r="L36" s="453"/>
      <c r="M36" s="453"/>
      <c r="N36" s="453"/>
      <c r="O36" s="453"/>
      <c r="P36" s="464"/>
      <c r="V36" s="367">
        <v>2</v>
      </c>
      <c r="W36" s="367">
        <v>3</v>
      </c>
      <c r="X36" s="367">
        <v>4</v>
      </c>
    </row>
    <row r="37" spans="1:32" s="358" customFormat="1" ht="20.25" customHeight="1">
      <c r="A37" s="395"/>
      <c r="B37" s="353"/>
      <c r="C37" s="352"/>
      <c r="D37" s="450"/>
      <c r="E37" s="384" t="s">
        <v>645</v>
      </c>
      <c r="F37" s="385">
        <f t="shared" si="0"/>
        <v>464</v>
      </c>
      <c r="G37" s="1041">
        <f t="shared" si="1"/>
        <v>0.1794970986460348</v>
      </c>
      <c r="H37" s="1041"/>
      <c r="I37" s="453"/>
      <c r="J37" s="465"/>
      <c r="K37" s="453"/>
      <c r="L37" s="453"/>
      <c r="M37" s="453"/>
      <c r="N37" s="453"/>
      <c r="O37" s="453"/>
      <c r="P37" s="464"/>
      <c r="U37" s="654" t="s">
        <v>127</v>
      </c>
      <c r="V37" s="367">
        <f>V32</f>
        <v>10</v>
      </c>
      <c r="W37" s="367">
        <f>V33</f>
        <v>0</v>
      </c>
      <c r="X37" s="367">
        <f ca="1">V34</f>
        <v>0</v>
      </c>
    </row>
    <row r="38" spans="1:32" s="358" customFormat="1" ht="20.25" customHeight="1">
      <c r="A38" s="395"/>
      <c r="B38" s="354"/>
      <c r="C38" s="352"/>
      <c r="D38" s="450"/>
      <c r="E38" s="476" t="s">
        <v>135</v>
      </c>
      <c r="F38" s="385">
        <f t="shared" si="0"/>
        <v>656</v>
      </c>
      <c r="G38" s="1041">
        <f t="shared" si="1"/>
        <v>0.2537717601547389</v>
      </c>
      <c r="H38" s="1041"/>
      <c r="I38" s="453"/>
      <c r="J38" s="465"/>
      <c r="K38" s="466"/>
      <c r="L38" s="453"/>
      <c r="M38" s="453"/>
      <c r="N38" s="453"/>
      <c r="O38" s="453"/>
      <c r="P38" s="464"/>
      <c r="U38" s="654" t="s">
        <v>646</v>
      </c>
      <c r="V38" s="367">
        <f>W32</f>
        <v>0</v>
      </c>
      <c r="W38" s="367">
        <f>W33</f>
        <v>0</v>
      </c>
      <c r="X38" s="367">
        <f ca="1">W34</f>
        <v>0</v>
      </c>
      <c r="AA38" s="358" t="s">
        <v>145</v>
      </c>
      <c r="AB38" s="358">
        <v>2</v>
      </c>
    </row>
    <row r="39" spans="1:32" s="358" customFormat="1" ht="20.25" customHeight="1">
      <c r="A39" s="395"/>
      <c r="B39" s="353"/>
      <c r="C39" s="352"/>
      <c r="D39" s="450"/>
      <c r="E39" s="476" t="s">
        <v>136</v>
      </c>
      <c r="F39" s="385">
        <f t="shared" si="0"/>
        <v>656</v>
      </c>
      <c r="G39" s="1041">
        <f t="shared" si="1"/>
        <v>0.2537717601547389</v>
      </c>
      <c r="H39" s="1041"/>
      <c r="I39" s="453"/>
      <c r="J39" s="465"/>
      <c r="K39" s="453"/>
      <c r="L39" s="453"/>
      <c r="M39" s="453"/>
      <c r="N39" s="453"/>
      <c r="O39" s="453"/>
      <c r="P39" s="464"/>
      <c r="U39" s="654" t="s">
        <v>130</v>
      </c>
      <c r="V39" s="367">
        <f>X32</f>
        <v>65</v>
      </c>
      <c r="W39" s="367">
        <f>X33</f>
        <v>0</v>
      </c>
      <c r="X39" s="367">
        <f ca="1">X34</f>
        <v>0</v>
      </c>
      <c r="AA39" s="358" t="s">
        <v>210</v>
      </c>
      <c r="AB39" s="358">
        <v>3</v>
      </c>
    </row>
    <row r="40" spans="1:32" s="358" customFormat="1" ht="20.25" customHeight="1">
      <c r="A40" s="395"/>
      <c r="B40" s="353"/>
      <c r="C40" s="352"/>
      <c r="D40" s="450"/>
      <c r="E40" s="476" t="s">
        <v>137</v>
      </c>
      <c r="F40" s="385">
        <f t="shared" si="0"/>
        <v>0</v>
      </c>
      <c r="G40" s="1041" t="str">
        <f t="shared" si="1"/>
        <v/>
      </c>
      <c r="H40" s="1041"/>
      <c r="I40" s="453"/>
      <c r="J40" s="465"/>
      <c r="K40" s="453"/>
      <c r="L40" s="453"/>
      <c r="M40" s="453"/>
      <c r="N40" s="453"/>
      <c r="O40" s="453"/>
      <c r="P40" s="464"/>
      <c r="U40" s="654" t="s">
        <v>647</v>
      </c>
      <c r="V40" s="367">
        <f>Y32</f>
        <v>144</v>
      </c>
      <c r="W40" s="367">
        <f>Y33</f>
        <v>0</v>
      </c>
      <c r="X40" s="367">
        <f ca="1">Y34</f>
        <v>0</v>
      </c>
      <c r="AA40" s="358" t="s">
        <v>290</v>
      </c>
      <c r="AB40" s="358">
        <v>4</v>
      </c>
    </row>
    <row r="41" spans="1:32" s="358" customFormat="1" ht="20.25" customHeight="1" thickBot="1">
      <c r="A41" s="395"/>
      <c r="B41" s="353"/>
      <c r="C41" s="352"/>
      <c r="D41" s="450"/>
      <c r="E41" s="387" t="s">
        <v>138</v>
      </c>
      <c r="F41" s="388" t="str">
        <f>IFERROR(HLOOKUP(E41,$V$31:$AF$34,(VLOOKUP($F$10,$AA$38:$AB$40,2,FALSE)),FALSE),"")</f>
        <v/>
      </c>
      <c r="G41" s="1042" t="str">
        <f>IF(F41=0,"",(IFERROR(F41/$F$42,"")))</f>
        <v/>
      </c>
      <c r="H41" s="1042"/>
      <c r="I41" s="453"/>
      <c r="J41" s="465"/>
      <c r="K41" s="453"/>
      <c r="L41" s="453"/>
      <c r="M41" s="453"/>
      <c r="N41" s="453"/>
      <c r="O41" s="453"/>
      <c r="P41" s="464"/>
      <c r="U41" s="654" t="s">
        <v>254</v>
      </c>
      <c r="V41" s="367">
        <f>Z32</f>
        <v>240</v>
      </c>
      <c r="W41" s="367">
        <f>Z33</f>
        <v>0</v>
      </c>
      <c r="X41" s="367">
        <f ca="1">Z34</f>
        <v>0</v>
      </c>
    </row>
    <row r="42" spans="1:32" s="358" customFormat="1" ht="18" customHeight="1" thickTop="1" thickBot="1">
      <c r="A42" s="395"/>
      <c r="B42" s="353"/>
      <c r="C42" s="352"/>
      <c r="D42" s="450"/>
      <c r="E42" s="389"/>
      <c r="F42" s="390">
        <f>SUM(F31:F41)</f>
        <v>2585</v>
      </c>
      <c r="G42" s="1040"/>
      <c r="H42" s="1040"/>
      <c r="I42" s="453"/>
      <c r="J42" s="465"/>
      <c r="K42" s="453"/>
      <c r="L42" s="453"/>
      <c r="M42" s="453"/>
      <c r="N42" s="453"/>
      <c r="O42" s="453"/>
      <c r="P42" s="464"/>
      <c r="U42" s="654" t="s">
        <v>648</v>
      </c>
      <c r="V42" s="367">
        <f>AA32</f>
        <v>0</v>
      </c>
      <c r="W42" s="367">
        <f>AA33</f>
        <v>0</v>
      </c>
      <c r="X42" s="367">
        <f ca="1">AA34</f>
        <v>0</v>
      </c>
    </row>
    <row r="43" spans="1:32" s="358" customFormat="1" ht="18" customHeight="1" thickTop="1">
      <c r="A43" s="395"/>
      <c r="B43" s="353"/>
      <c r="C43" s="352"/>
      <c r="D43" s="450"/>
      <c r="E43" s="467"/>
      <c r="F43" s="468"/>
      <c r="G43" s="469"/>
      <c r="H43" s="469"/>
      <c r="I43" s="453"/>
      <c r="J43" s="465"/>
      <c r="K43" s="453"/>
      <c r="L43" s="453"/>
      <c r="M43" s="453"/>
      <c r="N43" s="453"/>
      <c r="O43" s="453"/>
      <c r="P43" s="464"/>
      <c r="U43" s="655"/>
      <c r="V43" s="407"/>
      <c r="W43" s="407"/>
      <c r="X43" s="407"/>
    </row>
    <row r="44" spans="1:32" s="358" customFormat="1" ht="18" customHeight="1" thickBot="1">
      <c r="A44" s="395"/>
      <c r="B44" s="353"/>
      <c r="C44" s="352"/>
      <c r="D44" s="450"/>
      <c r="E44" s="470" t="s">
        <v>649</v>
      </c>
      <c r="F44" s="468"/>
      <c r="G44" s="469"/>
      <c r="H44" s="469"/>
      <c r="I44" s="453"/>
      <c r="J44" s="465"/>
      <c r="K44" s="453"/>
      <c r="L44" s="453"/>
      <c r="M44" s="453"/>
      <c r="N44" s="453"/>
      <c r="O44" s="453"/>
      <c r="P44" s="464"/>
      <c r="U44" s="655"/>
      <c r="V44" s="407"/>
      <c r="W44" s="407"/>
      <c r="X44" s="407"/>
    </row>
    <row r="45" spans="1:32" s="358" customFormat="1" ht="18" customHeight="1">
      <c r="A45" s="395"/>
      <c r="B45" s="353"/>
      <c r="C45" s="352"/>
      <c r="D45" s="450"/>
      <c r="E45" s="1043" t="s">
        <v>650</v>
      </c>
      <c r="F45" s="1044"/>
      <c r="G45" s="1044"/>
      <c r="H45" s="1044"/>
      <c r="I45" s="1044"/>
      <c r="J45" s="1044"/>
      <c r="K45" s="1044"/>
      <c r="L45" s="1044"/>
      <c r="M45" s="1044"/>
      <c r="N45" s="1045"/>
      <c r="O45" s="430" t="s">
        <v>651</v>
      </c>
      <c r="P45" s="464"/>
      <c r="U45" s="655"/>
      <c r="V45" s="407"/>
      <c r="W45" s="407"/>
      <c r="X45" s="407"/>
    </row>
    <row r="46" spans="1:32" s="358" customFormat="1" ht="18" customHeight="1">
      <c r="A46" s="395"/>
      <c r="B46" s="353"/>
      <c r="C46" s="352"/>
      <c r="D46" s="450"/>
      <c r="E46" s="1046"/>
      <c r="F46" s="1047"/>
      <c r="G46" s="1047"/>
      <c r="H46" s="1047"/>
      <c r="I46" s="1047"/>
      <c r="J46" s="1047"/>
      <c r="K46" s="1047"/>
      <c r="L46" s="1047"/>
      <c r="M46" s="1047"/>
      <c r="N46" s="1048"/>
      <c r="O46" s="431" t="s">
        <v>652</v>
      </c>
      <c r="P46" s="464"/>
      <c r="U46" s="655"/>
      <c r="V46" s="407"/>
      <c r="W46" s="407"/>
      <c r="X46" s="407"/>
    </row>
    <row r="47" spans="1:32" s="358" customFormat="1" ht="12.75" customHeight="1">
      <c r="A47" s="395"/>
      <c r="B47" s="353"/>
      <c r="C47" s="352"/>
      <c r="D47" s="450"/>
      <c r="E47" s="1046"/>
      <c r="F47" s="1047"/>
      <c r="G47" s="1047"/>
      <c r="H47" s="1047"/>
      <c r="I47" s="1047"/>
      <c r="J47" s="1047"/>
      <c r="K47" s="1047"/>
      <c r="L47" s="1047"/>
      <c r="M47" s="1047"/>
      <c r="N47" s="1048"/>
      <c r="O47" s="432"/>
      <c r="P47" s="464"/>
      <c r="U47" s="655"/>
      <c r="V47" s="407"/>
      <c r="W47" s="407"/>
      <c r="X47" s="407"/>
    </row>
    <row r="48" spans="1:32" s="358" customFormat="1" ht="29.25" customHeight="1">
      <c r="A48" s="395"/>
      <c r="B48" s="353"/>
      <c r="C48" s="352"/>
      <c r="D48" s="450"/>
      <c r="E48" s="1046"/>
      <c r="F48" s="1047"/>
      <c r="G48" s="1047"/>
      <c r="H48" s="1047"/>
      <c r="I48" s="1047"/>
      <c r="J48" s="1047"/>
      <c r="K48" s="1047"/>
      <c r="L48" s="1047"/>
      <c r="M48" s="1047"/>
      <c r="N48" s="1048"/>
      <c r="O48" s="433" t="s">
        <v>653</v>
      </c>
      <c r="P48" s="464"/>
      <c r="U48" s="655"/>
      <c r="V48" s="407"/>
      <c r="W48" s="407"/>
      <c r="X48" s="407"/>
    </row>
    <row r="49" spans="1:33" s="358" customFormat="1" ht="29.25" customHeight="1">
      <c r="A49" s="395"/>
      <c r="B49" s="353"/>
      <c r="C49" s="352"/>
      <c r="D49" s="450"/>
      <c r="E49" s="1046"/>
      <c r="F49" s="1047"/>
      <c r="G49" s="1047"/>
      <c r="H49" s="1047"/>
      <c r="I49" s="1047"/>
      <c r="J49" s="1047"/>
      <c r="K49" s="1047"/>
      <c r="L49" s="1047"/>
      <c r="M49" s="1047"/>
      <c r="N49" s="1048"/>
      <c r="O49" s="433" t="s">
        <v>654</v>
      </c>
      <c r="P49" s="464"/>
      <c r="U49" s="655"/>
      <c r="V49" s="407"/>
      <c r="W49" s="407"/>
      <c r="X49" s="407"/>
    </row>
    <row r="50" spans="1:33" s="358" customFormat="1" ht="29.25" customHeight="1">
      <c r="A50" s="395"/>
      <c r="B50" s="353"/>
      <c r="C50" s="352"/>
      <c r="D50" s="450"/>
      <c r="E50" s="1046"/>
      <c r="F50" s="1047"/>
      <c r="G50" s="1047"/>
      <c r="H50" s="1047"/>
      <c r="I50" s="1047"/>
      <c r="J50" s="1047"/>
      <c r="K50" s="1047"/>
      <c r="L50" s="1047"/>
      <c r="M50" s="1047"/>
      <c r="N50" s="1048"/>
      <c r="O50" s="433" t="s">
        <v>655</v>
      </c>
      <c r="P50" s="464"/>
      <c r="U50" s="655"/>
      <c r="V50" s="407"/>
      <c r="W50" s="407"/>
      <c r="X50" s="407"/>
    </row>
    <row r="51" spans="1:33" s="358" customFormat="1" ht="29.25" customHeight="1">
      <c r="A51" s="395"/>
      <c r="B51" s="353"/>
      <c r="C51" s="352"/>
      <c r="D51" s="450"/>
      <c r="E51" s="1046"/>
      <c r="F51" s="1047"/>
      <c r="G51" s="1047"/>
      <c r="H51" s="1047"/>
      <c r="I51" s="1047"/>
      <c r="J51" s="1047"/>
      <c r="K51" s="1047"/>
      <c r="L51" s="1047"/>
      <c r="M51" s="1047"/>
      <c r="N51" s="1048"/>
      <c r="O51" s="433" t="s">
        <v>656</v>
      </c>
      <c r="P51" s="464"/>
      <c r="U51" s="655"/>
      <c r="V51" s="407"/>
      <c r="W51" s="407"/>
      <c r="X51" s="407"/>
    </row>
    <row r="52" spans="1:33" s="358" customFormat="1" ht="37.5" customHeight="1" thickBot="1">
      <c r="A52" s="395"/>
      <c r="B52" s="353"/>
      <c r="C52" s="352"/>
      <c r="D52" s="450"/>
      <c r="E52" s="1049"/>
      <c r="F52" s="1050"/>
      <c r="G52" s="1050"/>
      <c r="H52" s="1050"/>
      <c r="I52" s="1050"/>
      <c r="J52" s="1050"/>
      <c r="K52" s="1050"/>
      <c r="L52" s="1050"/>
      <c r="M52" s="1050"/>
      <c r="N52" s="1051"/>
      <c r="O52" s="434" t="s">
        <v>657</v>
      </c>
      <c r="P52" s="464"/>
      <c r="U52" s="655"/>
      <c r="V52" s="407"/>
      <c r="W52" s="407"/>
      <c r="X52" s="407"/>
    </row>
    <row r="53" spans="1:33" s="358" customFormat="1" ht="7.5" customHeight="1" thickBot="1">
      <c r="A53" s="396"/>
      <c r="B53" s="397"/>
      <c r="C53" s="398"/>
      <c r="D53" s="452"/>
      <c r="E53" s="472"/>
      <c r="F53" s="472"/>
      <c r="G53" s="472"/>
      <c r="H53" s="472"/>
      <c r="I53" s="472"/>
      <c r="J53" s="472"/>
      <c r="K53" s="472"/>
      <c r="L53" s="472"/>
      <c r="M53" s="472"/>
      <c r="N53" s="472"/>
      <c r="O53" s="472"/>
      <c r="P53" s="471"/>
      <c r="U53" s="654" t="s">
        <v>658</v>
      </c>
      <c r="V53" s="367">
        <f>AB32</f>
        <v>360</v>
      </c>
      <c r="W53" s="367">
        <f>AB33</f>
        <v>0</v>
      </c>
      <c r="X53" s="367">
        <f ca="1">AB34</f>
        <v>0</v>
      </c>
    </row>
    <row r="54" spans="1:33" s="358" customFormat="1" ht="13.5" customHeight="1">
      <c r="A54" s="352"/>
      <c r="B54" s="353"/>
      <c r="C54" s="352"/>
      <c r="U54" s="654" t="s">
        <v>659</v>
      </c>
      <c r="V54" s="367">
        <f>AC32</f>
        <v>464</v>
      </c>
      <c r="W54" s="367">
        <f>AC33</f>
        <v>0</v>
      </c>
      <c r="X54" s="367">
        <f ca="1">AC34</f>
        <v>0</v>
      </c>
    </row>
    <row r="55" spans="1:33" s="358" customFormat="1" ht="15" hidden="1" customHeight="1">
      <c r="A55" s="352"/>
      <c r="B55" s="354"/>
      <c r="C55" s="352"/>
      <c r="U55" s="654" t="s">
        <v>258</v>
      </c>
      <c r="V55" s="367">
        <f>AD32</f>
        <v>656</v>
      </c>
      <c r="W55" s="367">
        <f>AD33</f>
        <v>0</v>
      </c>
      <c r="X55" s="367">
        <f ca="1">AD34</f>
        <v>0</v>
      </c>
    </row>
    <row r="56" spans="1:33" s="358" customFormat="1" ht="15" hidden="1" customHeight="1">
      <c r="A56" s="352"/>
      <c r="B56" s="352"/>
      <c r="C56" s="352"/>
      <c r="U56" s="654" t="s">
        <v>259</v>
      </c>
      <c r="V56" s="367">
        <f>AE32</f>
        <v>656</v>
      </c>
      <c r="W56" s="367">
        <f>AE33</f>
        <v>0</v>
      </c>
      <c r="X56" s="367">
        <f ca="1">AE34</f>
        <v>0</v>
      </c>
    </row>
    <row r="57" spans="1:33" s="358" customFormat="1" ht="15.75" hidden="1" customHeight="1" thickBot="1">
      <c r="A57" s="352"/>
      <c r="B57" s="352"/>
      <c r="C57" s="352"/>
      <c r="U57" s="365" t="s">
        <v>260</v>
      </c>
      <c r="V57" s="367">
        <f>AF32</f>
        <v>0</v>
      </c>
      <c r="W57" s="367">
        <f>AF33</f>
        <v>0</v>
      </c>
      <c r="X57" s="367">
        <f ca="1">AF34</f>
        <v>0</v>
      </c>
    </row>
    <row r="58" spans="1:33" s="358" customFormat="1" ht="15.75" hidden="1" customHeight="1" thickTop="1">
      <c r="A58" s="352"/>
      <c r="B58" s="352"/>
      <c r="C58" s="352"/>
      <c r="E58" s="359"/>
    </row>
    <row r="59" spans="1:33" s="358" customFormat="1" ht="15" hidden="1" customHeight="1">
      <c r="A59" s="352"/>
      <c r="B59" s="352"/>
      <c r="C59" s="352"/>
    </row>
    <row r="60" spans="1:33" s="358" customFormat="1" ht="15" hidden="1" customHeight="1">
      <c r="A60" s="352"/>
      <c r="B60" s="352"/>
      <c r="C60" s="352"/>
    </row>
    <row r="61" spans="1:33" s="358" customFormat="1" ht="15.75" hidden="1" customHeight="1">
      <c r="A61" s="352"/>
      <c r="B61" s="352"/>
      <c r="C61" s="352"/>
      <c r="V61" s="653" t="str">
        <f>V31</f>
        <v>MD</v>
      </c>
      <c r="W61" s="653" t="str">
        <f t="shared" ref="W61:AF61" si="2">W31</f>
        <v>SD</v>
      </c>
      <c r="X61" s="653" t="str">
        <f t="shared" si="2"/>
        <v>DIR</v>
      </c>
      <c r="Y61" s="653" t="str">
        <f t="shared" si="2"/>
        <v>AD</v>
      </c>
      <c r="Z61" s="653" t="str">
        <f t="shared" si="2"/>
        <v>SR. MGR</v>
      </c>
      <c r="AA61" s="653" t="str">
        <f t="shared" si="2"/>
        <v>MGR</v>
      </c>
      <c r="AB61" s="653" t="str">
        <f t="shared" si="2"/>
        <v>DM</v>
      </c>
      <c r="AC61" s="653" t="str">
        <f t="shared" si="2"/>
        <v>SR. CONS.</v>
      </c>
      <c r="AD61" s="653" t="str">
        <f t="shared" si="2"/>
        <v>CON3</v>
      </c>
      <c r="AE61" s="653" t="str">
        <f t="shared" si="2"/>
        <v>CON2</v>
      </c>
      <c r="AF61" s="653" t="str">
        <f t="shared" si="2"/>
        <v>CON1</v>
      </c>
    </row>
    <row r="62" spans="1:33" s="358" customFormat="1" ht="15.75" hidden="1" customHeight="1">
      <c r="A62" s="352"/>
      <c r="B62" s="352"/>
      <c r="C62" s="352"/>
      <c r="T62" s="358" t="s">
        <v>145</v>
      </c>
      <c r="U62" s="654">
        <v>2</v>
      </c>
      <c r="V62" s="368">
        <f>PRFIIO!AY26</f>
        <v>0</v>
      </c>
      <c r="W62" s="368">
        <f>PRFIIO!AZ26</f>
        <v>0</v>
      </c>
      <c r="X62" s="368">
        <f>PRFIIO!BA26</f>
        <v>0</v>
      </c>
      <c r="Y62" s="368">
        <f>PRFIIO!BB26</f>
        <v>0</v>
      </c>
      <c r="Z62" s="368">
        <f>PRFIIO!BC26</f>
        <v>0</v>
      </c>
      <c r="AA62" s="368">
        <f>PRFIIO!BD26</f>
        <v>0</v>
      </c>
      <c r="AB62" s="368">
        <f>PRFIIO!BE26</f>
        <v>0</v>
      </c>
      <c r="AC62" s="368">
        <f>PRFIIO!BF26</f>
        <v>0</v>
      </c>
      <c r="AD62" s="368">
        <f>PRFIIO!BG26</f>
        <v>0</v>
      </c>
      <c r="AE62" s="368">
        <f>PRFIIO!BH26</f>
        <v>0</v>
      </c>
      <c r="AF62" s="368">
        <f>PRFIIO!BJ26</f>
        <v>0</v>
      </c>
      <c r="AG62" s="369"/>
    </row>
    <row r="63" spans="1:33" s="358" customFormat="1" ht="15" hidden="1" customHeight="1">
      <c r="A63" s="352"/>
      <c r="B63" s="352"/>
      <c r="C63" s="352"/>
      <c r="T63" s="358" t="s">
        <v>210</v>
      </c>
      <c r="U63" s="654">
        <v>3</v>
      </c>
      <c r="V63" s="368">
        <f>PRFEIO!AY24</f>
        <v>0</v>
      </c>
      <c r="W63" s="368">
        <f>PRFEIO!AZ24</f>
        <v>0</v>
      </c>
      <c r="X63" s="368">
        <f>PRFEIO!BA24</f>
        <v>0</v>
      </c>
      <c r="Y63" s="368">
        <f>PRFEIO!BB24</f>
        <v>0</v>
      </c>
      <c r="Z63" s="368">
        <f>PRFEIO!BC24</f>
        <v>0</v>
      </c>
      <c r="AA63" s="368">
        <f>PRFEIO!BD24</f>
        <v>0</v>
      </c>
      <c r="AB63" s="368">
        <f>PRFEIO!BE24</f>
        <v>0</v>
      </c>
      <c r="AC63" s="368">
        <f>PRFEIO!BF24</f>
        <v>0</v>
      </c>
      <c r="AD63" s="368">
        <f>PRFEIO!BG24</f>
        <v>0</v>
      </c>
      <c r="AE63" s="368">
        <f>PRFEIO!BH24</f>
        <v>0</v>
      </c>
      <c r="AF63" s="368">
        <f>PRFEIO!BJ24</f>
        <v>0</v>
      </c>
    </row>
    <row r="64" spans="1:33" s="358" customFormat="1" ht="15" hidden="1" customHeight="1">
      <c r="A64" s="352"/>
      <c r="B64" s="352"/>
      <c r="C64" s="352"/>
      <c r="T64" s="358" t="s">
        <v>290</v>
      </c>
      <c r="U64" s="654">
        <v>4</v>
      </c>
      <c r="V64" s="368">
        <f ca="1">SUMIF(PRTM!$H$8:$I$23,SA!V30,PRTM!$Y$8:$Y$23)</f>
        <v>0</v>
      </c>
      <c r="W64" s="368">
        <f ca="1">SUMIF(PRTM!$H$8:$I$23,SA!W30,PRTM!$Y$8:$Y$23)</f>
        <v>0</v>
      </c>
      <c r="X64" s="368">
        <f ca="1">SUMIF(PRTM!$H$8:$I$23,SA!X30,PRTM!$Y$8:$Y$23)</f>
        <v>0</v>
      </c>
      <c r="Y64" s="368">
        <f ca="1">SUMIF(PRTM!$H$8:$I$23,SA!Y30,PRTM!$Y$8:$Y$23)</f>
        <v>0</v>
      </c>
      <c r="Z64" s="368">
        <f ca="1">SUMIF(PRTM!$H$8:$I$23,SA!Z30,PRTM!$Y$8:$Y$23)</f>
        <v>0</v>
      </c>
      <c r="AA64" s="368">
        <f ca="1">SUMIF(PRTM!$H$8:$I$23,SA!AA30,PRTM!$Y$8:$Y$23)</f>
        <v>0</v>
      </c>
      <c r="AB64" s="368">
        <f ca="1">SUMIF(PRTM!$H$8:$I$23,SA!AB30,PRTM!$Y$8:$Y$23)</f>
        <v>0</v>
      </c>
      <c r="AC64" s="368">
        <f ca="1">SUMIF(PRTM!$H$8:$I$23,SA!AC30,PRTM!$Y$8:$Y$23)</f>
        <v>0</v>
      </c>
      <c r="AD64" s="368">
        <f ca="1">SUMIF(PRTM!$H$8:$I$23,SA!AD30,PRTM!$Y$8:$Y$23)</f>
        <v>0</v>
      </c>
      <c r="AE64" s="368">
        <f ca="1">SUMIF(PRTM!$H$8:$I$23,SA!AE30,PRTM!$Y$8:$Y$23)</f>
        <v>0</v>
      </c>
      <c r="AF64" s="368">
        <f ca="1">SUMIF(PRTM!$H$8:$I$23,SA!AF30,PRTM!$Y$8:$Y$23)</f>
        <v>0</v>
      </c>
    </row>
    <row r="65" spans="1:15" s="358" customFormat="1" ht="15" hidden="1" customHeight="1">
      <c r="A65" s="352"/>
      <c r="B65" s="352"/>
      <c r="C65" s="352"/>
    </row>
    <row r="66" spans="1:15" s="358" customFormat="1" ht="15" hidden="1" customHeight="1">
      <c r="A66" s="352"/>
      <c r="B66" s="352"/>
      <c r="C66" s="352"/>
    </row>
    <row r="67" spans="1:15" s="358" customFormat="1" ht="15" hidden="1" customHeight="1">
      <c r="A67" s="352"/>
      <c r="B67" s="352"/>
      <c r="C67" s="352"/>
    </row>
    <row r="68" spans="1:15" s="358" customFormat="1" ht="15" hidden="1" customHeight="1">
      <c r="A68" s="352"/>
      <c r="B68" s="352"/>
      <c r="C68" s="352"/>
    </row>
    <row r="69" spans="1:15" s="358" customFormat="1" ht="15" hidden="1" customHeight="1">
      <c r="A69" s="352"/>
      <c r="B69" s="352"/>
      <c r="C69" s="352"/>
    </row>
    <row r="70" spans="1:15" s="358" customFormat="1" ht="15" hidden="1" customHeight="1">
      <c r="A70" s="352"/>
      <c r="B70" s="352"/>
      <c r="C70" s="352"/>
    </row>
    <row r="71" spans="1:15" s="358" customFormat="1" ht="15" hidden="1" customHeight="1">
      <c r="A71" s="352"/>
      <c r="B71" s="352"/>
      <c r="C71" s="352"/>
    </row>
    <row r="72" spans="1:15" s="358" customFormat="1" ht="15" hidden="1" customHeight="1">
      <c r="A72" s="352"/>
      <c r="B72" s="352"/>
      <c r="C72" s="352"/>
    </row>
    <row r="73" spans="1:15" ht="15" hidden="1" customHeight="1">
      <c r="E73" s="358"/>
      <c r="F73" s="358"/>
      <c r="G73" s="358"/>
      <c r="H73" s="358"/>
      <c r="I73" s="358"/>
      <c r="J73" s="358"/>
      <c r="K73" s="358"/>
      <c r="L73" s="358"/>
      <c r="M73" s="358"/>
      <c r="N73" s="358"/>
      <c r="O73" s="358"/>
    </row>
    <row r="74" spans="1:15" ht="15" hidden="1" customHeight="1">
      <c r="E74" s="358"/>
      <c r="F74" s="358"/>
      <c r="G74" s="358"/>
      <c r="H74" s="358"/>
      <c r="I74" s="358"/>
      <c r="J74" s="358"/>
      <c r="K74" s="358"/>
      <c r="L74" s="358"/>
      <c r="M74" s="358"/>
      <c r="N74" s="358"/>
      <c r="O74" s="358"/>
    </row>
  </sheetData>
  <sheetProtection algorithmName="SHA-512" hashValue="9xJYLGAJb0x7pwLrd8Y9N736esHFnvSccq+0JM7jkcQ9SQc2QBpYGbTeYAcjcV4uSGE9IuHPj90Pm/SAiGnnUg==" saltValue="rCXI6gagk8xJN00sjgIm2w==" spinCount="100000" sheet="1" objects="1" scenarios="1"/>
  <mergeCells count="36">
    <mergeCell ref="F10:J10"/>
    <mergeCell ref="L10:N10"/>
    <mergeCell ref="D2:N2"/>
    <mergeCell ref="L4:N4"/>
    <mergeCell ref="F6:J6"/>
    <mergeCell ref="L6:N6"/>
    <mergeCell ref="F7:J7"/>
    <mergeCell ref="L7:N7"/>
    <mergeCell ref="L5:N5"/>
    <mergeCell ref="G4:H4"/>
    <mergeCell ref="I4:J4"/>
    <mergeCell ref="F8:J8"/>
    <mergeCell ref="F9:J9"/>
    <mergeCell ref="F5:H5"/>
    <mergeCell ref="L8:N8"/>
    <mergeCell ref="L9:N9"/>
    <mergeCell ref="E45:N52"/>
    <mergeCell ref="F11:J11"/>
    <mergeCell ref="L11:N11"/>
    <mergeCell ref="H14:K14"/>
    <mergeCell ref="H15:K15"/>
    <mergeCell ref="G30:H30"/>
    <mergeCell ref="E29:H29"/>
    <mergeCell ref="O12:O14"/>
    <mergeCell ref="G42:H42"/>
    <mergeCell ref="G36:H36"/>
    <mergeCell ref="G37:H37"/>
    <mergeCell ref="G38:H38"/>
    <mergeCell ref="G39:H39"/>
    <mergeCell ref="G40:H40"/>
    <mergeCell ref="G41:H41"/>
    <mergeCell ref="G35:H35"/>
    <mergeCell ref="G31:H31"/>
    <mergeCell ref="G32:H32"/>
    <mergeCell ref="G33:H33"/>
    <mergeCell ref="G34:H34"/>
  </mergeCells>
  <conditionalFormatting sqref="O12:O14">
    <cfRule type="expression" dxfId="0" priority="1">
      <formula>IF(O11= "Any other terms (please indicate)",1,0)</formula>
    </cfRule>
  </conditionalFormatting>
  <pageMargins left="0.45" right="0.2" top="0.5" bottom="0.5" header="0.3" footer="0.3"/>
  <pageSetup paperSize="9" scale="47" orientation="portrait" r:id="rId1"/>
  <rowBreaks count="1" manualBreakCount="1">
    <brk id="54" max="15" man="1"/>
  </rowBreaks>
  <drawing r:id="rId2"/>
  <legacyDrawing r:id="rId3"/>
  <controls>
    <mc:AlternateContent xmlns:mc="http://schemas.openxmlformats.org/markup-compatibility/2006">
      <mc:Choice Requires="x14">
        <control shapeId="33798" r:id="rId4" name="CheckBox5">
          <controlPr defaultSize="0" autoLine="0" autoPict="0" r:id="rId5">
            <anchor moveWithCells="1">
              <from>
                <xdr:col>14</xdr:col>
                <xdr:colOff>289560</xdr:colOff>
                <xdr:row>50</xdr:row>
                <xdr:rowOff>167640</xdr:rowOff>
              </from>
              <to>
                <xdr:col>14</xdr:col>
                <xdr:colOff>609600</xdr:colOff>
                <xdr:row>51</xdr:row>
                <xdr:rowOff>198120</xdr:rowOff>
              </to>
            </anchor>
          </controlPr>
        </control>
      </mc:Choice>
      <mc:Fallback>
        <control shapeId="33798" r:id="rId4" name="CheckBox5"/>
      </mc:Fallback>
    </mc:AlternateContent>
    <mc:AlternateContent xmlns:mc="http://schemas.openxmlformats.org/markup-compatibility/2006">
      <mc:Choice Requires="x14">
        <control shapeId="33797" r:id="rId6" name="CheckBox4">
          <controlPr defaultSize="0" autoLine="0" autoPict="0" r:id="rId5">
            <anchor moveWithCells="1">
              <from>
                <xdr:col>14</xdr:col>
                <xdr:colOff>297180</xdr:colOff>
                <xdr:row>49</xdr:row>
                <xdr:rowOff>152400</xdr:rowOff>
              </from>
              <to>
                <xdr:col>14</xdr:col>
                <xdr:colOff>609600</xdr:colOff>
                <xdr:row>50</xdr:row>
                <xdr:rowOff>182880</xdr:rowOff>
              </to>
            </anchor>
          </controlPr>
        </control>
      </mc:Choice>
      <mc:Fallback>
        <control shapeId="33797" r:id="rId6" name="CheckBox4"/>
      </mc:Fallback>
    </mc:AlternateContent>
    <mc:AlternateContent xmlns:mc="http://schemas.openxmlformats.org/markup-compatibility/2006">
      <mc:Choice Requires="x14">
        <control shapeId="33796" r:id="rId7" name="CheckBox3">
          <controlPr defaultSize="0" autoLine="0" autoPict="0" r:id="rId8">
            <anchor moveWithCells="1">
              <from>
                <xdr:col>14</xdr:col>
                <xdr:colOff>281940</xdr:colOff>
                <xdr:row>48</xdr:row>
                <xdr:rowOff>152400</xdr:rowOff>
              </from>
              <to>
                <xdr:col>14</xdr:col>
                <xdr:colOff>601980</xdr:colOff>
                <xdr:row>49</xdr:row>
                <xdr:rowOff>182880</xdr:rowOff>
              </to>
            </anchor>
          </controlPr>
        </control>
      </mc:Choice>
      <mc:Fallback>
        <control shapeId="33796" r:id="rId7" name="CheckBox3"/>
      </mc:Fallback>
    </mc:AlternateContent>
    <mc:AlternateContent xmlns:mc="http://schemas.openxmlformats.org/markup-compatibility/2006">
      <mc:Choice Requires="x14">
        <control shapeId="33795" r:id="rId9" name="CheckBox2">
          <controlPr defaultSize="0" autoLine="0" autoPict="0" r:id="rId10">
            <anchor moveWithCells="1">
              <from>
                <xdr:col>14</xdr:col>
                <xdr:colOff>281940</xdr:colOff>
                <xdr:row>47</xdr:row>
                <xdr:rowOff>121920</xdr:rowOff>
              </from>
              <to>
                <xdr:col>14</xdr:col>
                <xdr:colOff>601980</xdr:colOff>
                <xdr:row>48</xdr:row>
                <xdr:rowOff>152400</xdr:rowOff>
              </to>
            </anchor>
          </controlPr>
        </control>
      </mc:Choice>
      <mc:Fallback>
        <control shapeId="33795" r:id="rId9" name="CheckBox2"/>
      </mc:Fallback>
    </mc:AlternateContent>
    <mc:AlternateContent xmlns:mc="http://schemas.openxmlformats.org/markup-compatibility/2006">
      <mc:Choice Requires="x14">
        <control shapeId="33793" r:id="rId11" name="CheckBox1">
          <controlPr defaultSize="0" autoLine="0" autoPict="0" r:id="rId12">
            <anchor moveWithCells="1">
              <from>
                <xdr:col>14</xdr:col>
                <xdr:colOff>281940</xdr:colOff>
                <xdr:row>45</xdr:row>
                <xdr:rowOff>160020</xdr:rowOff>
              </from>
              <to>
                <xdr:col>14</xdr:col>
                <xdr:colOff>609600</xdr:colOff>
                <xdr:row>47</xdr:row>
                <xdr:rowOff>167640</xdr:rowOff>
              </to>
            </anchor>
          </controlPr>
        </control>
      </mc:Choice>
      <mc:Fallback>
        <control shapeId="33793" r:id="rId11" name="CheckBox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2:R455"/>
  <sheetViews>
    <sheetView showGridLines="0" topLeftCell="B2" zoomScale="80" zoomScaleNormal="80" workbookViewId="0">
      <pane ySplit="3" topLeftCell="A105" activePane="bottomLeft" state="frozen"/>
      <selection activeCell="B230" sqref="B230:C231"/>
      <selection pane="bottomLeft" activeCell="D4" sqref="D4:J136"/>
    </sheetView>
  </sheetViews>
  <sheetFormatPr defaultColWidth="9.109375" defaultRowHeight="14.4" outlineLevelRow="1"/>
  <cols>
    <col min="1" max="1" width="2.6640625" style="223" customWidth="1"/>
    <col min="2" max="2" width="0.33203125" style="223" customWidth="1"/>
    <col min="3" max="3" width="11" style="224" customWidth="1"/>
    <col min="4" max="4" width="17" style="225" customWidth="1"/>
    <col min="5" max="5" width="38.5546875" style="225" bestFit="1" customWidth="1"/>
    <col min="6" max="6" width="24.6640625" style="225" bestFit="1" customWidth="1"/>
    <col min="7" max="7" width="17" style="225" customWidth="1"/>
    <col min="8" max="8" width="27.6640625" style="226" customWidth="1"/>
    <col min="9" max="9" width="12.44140625" style="227" customWidth="1"/>
    <col min="10" max="10" width="23.6640625" style="227" bestFit="1" customWidth="1"/>
    <col min="11" max="11" width="30.5546875" style="223" bestFit="1" customWidth="1"/>
    <col min="12" max="12" width="13.109375" style="223" bestFit="1" customWidth="1"/>
    <col min="13" max="14" width="12.6640625" style="223" bestFit="1" customWidth="1"/>
    <col min="15" max="15" width="13.109375" style="223" bestFit="1" customWidth="1"/>
    <col min="16" max="17" width="12.6640625" style="223" bestFit="1" customWidth="1"/>
    <col min="18" max="16384" width="9.109375" style="223"/>
  </cols>
  <sheetData>
    <row r="2" spans="2:18" ht="15" thickBot="1"/>
    <row r="3" spans="2:18" ht="15" thickBot="1">
      <c r="B3" s="1067" t="s">
        <v>660</v>
      </c>
      <c r="C3" s="1068"/>
      <c r="D3" s="1068"/>
      <c r="E3" s="1068"/>
      <c r="F3" s="1068"/>
      <c r="G3" s="1068"/>
      <c r="H3" s="1068"/>
      <c r="I3" s="1068"/>
      <c r="J3" s="1068"/>
      <c r="N3" s="223" t="s">
        <v>661</v>
      </c>
    </row>
    <row r="4" spans="2:18" s="225" customFormat="1" ht="42" customHeight="1" thickBot="1">
      <c r="B4" s="228"/>
      <c r="C4" s="229" t="s">
        <v>2</v>
      </c>
      <c r="D4" s="229" t="s">
        <v>5</v>
      </c>
      <c r="E4" s="229" t="s">
        <v>662</v>
      </c>
      <c r="F4" s="229" t="s">
        <v>663</v>
      </c>
      <c r="G4" s="229" t="s">
        <v>664</v>
      </c>
      <c r="H4" s="230" t="s">
        <v>664</v>
      </c>
      <c r="I4" s="231" t="s">
        <v>665</v>
      </c>
      <c r="J4" s="231" t="s">
        <v>666</v>
      </c>
      <c r="N4" s="231" t="s">
        <v>667</v>
      </c>
      <c r="O4" s="231" t="s">
        <v>668</v>
      </c>
    </row>
    <row r="5" spans="2:18" ht="20.25" customHeight="1">
      <c r="B5" s="232"/>
      <c r="C5" s="519" t="s">
        <v>147</v>
      </c>
      <c r="D5" s="233" t="s">
        <v>514</v>
      </c>
      <c r="E5" s="233" t="str">
        <f t="shared" ref="E5:E98" si="0">C5&amp;" - "&amp;D5&amp;H5</f>
        <v>India - IAFAManaging Director</v>
      </c>
      <c r="F5" s="233" t="str">
        <f t="shared" ref="F5:F98" si="1">C5&amp;" - "&amp;D5&amp;G5</f>
        <v>India - IAFAMD</v>
      </c>
      <c r="G5" s="233" t="s">
        <v>127</v>
      </c>
      <c r="H5" s="520" t="s">
        <v>478</v>
      </c>
      <c r="I5" s="656">
        <v>310.55900621118013</v>
      </c>
      <c r="J5" s="235">
        <v>173.91304347826087</v>
      </c>
      <c r="K5" s="409" t="str">
        <f>D5&amp;H5</f>
        <v>IAFAManaging Director</v>
      </c>
      <c r="L5" s="611">
        <v>320.5128205128205</v>
      </c>
      <c r="M5" s="611">
        <v>179.48717948717947</v>
      </c>
      <c r="N5" s="611">
        <v>310.55900621118013</v>
      </c>
      <c r="O5" s="611">
        <v>173.91304347826087</v>
      </c>
    </row>
    <row r="6" spans="2:18" ht="20.25" customHeight="1">
      <c r="B6" s="232"/>
      <c r="C6" s="519" t="s">
        <v>147</v>
      </c>
      <c r="D6" s="233" t="s">
        <v>514</v>
      </c>
      <c r="E6" s="233" t="str">
        <f t="shared" ref="E6" si="2">C6&amp;" - "&amp;D6&amp;H6</f>
        <v>India - IAFASenior Director</v>
      </c>
      <c r="F6" s="233" t="str">
        <f t="shared" ref="F6" si="3">C6&amp;" - "&amp;D6&amp;G6</f>
        <v>India - IAFASD</v>
      </c>
      <c r="G6" s="233" t="s">
        <v>128</v>
      </c>
      <c r="H6" s="520" t="s">
        <v>480</v>
      </c>
      <c r="I6" s="656">
        <v>259.30434782608694</v>
      </c>
      <c r="J6" s="235">
        <v>124.22360248447205</v>
      </c>
      <c r="K6" s="409" t="str">
        <f>D6&amp;H6</f>
        <v>IAFASenior Director</v>
      </c>
      <c r="L6" s="611">
        <v>267.61538461538464</v>
      </c>
      <c r="M6" s="611">
        <v>128.2051282051282</v>
      </c>
      <c r="N6" s="611">
        <v>259.30434782608694</v>
      </c>
      <c r="O6" s="611">
        <v>124.22360248447205</v>
      </c>
    </row>
    <row r="7" spans="2:18" ht="20.25" customHeight="1">
      <c r="B7" s="232"/>
      <c r="C7" s="519" t="s">
        <v>147</v>
      </c>
      <c r="D7" s="233" t="s">
        <v>514</v>
      </c>
      <c r="E7" s="233" t="str">
        <f t="shared" si="0"/>
        <v>India - IAFADirector</v>
      </c>
      <c r="F7" s="233" t="str">
        <f t="shared" si="1"/>
        <v>India - IAFADIR</v>
      </c>
      <c r="G7" s="233" t="s">
        <v>129</v>
      </c>
      <c r="H7" s="657" t="s">
        <v>482</v>
      </c>
      <c r="I7" s="656">
        <v>229.31677018633539</v>
      </c>
      <c r="J7" s="656">
        <v>74.534161490683232</v>
      </c>
      <c r="K7" s="409" t="str">
        <f t="shared" ref="K7:K99" si="4">D7&amp;H7</f>
        <v>IAFADirector</v>
      </c>
      <c r="L7" s="611">
        <v>236.66666666666666</v>
      </c>
      <c r="M7" s="611">
        <v>76.92307692307692</v>
      </c>
      <c r="N7" s="611">
        <v>229.31677018633539</v>
      </c>
      <c r="O7" s="611">
        <v>74.534161490683232</v>
      </c>
    </row>
    <row r="8" spans="2:18" ht="20.25" customHeight="1">
      <c r="B8" s="232"/>
      <c r="C8" s="519" t="s">
        <v>147</v>
      </c>
      <c r="D8" s="233" t="s">
        <v>514</v>
      </c>
      <c r="E8" s="233" t="str">
        <f t="shared" si="0"/>
        <v>India - IAFAAssociate Director</v>
      </c>
      <c r="F8" s="233" t="str">
        <f t="shared" si="1"/>
        <v>India - IAFAAD</v>
      </c>
      <c r="G8" s="233" t="s">
        <v>130</v>
      </c>
      <c r="H8" s="657" t="s">
        <v>484</v>
      </c>
      <c r="I8" s="656">
        <v>181.7391304347826</v>
      </c>
      <c r="J8" s="656">
        <v>57.142857142857146</v>
      </c>
      <c r="K8" s="409" t="str">
        <f t="shared" si="4"/>
        <v>IAFAAssociate Director</v>
      </c>
      <c r="L8" s="611">
        <v>187.56410256410257</v>
      </c>
      <c r="M8" s="611">
        <v>58.974358974358971</v>
      </c>
      <c r="N8" s="611">
        <v>181.7391304347826</v>
      </c>
      <c r="O8" s="611">
        <v>57.142857142857146</v>
      </c>
    </row>
    <row r="9" spans="2:18" ht="20.25" customHeight="1">
      <c r="B9" s="232"/>
      <c r="C9" s="519" t="s">
        <v>147</v>
      </c>
      <c r="D9" s="233" t="s">
        <v>514</v>
      </c>
      <c r="E9" s="233" t="str">
        <f t="shared" si="0"/>
        <v>India - IAFASenior Manager</v>
      </c>
      <c r="F9" s="233" t="str">
        <f t="shared" si="1"/>
        <v>India - IAFASR. MGR</v>
      </c>
      <c r="G9" s="233" t="s">
        <v>131</v>
      </c>
      <c r="H9" s="657" t="s">
        <v>486</v>
      </c>
      <c r="I9" s="656">
        <v>154.40993788819875</v>
      </c>
      <c r="J9" s="656">
        <v>36.645962732919251</v>
      </c>
      <c r="K9" s="409" t="str">
        <f t="shared" si="4"/>
        <v>IAFASenior Manager</v>
      </c>
      <c r="L9" s="611">
        <v>159.35897435897436</v>
      </c>
      <c r="M9" s="611">
        <v>37.820512820512818</v>
      </c>
      <c r="N9" s="611">
        <v>154.40993788819875</v>
      </c>
      <c r="O9" s="611">
        <v>36.645962732919251</v>
      </c>
    </row>
    <row r="10" spans="2:18" ht="20.25" customHeight="1">
      <c r="B10" s="232"/>
      <c r="C10" s="519" t="s">
        <v>147</v>
      </c>
      <c r="D10" s="233" t="s">
        <v>514</v>
      </c>
      <c r="E10" s="233" t="str">
        <f t="shared" si="0"/>
        <v>India - IAFAManager</v>
      </c>
      <c r="F10" s="233" t="str">
        <f t="shared" si="1"/>
        <v>India - IAFAMGR</v>
      </c>
      <c r="G10" s="233" t="s">
        <v>132</v>
      </c>
      <c r="H10" s="657" t="s">
        <v>488</v>
      </c>
      <c r="I10" s="656">
        <v>104.09937888198758</v>
      </c>
      <c r="J10" s="656">
        <v>26.086956521739129</v>
      </c>
      <c r="K10" s="409" t="str">
        <f t="shared" si="4"/>
        <v>IAFAManager</v>
      </c>
      <c r="L10" s="611">
        <v>107.43589743589743</v>
      </c>
      <c r="M10" s="611">
        <v>26.923076923076923</v>
      </c>
      <c r="N10" s="611">
        <v>104.09937888198758</v>
      </c>
      <c r="O10" s="611">
        <v>26.086956521739129</v>
      </c>
    </row>
    <row r="11" spans="2:18" ht="20.25" customHeight="1">
      <c r="B11" s="232"/>
      <c r="C11" s="519" t="s">
        <v>147</v>
      </c>
      <c r="D11" s="233" t="s">
        <v>514</v>
      </c>
      <c r="E11" s="233" t="str">
        <f t="shared" si="0"/>
        <v>India - IAFADeputy Manager</v>
      </c>
      <c r="F11" s="233" t="str">
        <f t="shared" si="1"/>
        <v>India - IAFADM</v>
      </c>
      <c r="G11" s="233" t="s">
        <v>133</v>
      </c>
      <c r="H11" s="657" t="s">
        <v>490</v>
      </c>
      <c r="I11" s="656">
        <v>77.639751552795033</v>
      </c>
      <c r="J11" s="656">
        <v>16.770186335403725</v>
      </c>
      <c r="K11" s="409" t="str">
        <f t="shared" si="4"/>
        <v>IAFADeputy Manager</v>
      </c>
      <c r="L11" s="611">
        <v>80.128205128205124</v>
      </c>
      <c r="M11" s="611">
        <v>17.307692307692307</v>
      </c>
      <c r="N11" s="611">
        <v>77.639751552795033</v>
      </c>
      <c r="O11" s="611">
        <v>16.770186335403725</v>
      </c>
    </row>
    <row r="12" spans="2:18" ht="20.25" customHeight="1">
      <c r="B12" s="232"/>
      <c r="C12" s="519" t="s">
        <v>147</v>
      </c>
      <c r="D12" s="233" t="s">
        <v>514</v>
      </c>
      <c r="E12" s="233" t="str">
        <f t="shared" si="0"/>
        <v>India - IAFASenior Consultant</v>
      </c>
      <c r="F12" s="233" t="str">
        <f t="shared" si="1"/>
        <v>India - IAFASR. CONS.</v>
      </c>
      <c r="G12" s="233" t="s">
        <v>134</v>
      </c>
      <c r="H12" s="657" t="s">
        <v>492</v>
      </c>
      <c r="I12" s="656">
        <v>52.049689440993788</v>
      </c>
      <c r="J12" s="656">
        <v>11.925465838509316</v>
      </c>
      <c r="K12" s="409" t="str">
        <f t="shared" si="4"/>
        <v>IAFASenior Consultant</v>
      </c>
      <c r="L12" s="611">
        <v>53.717948717948715</v>
      </c>
      <c r="M12" s="611">
        <v>12.307692307692308</v>
      </c>
      <c r="N12" s="611">
        <v>52.049689440993788</v>
      </c>
      <c r="O12" s="611">
        <v>11.925465838509316</v>
      </c>
      <c r="P12" s="237"/>
      <c r="Q12" s="237"/>
    </row>
    <row r="13" spans="2:18" ht="20.25" customHeight="1">
      <c r="B13" s="232"/>
      <c r="C13" s="519" t="s">
        <v>147</v>
      </c>
      <c r="D13" s="233" t="s">
        <v>514</v>
      </c>
      <c r="E13" s="233" t="str">
        <f t="shared" si="0"/>
        <v>India - IAFAConsultant 3</v>
      </c>
      <c r="F13" s="233" t="str">
        <f t="shared" si="1"/>
        <v>India - IAFACon3</v>
      </c>
      <c r="G13" s="233" t="s">
        <v>669</v>
      </c>
      <c r="H13" s="657" t="s">
        <v>494</v>
      </c>
      <c r="I13" s="656">
        <v>40.621118012422357</v>
      </c>
      <c r="J13" s="656">
        <v>8.9440993788819867</v>
      </c>
      <c r="K13" s="409" t="str">
        <f t="shared" si="4"/>
        <v>IAFAConsultant 3</v>
      </c>
      <c r="L13" s="611">
        <v>41.92307692307692</v>
      </c>
      <c r="M13" s="611">
        <v>9.2307692307692299</v>
      </c>
      <c r="N13" s="611">
        <v>40.621118012422357</v>
      </c>
      <c r="O13" s="611">
        <v>8.9440993788819867</v>
      </c>
      <c r="P13" s="238"/>
      <c r="Q13" s="238"/>
      <c r="R13" s="236"/>
    </row>
    <row r="14" spans="2:18" ht="20.25" customHeight="1">
      <c r="B14" s="232"/>
      <c r="C14" s="519" t="s">
        <v>147</v>
      </c>
      <c r="D14" s="233" t="s">
        <v>514</v>
      </c>
      <c r="E14" s="233" t="str">
        <f t="shared" si="0"/>
        <v>India - IAFAConsultant 2</v>
      </c>
      <c r="F14" s="233" t="str">
        <f t="shared" si="1"/>
        <v>India - IAFACon2</v>
      </c>
      <c r="G14" s="233" t="s">
        <v>670</v>
      </c>
      <c r="H14" s="657" t="s">
        <v>496</v>
      </c>
      <c r="I14" s="656">
        <v>38.757763975155278</v>
      </c>
      <c r="J14" s="656">
        <v>6.2111801242236027</v>
      </c>
      <c r="K14" s="409" t="str">
        <f t="shared" si="4"/>
        <v>IAFAConsultant 2</v>
      </c>
      <c r="L14" s="611">
        <v>40</v>
      </c>
      <c r="M14" s="611">
        <v>6.4102564102564106</v>
      </c>
      <c r="N14" s="611">
        <v>38.757763975155278</v>
      </c>
      <c r="O14" s="611">
        <v>6.2111801242236027</v>
      </c>
      <c r="P14" s="238"/>
      <c r="Q14" s="238"/>
    </row>
    <row r="15" spans="2:18" ht="20.25" customHeight="1">
      <c r="B15" s="232"/>
      <c r="C15" s="519" t="s">
        <v>147</v>
      </c>
      <c r="D15" s="233" t="s">
        <v>514</v>
      </c>
      <c r="E15" s="233" t="str">
        <f t="shared" si="0"/>
        <v>India - IAFAConsultant 1</v>
      </c>
      <c r="F15" s="233" t="str">
        <f t="shared" si="1"/>
        <v>India - IAFACon1</v>
      </c>
      <c r="G15" s="233" t="s">
        <v>671</v>
      </c>
      <c r="H15" s="657" t="s">
        <v>498</v>
      </c>
      <c r="I15" s="656">
        <v>33.54037267080745</v>
      </c>
      <c r="J15" s="656">
        <v>4.3478260869565215</v>
      </c>
      <c r="K15" s="409" t="str">
        <f t="shared" si="4"/>
        <v>IAFAConsultant 1</v>
      </c>
      <c r="L15" s="611">
        <v>34.615384615384613</v>
      </c>
      <c r="M15" s="611">
        <v>4.4871794871794872</v>
      </c>
      <c r="N15" s="611">
        <v>33.54037267080745</v>
      </c>
      <c r="O15" s="611">
        <v>4.3478260869565215</v>
      </c>
      <c r="P15" s="238"/>
      <c r="Q15" s="238"/>
    </row>
    <row r="16" spans="2:18" ht="20.25" customHeight="1">
      <c r="B16" s="232"/>
      <c r="C16" s="519" t="s">
        <v>147</v>
      </c>
      <c r="D16" s="233" t="s">
        <v>514</v>
      </c>
      <c r="E16" s="233" t="str">
        <f t="shared" si="0"/>
        <v>India - IAFAAnalyst</v>
      </c>
      <c r="F16" s="233" t="str">
        <f t="shared" si="1"/>
        <v>India - IAFAANLST.</v>
      </c>
      <c r="G16" s="233" t="s">
        <v>138</v>
      </c>
      <c r="H16" s="657" t="s">
        <v>259</v>
      </c>
      <c r="I16" s="656">
        <v>20.248447204968944</v>
      </c>
      <c r="J16" s="656">
        <v>3.1055900621118013</v>
      </c>
      <c r="K16" s="409" t="str">
        <f t="shared" si="4"/>
        <v>IAFAAnalyst</v>
      </c>
      <c r="L16" s="611">
        <v>20.897435897435898</v>
      </c>
      <c r="M16" s="611">
        <v>3.2051282051282053</v>
      </c>
      <c r="N16" s="611">
        <v>20.248447204968944</v>
      </c>
      <c r="O16" s="611">
        <v>3.1055900621118013</v>
      </c>
      <c r="P16" s="238"/>
      <c r="Q16" s="238"/>
    </row>
    <row r="17" spans="2:17" ht="20.25" customHeight="1">
      <c r="B17" s="232"/>
      <c r="C17" s="519" t="s">
        <v>147</v>
      </c>
      <c r="D17" s="233" t="s">
        <v>506</v>
      </c>
      <c r="E17" s="233" t="str">
        <f t="shared" si="0"/>
        <v>India - BPIManaging Director</v>
      </c>
      <c r="F17" s="233" t="str">
        <f t="shared" si="1"/>
        <v>India - BPIMD</v>
      </c>
      <c r="G17" s="233" t="s">
        <v>127</v>
      </c>
      <c r="H17" s="520" t="s">
        <v>478</v>
      </c>
      <c r="I17" s="656">
        <v>373.04347826086956</v>
      </c>
      <c r="J17" s="235">
        <v>268.3229813664596</v>
      </c>
      <c r="K17" s="409" t="str">
        <f t="shared" si="4"/>
        <v>BPIManaging Director</v>
      </c>
      <c r="L17" s="611">
        <v>385</v>
      </c>
      <c r="M17" s="611">
        <v>276.92307692307691</v>
      </c>
      <c r="N17" s="611">
        <v>373.04347826086956</v>
      </c>
      <c r="O17" s="611">
        <v>268.3229813664596</v>
      </c>
      <c r="P17" s="238"/>
      <c r="Q17" s="238"/>
    </row>
    <row r="18" spans="2:17" ht="20.25" customHeight="1">
      <c r="B18" s="232"/>
      <c r="C18" s="519" t="s">
        <v>147</v>
      </c>
      <c r="D18" s="233" t="s">
        <v>506</v>
      </c>
      <c r="E18" s="233" t="str">
        <f t="shared" ref="E18" si="5">C18&amp;" - "&amp;D18&amp;H18</f>
        <v>India - BPISenior Director</v>
      </c>
      <c r="F18" s="233" t="str">
        <f t="shared" ref="F18" si="6">C18&amp;" - "&amp;D18&amp;G18</f>
        <v>India - BPISD</v>
      </c>
      <c r="G18" s="233" t="s">
        <v>128</v>
      </c>
      <c r="H18" s="520" t="s">
        <v>480</v>
      </c>
      <c r="I18" s="656">
        <v>310.55900621118013</v>
      </c>
      <c r="J18" s="235">
        <v>186.33540372670808</v>
      </c>
      <c r="K18" s="409" t="str">
        <f t="shared" ref="K18" si="7">D18&amp;H18</f>
        <v>BPISenior Director</v>
      </c>
      <c r="L18" s="611">
        <v>321.32051282051282</v>
      </c>
      <c r="M18" s="611">
        <v>230.76923076923077</v>
      </c>
      <c r="N18" s="611">
        <v>310.55900621118013</v>
      </c>
      <c r="O18" s="611">
        <v>186.33540372670808</v>
      </c>
      <c r="P18" s="238"/>
      <c r="Q18" s="238"/>
    </row>
    <row r="19" spans="2:17" ht="20.25" customHeight="1">
      <c r="B19" s="232"/>
      <c r="C19" s="519" t="s">
        <v>147</v>
      </c>
      <c r="D19" s="233" t="s">
        <v>506</v>
      </c>
      <c r="E19" s="233" t="str">
        <f t="shared" si="0"/>
        <v>India - BPIDirector</v>
      </c>
      <c r="F19" s="233" t="str">
        <f t="shared" si="1"/>
        <v>India - BPIDIR</v>
      </c>
      <c r="G19" s="233" t="s">
        <v>129</v>
      </c>
      <c r="H19" s="657" t="s">
        <v>482</v>
      </c>
      <c r="I19" s="656">
        <v>274.28571428571428</v>
      </c>
      <c r="J19" s="656">
        <v>119.25465838509317</v>
      </c>
      <c r="K19" s="409" t="str">
        <f t="shared" si="4"/>
        <v>BPIDirector</v>
      </c>
      <c r="L19" s="611">
        <v>283.07692307692309</v>
      </c>
      <c r="M19" s="611">
        <v>123.07692307692308</v>
      </c>
      <c r="N19" s="611">
        <v>274.28571428571428</v>
      </c>
      <c r="O19" s="611">
        <v>119.25465838509317</v>
      </c>
      <c r="P19" s="238"/>
      <c r="Q19" s="238"/>
    </row>
    <row r="20" spans="2:17" ht="20.25" customHeight="1">
      <c r="B20" s="232"/>
      <c r="C20" s="519" t="s">
        <v>147</v>
      </c>
      <c r="D20" s="233" t="s">
        <v>506</v>
      </c>
      <c r="E20" s="233" t="str">
        <f t="shared" si="0"/>
        <v>India - BPIAssociate Director</v>
      </c>
      <c r="F20" s="233" t="str">
        <f t="shared" si="1"/>
        <v>India - BPIAD</v>
      </c>
      <c r="G20" s="233" t="s">
        <v>130</v>
      </c>
      <c r="H20" s="657" t="s">
        <v>484</v>
      </c>
      <c r="I20" s="656">
        <v>217.88819875776397</v>
      </c>
      <c r="J20" s="656">
        <v>68.571428571428569</v>
      </c>
      <c r="K20" s="409" t="str">
        <f t="shared" si="4"/>
        <v>BPIAssociate Director</v>
      </c>
      <c r="L20" s="611">
        <v>224.87179487179486</v>
      </c>
      <c r="M20" s="611">
        <v>70.769230769230774</v>
      </c>
      <c r="N20" s="611">
        <v>217.88819875776397</v>
      </c>
      <c r="O20" s="611">
        <v>68.571428571428569</v>
      </c>
      <c r="P20" s="238"/>
      <c r="Q20" s="238"/>
    </row>
    <row r="21" spans="2:17" ht="20.25" customHeight="1">
      <c r="B21" s="232"/>
      <c r="C21" s="519" t="s">
        <v>147</v>
      </c>
      <c r="D21" s="233" t="s">
        <v>506</v>
      </c>
      <c r="E21" s="233" t="str">
        <f t="shared" si="0"/>
        <v>India - BPISenior Manager</v>
      </c>
      <c r="F21" s="233" t="str">
        <f t="shared" si="1"/>
        <v>India - BPISR. MGR</v>
      </c>
      <c r="G21" s="233" t="s">
        <v>131</v>
      </c>
      <c r="H21" s="657" t="s">
        <v>486</v>
      </c>
      <c r="I21" s="656">
        <v>185.21739130434781</v>
      </c>
      <c r="J21" s="656">
        <v>46.211180124223603</v>
      </c>
      <c r="K21" s="409" t="str">
        <f t="shared" si="4"/>
        <v>BPISenior Manager</v>
      </c>
      <c r="L21" s="611">
        <v>191.15384615384616</v>
      </c>
      <c r="M21" s="611">
        <v>47.692307692307693</v>
      </c>
      <c r="N21" s="611">
        <v>185.21739130434781</v>
      </c>
      <c r="O21" s="611">
        <v>46.211180124223603</v>
      </c>
      <c r="P21" s="238"/>
      <c r="Q21" s="238"/>
    </row>
    <row r="22" spans="2:17" ht="20.25" customHeight="1">
      <c r="B22" s="232"/>
      <c r="C22" s="519" t="s">
        <v>147</v>
      </c>
      <c r="D22" s="233" t="s">
        <v>506</v>
      </c>
      <c r="E22" s="233" t="str">
        <f t="shared" si="0"/>
        <v>India - BPIManager</v>
      </c>
      <c r="F22" s="233" t="str">
        <f t="shared" si="1"/>
        <v>India - BPIMGR</v>
      </c>
      <c r="G22" s="233" t="s">
        <v>132</v>
      </c>
      <c r="H22" s="657" t="s">
        <v>488</v>
      </c>
      <c r="I22" s="656">
        <v>125.21739130434783</v>
      </c>
      <c r="J22" s="656">
        <v>31.304347826086957</v>
      </c>
      <c r="K22" s="409" t="str">
        <f t="shared" si="4"/>
        <v>BPIManager</v>
      </c>
      <c r="L22" s="611">
        <v>129.23076923076923</v>
      </c>
      <c r="M22" s="611">
        <v>32.307692307692307</v>
      </c>
      <c r="N22" s="611">
        <v>125.21739130434783</v>
      </c>
      <c r="O22" s="611">
        <v>31.304347826086957</v>
      </c>
      <c r="P22" s="238"/>
      <c r="Q22" s="238"/>
    </row>
    <row r="23" spans="2:17" ht="20.25" customHeight="1">
      <c r="B23" s="232"/>
      <c r="C23" s="519" t="s">
        <v>147</v>
      </c>
      <c r="D23" s="233" t="s">
        <v>506</v>
      </c>
      <c r="E23" s="233" t="str">
        <f t="shared" si="0"/>
        <v>India - BPIDeputy Manager</v>
      </c>
      <c r="F23" s="233" t="str">
        <f t="shared" si="1"/>
        <v>India - BPIDM</v>
      </c>
      <c r="G23" s="233" t="s">
        <v>133</v>
      </c>
      <c r="H23" s="657" t="s">
        <v>490</v>
      </c>
      <c r="I23" s="656">
        <v>93.540372670807457</v>
      </c>
      <c r="J23" s="656">
        <v>20.124223602484474</v>
      </c>
      <c r="K23" s="409" t="str">
        <f t="shared" si="4"/>
        <v>BPIDeputy Manager</v>
      </c>
      <c r="L23" s="611">
        <v>96.538461538461533</v>
      </c>
      <c r="M23" s="611">
        <v>20.76923076923077</v>
      </c>
      <c r="N23" s="611">
        <v>93.540372670807457</v>
      </c>
      <c r="O23" s="611">
        <v>20.124223602484474</v>
      </c>
      <c r="P23" s="238"/>
      <c r="Q23" s="238"/>
    </row>
    <row r="24" spans="2:17" ht="20.25" customHeight="1">
      <c r="B24" s="232"/>
      <c r="C24" s="519" t="s">
        <v>147</v>
      </c>
      <c r="D24" s="233" t="s">
        <v>506</v>
      </c>
      <c r="E24" s="233" t="str">
        <f t="shared" si="0"/>
        <v>India - BPISenior Consultant</v>
      </c>
      <c r="F24" s="233" t="str">
        <f t="shared" si="1"/>
        <v>India - BPISR. CONS.</v>
      </c>
      <c r="G24" s="233" t="s">
        <v>134</v>
      </c>
      <c r="H24" s="657" t="s">
        <v>492</v>
      </c>
      <c r="I24" s="656">
        <v>62.608695652173914</v>
      </c>
      <c r="J24" s="656">
        <v>13.788819875776397</v>
      </c>
      <c r="K24" s="409" t="str">
        <f t="shared" si="4"/>
        <v>BPISenior Consultant</v>
      </c>
      <c r="L24" s="611">
        <v>64.615384615384613</v>
      </c>
      <c r="M24" s="611">
        <v>14.23076923076923</v>
      </c>
      <c r="N24" s="611">
        <v>62.608695652173914</v>
      </c>
      <c r="O24" s="611">
        <v>13.788819875776397</v>
      </c>
      <c r="P24" s="238"/>
      <c r="Q24" s="238"/>
    </row>
    <row r="25" spans="2:17" ht="20.25" customHeight="1">
      <c r="B25" s="232"/>
      <c r="C25" s="519" t="s">
        <v>147</v>
      </c>
      <c r="D25" s="233" t="s">
        <v>506</v>
      </c>
      <c r="E25" s="233" t="str">
        <f t="shared" si="0"/>
        <v>India - BPIConsultant 3</v>
      </c>
      <c r="F25" s="233" t="str">
        <f t="shared" si="1"/>
        <v>India - BPICon3</v>
      </c>
      <c r="G25" s="233" t="s">
        <v>669</v>
      </c>
      <c r="H25" s="657" t="s">
        <v>494</v>
      </c>
      <c r="I25" s="656">
        <v>49.440993788819874</v>
      </c>
      <c r="J25" s="656">
        <v>10.732919254658386</v>
      </c>
      <c r="K25" s="409" t="str">
        <f t="shared" si="4"/>
        <v>BPIConsultant 3</v>
      </c>
      <c r="L25" s="611">
        <v>51.025641025641029</v>
      </c>
      <c r="M25" s="611">
        <v>11.076923076923077</v>
      </c>
      <c r="N25" s="611">
        <v>49.440993788819874</v>
      </c>
      <c r="O25" s="611">
        <v>10.732919254658386</v>
      </c>
    </row>
    <row r="26" spans="2:17" ht="20.25" customHeight="1">
      <c r="B26" s="232"/>
      <c r="C26" s="519" t="s">
        <v>147</v>
      </c>
      <c r="D26" s="233" t="s">
        <v>506</v>
      </c>
      <c r="E26" s="233" t="str">
        <f t="shared" si="0"/>
        <v>India - BPIConsultant 2</v>
      </c>
      <c r="F26" s="233" t="str">
        <f t="shared" si="1"/>
        <v>India - BPICon2</v>
      </c>
      <c r="G26" s="233" t="s">
        <v>670</v>
      </c>
      <c r="H26" s="657" t="s">
        <v>496</v>
      </c>
      <c r="I26" s="656">
        <v>45.838509316770185</v>
      </c>
      <c r="J26" s="656">
        <v>8.1987577639751557</v>
      </c>
      <c r="K26" s="409" t="str">
        <f t="shared" si="4"/>
        <v>BPIConsultant 2</v>
      </c>
      <c r="L26" s="611">
        <v>47.307692307692307</v>
      </c>
      <c r="M26" s="611">
        <v>8.4615384615384617</v>
      </c>
      <c r="N26" s="611">
        <v>45.838509316770185</v>
      </c>
      <c r="O26" s="611">
        <v>8.1987577639751557</v>
      </c>
    </row>
    <row r="27" spans="2:17" ht="20.25" customHeight="1">
      <c r="B27" s="232"/>
      <c r="C27" s="519" t="s">
        <v>147</v>
      </c>
      <c r="D27" s="233" t="s">
        <v>506</v>
      </c>
      <c r="E27" s="233" t="str">
        <f t="shared" si="0"/>
        <v>India - BPIConsultant 1</v>
      </c>
      <c r="F27" s="233" t="str">
        <f t="shared" si="1"/>
        <v>India - BPICon1</v>
      </c>
      <c r="G27" s="233" t="s">
        <v>671</v>
      </c>
      <c r="H27" s="657" t="s">
        <v>498</v>
      </c>
      <c r="I27" s="656">
        <v>39.751552795031053</v>
      </c>
      <c r="J27" s="656">
        <v>6.2608695652173916</v>
      </c>
      <c r="K27" s="409" t="str">
        <f t="shared" si="4"/>
        <v>BPIConsultant 1</v>
      </c>
      <c r="L27" s="611">
        <v>41.025641025641029</v>
      </c>
      <c r="M27" s="611">
        <v>6.4615384615384617</v>
      </c>
      <c r="N27" s="611">
        <v>39.751552795031053</v>
      </c>
      <c r="O27" s="611">
        <v>6.2608695652173916</v>
      </c>
    </row>
    <row r="28" spans="2:17" ht="20.25" customHeight="1">
      <c r="B28" s="232"/>
      <c r="C28" s="519" t="s">
        <v>147</v>
      </c>
      <c r="D28" s="233" t="s">
        <v>506</v>
      </c>
      <c r="E28" s="233" t="str">
        <f t="shared" si="0"/>
        <v>India - BPIAnalyst</v>
      </c>
      <c r="F28" s="233" t="str">
        <f t="shared" si="1"/>
        <v>India - BPIANLST.</v>
      </c>
      <c r="G28" s="233" t="s">
        <v>138</v>
      </c>
      <c r="H28" s="657" t="s">
        <v>259</v>
      </c>
      <c r="I28" s="656">
        <v>20.248447204968944</v>
      </c>
      <c r="J28" s="656">
        <v>3.7267080745341614</v>
      </c>
      <c r="K28" s="409" t="str">
        <f t="shared" si="4"/>
        <v>BPIAnalyst</v>
      </c>
      <c r="L28" s="611">
        <v>20.897435897435898</v>
      </c>
      <c r="M28" s="611">
        <v>3.8461538461538463</v>
      </c>
      <c r="N28" s="611">
        <v>20.248447204968944</v>
      </c>
      <c r="O28" s="611">
        <v>3.7267080745341614</v>
      </c>
    </row>
    <row r="29" spans="2:17" ht="20.25" customHeight="1">
      <c r="B29" s="232"/>
      <c r="C29" s="519" t="s">
        <v>147</v>
      </c>
      <c r="D29" s="233" t="s">
        <v>508</v>
      </c>
      <c r="E29" s="233" t="str">
        <f t="shared" si="0"/>
        <v>India - D&amp;DManaging Director</v>
      </c>
      <c r="F29" s="233" t="str">
        <f t="shared" si="1"/>
        <v>India - D&amp;DMD</v>
      </c>
      <c r="G29" s="233" t="s">
        <v>127</v>
      </c>
      <c r="H29" s="520" t="s">
        <v>478</v>
      </c>
      <c r="I29" s="656">
        <v>357.26708074534162</v>
      </c>
      <c r="J29" s="235">
        <v>173.91304347826087</v>
      </c>
      <c r="K29" s="409" t="str">
        <f t="shared" si="4"/>
        <v>D&amp;DManaging Director</v>
      </c>
      <c r="L29" s="611">
        <v>368.71794871794873</v>
      </c>
      <c r="M29" s="611">
        <v>179.48717948717947</v>
      </c>
      <c r="N29" s="611">
        <v>357.26708074534162</v>
      </c>
      <c r="O29" s="611">
        <v>173.91304347826087</v>
      </c>
    </row>
    <row r="30" spans="2:17" ht="20.25" customHeight="1">
      <c r="B30" s="232"/>
      <c r="C30" s="519" t="s">
        <v>147</v>
      </c>
      <c r="D30" s="233" t="s">
        <v>508</v>
      </c>
      <c r="E30" s="233" t="str">
        <f t="shared" ref="E30" si="8">C30&amp;" - "&amp;D30&amp;H30</f>
        <v>India - D&amp;DSenior Director</v>
      </c>
      <c r="F30" s="233" t="str">
        <f t="shared" ref="F30" si="9">C30&amp;" - "&amp;D30&amp;G30</f>
        <v>India - D&amp;DSD</v>
      </c>
      <c r="G30" s="233" t="s">
        <v>128</v>
      </c>
      <c r="H30" s="520" t="s">
        <v>480</v>
      </c>
      <c r="I30" s="656">
        <v>298.13664596273293</v>
      </c>
      <c r="J30" s="235">
        <v>124.22360248447205</v>
      </c>
      <c r="K30" s="409" t="str">
        <f t="shared" ref="K30" si="10">D30&amp;H30</f>
        <v>D&amp;DSenior Director</v>
      </c>
      <c r="L30" s="611">
        <v>307.66666666666669</v>
      </c>
      <c r="M30" s="611">
        <v>128.2051282051282</v>
      </c>
      <c r="N30" s="611">
        <v>298.13664596273293</v>
      </c>
      <c r="O30" s="611">
        <v>124.22360248447205</v>
      </c>
    </row>
    <row r="31" spans="2:17" ht="20.25" customHeight="1">
      <c r="B31" s="232"/>
      <c r="C31" s="519" t="s">
        <v>147</v>
      </c>
      <c r="D31" s="233" t="s">
        <v>508</v>
      </c>
      <c r="E31" s="233" t="str">
        <f t="shared" si="0"/>
        <v>India - D&amp;DDirector</v>
      </c>
      <c r="F31" s="233" t="str">
        <f t="shared" si="1"/>
        <v>India - D&amp;DDIR</v>
      </c>
      <c r="G31" s="233" t="s">
        <v>129</v>
      </c>
      <c r="H31" s="657" t="s">
        <v>482</v>
      </c>
      <c r="I31" s="656">
        <v>262.85714285714283</v>
      </c>
      <c r="J31" s="656">
        <v>74.534161490683232</v>
      </c>
      <c r="K31" s="409" t="str">
        <f t="shared" si="4"/>
        <v>D&amp;DDirector</v>
      </c>
      <c r="L31" s="611">
        <v>271.28205128205127</v>
      </c>
      <c r="M31" s="611">
        <v>76.92307692307692</v>
      </c>
      <c r="N31" s="611">
        <v>262.85714285714283</v>
      </c>
      <c r="O31" s="611">
        <v>74.534161490683232</v>
      </c>
    </row>
    <row r="32" spans="2:17" ht="20.25" customHeight="1">
      <c r="B32" s="232"/>
      <c r="C32" s="519" t="s">
        <v>147</v>
      </c>
      <c r="D32" s="233" t="s">
        <v>508</v>
      </c>
      <c r="E32" s="233" t="str">
        <f t="shared" si="0"/>
        <v>India - D&amp;DAssociate Director</v>
      </c>
      <c r="F32" s="233" t="str">
        <f t="shared" si="1"/>
        <v>India - D&amp;DAD</v>
      </c>
      <c r="G32" s="233" t="s">
        <v>130</v>
      </c>
      <c r="H32" s="657" t="s">
        <v>484</v>
      </c>
      <c r="I32" s="656">
        <v>209.06832298136646</v>
      </c>
      <c r="J32" s="656">
        <v>54.658385093167702</v>
      </c>
      <c r="K32" s="409" t="str">
        <f t="shared" si="4"/>
        <v>D&amp;DAssociate Director</v>
      </c>
      <c r="L32" s="611">
        <v>215.76923076923077</v>
      </c>
      <c r="M32" s="611">
        <v>67.820512820512818</v>
      </c>
      <c r="N32" s="611">
        <v>209.06832298136646</v>
      </c>
      <c r="O32" s="611">
        <v>54.658385093167702</v>
      </c>
    </row>
    <row r="33" spans="2:15" ht="20.25" customHeight="1">
      <c r="B33" s="232"/>
      <c r="C33" s="519" t="s">
        <v>147</v>
      </c>
      <c r="D33" s="233" t="s">
        <v>508</v>
      </c>
      <c r="E33" s="233" t="str">
        <f t="shared" si="0"/>
        <v>India - D&amp;DSenior Manager</v>
      </c>
      <c r="F33" s="233" t="str">
        <f t="shared" si="1"/>
        <v>India - D&amp;DSR. MGR</v>
      </c>
      <c r="G33" s="233" t="s">
        <v>131</v>
      </c>
      <c r="H33" s="657" t="s">
        <v>486</v>
      </c>
      <c r="I33" s="656">
        <v>177.26708074534162</v>
      </c>
      <c r="J33" s="656">
        <v>36.770186335403729</v>
      </c>
      <c r="K33" s="409" t="str">
        <f t="shared" si="4"/>
        <v>D&amp;DSenior Manager</v>
      </c>
      <c r="L33" s="611">
        <v>182.94871794871796</v>
      </c>
      <c r="M33" s="611">
        <v>45.705128205128204</v>
      </c>
      <c r="N33" s="611">
        <v>177.26708074534162</v>
      </c>
      <c r="O33" s="611">
        <v>36.770186335403729</v>
      </c>
    </row>
    <row r="34" spans="2:15" ht="20.25" customHeight="1">
      <c r="B34" s="232"/>
      <c r="C34" s="519" t="s">
        <v>147</v>
      </c>
      <c r="D34" s="233" t="s">
        <v>508</v>
      </c>
      <c r="E34" s="233" t="str">
        <f t="shared" si="0"/>
        <v>India - D&amp;DManager</v>
      </c>
      <c r="F34" s="233" t="str">
        <f t="shared" si="1"/>
        <v>India - D&amp;DMGR</v>
      </c>
      <c r="G34" s="233" t="s">
        <v>132</v>
      </c>
      <c r="H34" s="657" t="s">
        <v>488</v>
      </c>
      <c r="I34" s="656">
        <v>120</v>
      </c>
      <c r="J34" s="656">
        <v>27.950310559006212</v>
      </c>
      <c r="K34" s="409" t="str">
        <f t="shared" si="4"/>
        <v>D&amp;DManager</v>
      </c>
      <c r="L34" s="611">
        <v>123.84615384615384</v>
      </c>
      <c r="M34" s="611">
        <v>30.96153846153846</v>
      </c>
      <c r="N34" s="611">
        <v>120</v>
      </c>
      <c r="O34" s="611">
        <v>27.950310559006212</v>
      </c>
    </row>
    <row r="35" spans="2:15" ht="20.25" customHeight="1">
      <c r="B35" s="232"/>
      <c r="C35" s="519" t="s">
        <v>147</v>
      </c>
      <c r="D35" s="233" t="s">
        <v>508</v>
      </c>
      <c r="E35" s="233" t="str">
        <f t="shared" si="0"/>
        <v>India - D&amp;DDeputy Manager</v>
      </c>
      <c r="F35" s="233" t="str">
        <f t="shared" si="1"/>
        <v>India - D&amp;DDM</v>
      </c>
      <c r="G35" s="233" t="s">
        <v>133</v>
      </c>
      <c r="H35" s="657" t="s">
        <v>490</v>
      </c>
      <c r="I35" s="656">
        <v>89.068322981366464</v>
      </c>
      <c r="J35" s="656">
        <v>18.509316770186334</v>
      </c>
      <c r="K35" s="409" t="str">
        <f t="shared" si="4"/>
        <v>D&amp;DDeputy Manager</v>
      </c>
      <c r="L35" s="611">
        <v>91.92307692307692</v>
      </c>
      <c r="M35" s="611">
        <v>19.910256410256409</v>
      </c>
      <c r="N35" s="611">
        <v>89.068322981366464</v>
      </c>
      <c r="O35" s="611">
        <v>18.509316770186334</v>
      </c>
    </row>
    <row r="36" spans="2:15" ht="20.25" customHeight="1">
      <c r="B36" s="232"/>
      <c r="C36" s="519" t="s">
        <v>147</v>
      </c>
      <c r="D36" s="233" t="s">
        <v>508</v>
      </c>
      <c r="E36" s="233" t="str">
        <f t="shared" si="0"/>
        <v>India - D&amp;DSenior Consultant</v>
      </c>
      <c r="F36" s="233" t="str">
        <f t="shared" si="1"/>
        <v>India - D&amp;DSR. CONS.</v>
      </c>
      <c r="G36" s="233" t="s">
        <v>134</v>
      </c>
      <c r="H36" s="657" t="s">
        <v>492</v>
      </c>
      <c r="I36" s="656">
        <v>60</v>
      </c>
      <c r="J36" s="656">
        <v>11.180124223602485</v>
      </c>
      <c r="K36" s="409" t="str">
        <f t="shared" si="4"/>
        <v>D&amp;DSenior Consultant</v>
      </c>
      <c r="L36" s="611">
        <v>61.92307692307692</v>
      </c>
      <c r="M36" s="611">
        <v>13.641025641025641</v>
      </c>
      <c r="N36" s="611">
        <v>60</v>
      </c>
      <c r="O36" s="611">
        <v>11.180124223602485</v>
      </c>
    </row>
    <row r="37" spans="2:15" ht="20.25" customHeight="1">
      <c r="B37" s="232"/>
      <c r="C37" s="519" t="s">
        <v>147</v>
      </c>
      <c r="D37" s="233" t="s">
        <v>508</v>
      </c>
      <c r="E37" s="233" t="str">
        <f t="shared" si="0"/>
        <v>India - D&amp;DConsultant 3</v>
      </c>
      <c r="F37" s="233" t="str">
        <f t="shared" si="1"/>
        <v>India - D&amp;DCon3</v>
      </c>
      <c r="G37" s="233" t="s">
        <v>669</v>
      </c>
      <c r="H37" s="657" t="s">
        <v>494</v>
      </c>
      <c r="I37" s="656">
        <v>46.70807453416149</v>
      </c>
      <c r="J37" s="656">
        <v>8.695652173913043</v>
      </c>
      <c r="K37" s="409" t="str">
        <f t="shared" si="4"/>
        <v>D&amp;DConsultant 3</v>
      </c>
      <c r="L37" s="611">
        <v>48.205128205128204</v>
      </c>
      <c r="M37" s="611">
        <v>10.615384615384615</v>
      </c>
      <c r="N37" s="611">
        <v>46.70807453416149</v>
      </c>
      <c r="O37" s="611">
        <v>8.695652173913043</v>
      </c>
    </row>
    <row r="38" spans="2:15" ht="20.25" customHeight="1">
      <c r="B38" s="232"/>
      <c r="C38" s="519" t="s">
        <v>147</v>
      </c>
      <c r="D38" s="233" t="s">
        <v>508</v>
      </c>
      <c r="E38" s="233" t="str">
        <f t="shared" si="0"/>
        <v>India - D&amp;DConsultant 2</v>
      </c>
      <c r="F38" s="233" t="str">
        <f t="shared" si="1"/>
        <v>India - D&amp;DCon2</v>
      </c>
      <c r="G38" s="233" t="s">
        <v>670</v>
      </c>
      <c r="H38" s="657" t="s">
        <v>496</v>
      </c>
      <c r="I38" s="656">
        <v>44.099378881987576</v>
      </c>
      <c r="J38" s="656">
        <v>7.0807453416149064</v>
      </c>
      <c r="K38" s="409" t="str">
        <f t="shared" si="4"/>
        <v>D&amp;DConsultant 2</v>
      </c>
      <c r="L38" s="611">
        <v>45.512820512820511</v>
      </c>
      <c r="M38" s="611">
        <v>8.115384615384615</v>
      </c>
      <c r="N38" s="611">
        <v>44.099378881987576</v>
      </c>
      <c r="O38" s="611">
        <v>7.0807453416149064</v>
      </c>
    </row>
    <row r="39" spans="2:15" ht="20.25" customHeight="1">
      <c r="B39" s="232"/>
      <c r="C39" s="519" t="s">
        <v>147</v>
      </c>
      <c r="D39" s="233" t="s">
        <v>508</v>
      </c>
      <c r="E39" s="233" t="str">
        <f t="shared" si="0"/>
        <v>India - D&amp;DConsultant 1</v>
      </c>
      <c r="F39" s="233" t="str">
        <f t="shared" si="1"/>
        <v>India - D&amp;DCon1</v>
      </c>
      <c r="G39" s="233" t="s">
        <v>671</v>
      </c>
      <c r="H39" s="657" t="s">
        <v>498</v>
      </c>
      <c r="I39" s="656">
        <v>37.888198757763973</v>
      </c>
      <c r="J39" s="656">
        <v>4.0993788819875778</v>
      </c>
      <c r="K39" s="409" t="str">
        <f t="shared" si="4"/>
        <v>D&amp;DConsultant 1</v>
      </c>
      <c r="L39" s="611">
        <v>39.102564102564102</v>
      </c>
      <c r="M39" s="611">
        <v>6.1923076923076925</v>
      </c>
      <c r="N39" s="611">
        <v>37.888198757763973</v>
      </c>
      <c r="O39" s="611">
        <v>4.0993788819875778</v>
      </c>
    </row>
    <row r="40" spans="2:15" ht="20.25" customHeight="1">
      <c r="B40" s="232"/>
      <c r="C40" s="519" t="s">
        <v>147</v>
      </c>
      <c r="D40" s="233" t="s">
        <v>508</v>
      </c>
      <c r="E40" s="233" t="str">
        <f t="shared" si="0"/>
        <v>India - D&amp;DAnalyst</v>
      </c>
      <c r="F40" s="233" t="str">
        <f t="shared" si="1"/>
        <v>India - D&amp;DANLST.</v>
      </c>
      <c r="G40" s="233" t="s">
        <v>138</v>
      </c>
      <c r="H40" s="657" t="s">
        <v>259</v>
      </c>
      <c r="I40" s="656">
        <v>20.248447204968944</v>
      </c>
      <c r="J40" s="656">
        <v>3.7267080745341614</v>
      </c>
      <c r="K40" s="409" t="str">
        <f t="shared" si="4"/>
        <v>D&amp;DAnalyst</v>
      </c>
      <c r="L40" s="611">
        <v>20.897435897435898</v>
      </c>
      <c r="M40" s="611">
        <v>3.6923076923076925</v>
      </c>
      <c r="N40" s="611">
        <v>20.248447204968944</v>
      </c>
      <c r="O40" s="611">
        <v>3.7267080745341614</v>
      </c>
    </row>
    <row r="41" spans="2:15" ht="20.25" customHeight="1">
      <c r="B41" s="232"/>
      <c r="C41" s="519" t="s">
        <v>147</v>
      </c>
      <c r="D41" s="233" t="s">
        <v>521</v>
      </c>
      <c r="E41" s="233" t="str">
        <f t="shared" ref="E41:E52" si="11">C41&amp;" - "&amp;D41&amp;H41</f>
        <v>India - TC-ETGManaging Director</v>
      </c>
      <c r="F41" s="233" t="str">
        <f t="shared" ref="F41:F52" si="12">C41&amp;" - "&amp;D41&amp;G41</f>
        <v>India - TC-ETGMD</v>
      </c>
      <c r="G41" s="233" t="s">
        <v>127</v>
      </c>
      <c r="H41" s="520" t="s">
        <v>478</v>
      </c>
      <c r="I41" s="656">
        <v>341.36645962732922</v>
      </c>
      <c r="J41" s="234">
        <v>173.91304347826087</v>
      </c>
      <c r="K41" s="409"/>
      <c r="L41" s="611"/>
      <c r="M41" s="611"/>
      <c r="N41" s="611"/>
      <c r="O41" s="611"/>
    </row>
    <row r="42" spans="2:15" ht="20.25" customHeight="1">
      <c r="B42" s="232"/>
      <c r="C42" s="519" t="s">
        <v>147</v>
      </c>
      <c r="D42" s="233" t="s">
        <v>521</v>
      </c>
      <c r="E42" s="233" t="str">
        <f t="shared" si="11"/>
        <v>India - TC-ETGSenior Director</v>
      </c>
      <c r="F42" s="233" t="str">
        <f t="shared" si="12"/>
        <v>India - TC-ETGSD</v>
      </c>
      <c r="G42" s="233" t="s">
        <v>128</v>
      </c>
      <c r="H42" s="520" t="s">
        <v>480</v>
      </c>
      <c r="I42" s="656">
        <v>285.71428571428572</v>
      </c>
      <c r="J42" s="234">
        <v>124.22360248447205</v>
      </c>
      <c r="K42" s="409"/>
      <c r="L42" s="611"/>
      <c r="M42" s="611"/>
      <c r="N42" s="611"/>
      <c r="O42" s="611"/>
    </row>
    <row r="43" spans="2:15" ht="20.25" customHeight="1">
      <c r="B43" s="232"/>
      <c r="C43" s="519" t="s">
        <v>147</v>
      </c>
      <c r="D43" s="233" t="s">
        <v>521</v>
      </c>
      <c r="E43" s="233" t="str">
        <f t="shared" si="11"/>
        <v>India - TC-ETGDirector</v>
      </c>
      <c r="F43" s="233" t="str">
        <f t="shared" si="12"/>
        <v>India - TC-ETGDIR</v>
      </c>
      <c r="G43" s="233" t="s">
        <v>129</v>
      </c>
      <c r="H43" s="657" t="s">
        <v>482</v>
      </c>
      <c r="I43" s="656">
        <v>251.42857142857142</v>
      </c>
      <c r="J43" s="234">
        <v>74.534161490683232</v>
      </c>
      <c r="K43" s="409"/>
      <c r="L43" s="611"/>
      <c r="M43" s="611"/>
      <c r="N43" s="611"/>
      <c r="O43" s="611"/>
    </row>
    <row r="44" spans="2:15" ht="20.25" customHeight="1">
      <c r="B44" s="232"/>
      <c r="C44" s="519" t="s">
        <v>147</v>
      </c>
      <c r="D44" s="233" t="s">
        <v>521</v>
      </c>
      <c r="E44" s="233" t="str">
        <f t="shared" si="11"/>
        <v>India - TC-ETGAssociate Director</v>
      </c>
      <c r="F44" s="233" t="str">
        <f t="shared" si="12"/>
        <v>India - TC-ETGAD</v>
      </c>
      <c r="G44" s="233" t="s">
        <v>130</v>
      </c>
      <c r="H44" s="657" t="s">
        <v>484</v>
      </c>
      <c r="I44" s="656">
        <v>200.24844720496895</v>
      </c>
      <c r="J44" s="234">
        <v>57.142857142857146</v>
      </c>
      <c r="K44" s="409"/>
      <c r="L44" s="611"/>
      <c r="M44" s="611"/>
      <c r="N44" s="611"/>
      <c r="O44" s="611"/>
    </row>
    <row r="45" spans="2:15" ht="20.25" customHeight="1">
      <c r="B45" s="232"/>
      <c r="C45" s="519" t="s">
        <v>147</v>
      </c>
      <c r="D45" s="233" t="s">
        <v>521</v>
      </c>
      <c r="E45" s="233" t="str">
        <f t="shared" si="11"/>
        <v>India - TC-ETGSenior Manager</v>
      </c>
      <c r="F45" s="233" t="str">
        <f t="shared" si="12"/>
        <v>India - TC-ETGSR. MGR</v>
      </c>
      <c r="G45" s="233" t="s">
        <v>131</v>
      </c>
      <c r="H45" s="657" t="s">
        <v>486</v>
      </c>
      <c r="I45" s="656">
        <v>169.31677018633539</v>
      </c>
      <c r="J45" s="234">
        <v>39.006211180124225</v>
      </c>
      <c r="K45" s="409"/>
      <c r="L45" s="611"/>
      <c r="M45" s="611"/>
      <c r="N45" s="611"/>
      <c r="O45" s="611"/>
    </row>
    <row r="46" spans="2:15" ht="20.25" customHeight="1">
      <c r="B46" s="232"/>
      <c r="C46" s="519" t="s">
        <v>147</v>
      </c>
      <c r="D46" s="233" t="s">
        <v>521</v>
      </c>
      <c r="E46" s="233" t="str">
        <f t="shared" si="11"/>
        <v>India - TC-ETGManager</v>
      </c>
      <c r="F46" s="233" t="str">
        <f t="shared" si="12"/>
        <v>India - TC-ETGMGR</v>
      </c>
      <c r="G46" s="233" t="s">
        <v>132</v>
      </c>
      <c r="H46" s="657" t="s">
        <v>488</v>
      </c>
      <c r="I46" s="656">
        <v>114.65838509316769</v>
      </c>
      <c r="J46" s="234">
        <v>30.683229813664596</v>
      </c>
      <c r="K46" s="409"/>
      <c r="L46" s="611"/>
      <c r="M46" s="611"/>
      <c r="N46" s="611"/>
      <c r="O46" s="611"/>
    </row>
    <row r="47" spans="2:15" ht="20.25" customHeight="1">
      <c r="B47" s="232"/>
      <c r="C47" s="519" t="s">
        <v>147</v>
      </c>
      <c r="D47" s="233" t="s">
        <v>521</v>
      </c>
      <c r="E47" s="233" t="str">
        <f t="shared" si="11"/>
        <v>India - TC-ETGDeputy Manager</v>
      </c>
      <c r="F47" s="233" t="str">
        <f t="shared" si="12"/>
        <v>India - TC-ETGDM</v>
      </c>
      <c r="G47" s="233" t="s">
        <v>133</v>
      </c>
      <c r="H47" s="657" t="s">
        <v>490</v>
      </c>
      <c r="I47" s="656">
        <v>85.590062111801245</v>
      </c>
      <c r="J47" s="234">
        <v>20.372670807453417</v>
      </c>
      <c r="K47" s="409"/>
      <c r="L47" s="611"/>
      <c r="M47" s="611"/>
      <c r="N47" s="611"/>
      <c r="O47" s="611"/>
    </row>
    <row r="48" spans="2:15" ht="20.25" customHeight="1">
      <c r="B48" s="232"/>
      <c r="C48" s="519" t="s">
        <v>147</v>
      </c>
      <c r="D48" s="233" t="s">
        <v>521</v>
      </c>
      <c r="E48" s="233" t="str">
        <f t="shared" si="11"/>
        <v>India - TC-ETGSenior Consultant</v>
      </c>
      <c r="F48" s="233" t="str">
        <f t="shared" si="12"/>
        <v>India - TC-ETGSR. CONS.</v>
      </c>
      <c r="G48" s="233" t="s">
        <v>134</v>
      </c>
      <c r="H48" s="657" t="s">
        <v>492</v>
      </c>
      <c r="I48" s="656">
        <v>57.391304347826086</v>
      </c>
      <c r="J48" s="234">
        <v>13.540372670807454</v>
      </c>
      <c r="K48" s="409"/>
      <c r="L48" s="611"/>
      <c r="M48" s="611"/>
      <c r="N48" s="611"/>
      <c r="O48" s="611"/>
    </row>
    <row r="49" spans="2:15" ht="20.25" customHeight="1">
      <c r="B49" s="232"/>
      <c r="C49" s="519" t="s">
        <v>147</v>
      </c>
      <c r="D49" s="233" t="s">
        <v>521</v>
      </c>
      <c r="E49" s="233" t="str">
        <f t="shared" si="11"/>
        <v>India - TC-ETGConsultant 3</v>
      </c>
      <c r="F49" s="233" t="str">
        <f t="shared" si="12"/>
        <v>India - TC-ETGCon3</v>
      </c>
      <c r="G49" s="233" t="s">
        <v>669</v>
      </c>
      <c r="H49" s="657" t="s">
        <v>494</v>
      </c>
      <c r="I49" s="656">
        <v>44.968944099378881</v>
      </c>
      <c r="J49" s="234">
        <v>9.6894409937888195</v>
      </c>
      <c r="K49" s="409"/>
      <c r="L49" s="611"/>
      <c r="M49" s="611"/>
      <c r="N49" s="611"/>
      <c r="O49" s="611"/>
    </row>
    <row r="50" spans="2:15" ht="20.25" customHeight="1">
      <c r="B50" s="232"/>
      <c r="C50" s="519" t="s">
        <v>147</v>
      </c>
      <c r="D50" s="233" t="s">
        <v>521</v>
      </c>
      <c r="E50" s="233" t="str">
        <f t="shared" si="11"/>
        <v>India - TC-ETGConsultant 2</v>
      </c>
      <c r="F50" s="233" t="str">
        <f t="shared" si="12"/>
        <v>India - TC-ETGCon2</v>
      </c>
      <c r="G50" s="233" t="s">
        <v>670</v>
      </c>
      <c r="H50" s="657" t="s">
        <v>496</v>
      </c>
      <c r="I50" s="656">
        <v>42.360248447204967</v>
      </c>
      <c r="J50" s="234">
        <v>7.5776397515527947</v>
      </c>
      <c r="K50" s="409"/>
      <c r="L50" s="611"/>
      <c r="M50" s="611"/>
      <c r="N50" s="611"/>
      <c r="O50" s="611"/>
    </row>
    <row r="51" spans="2:15" ht="20.25" customHeight="1">
      <c r="B51" s="232"/>
      <c r="C51" s="519" t="s">
        <v>147</v>
      </c>
      <c r="D51" s="233" t="s">
        <v>521</v>
      </c>
      <c r="E51" s="233" t="str">
        <f t="shared" si="11"/>
        <v>India - TC-ETGConsultant 1</v>
      </c>
      <c r="F51" s="233" t="str">
        <f t="shared" si="12"/>
        <v>India - TC-ETGCon1</v>
      </c>
      <c r="G51" s="233" t="s">
        <v>671</v>
      </c>
      <c r="H51" s="657" t="s">
        <v>498</v>
      </c>
      <c r="I51" s="656">
        <v>36.149068322981364</v>
      </c>
      <c r="J51" s="234">
        <v>4.8447204968944098</v>
      </c>
      <c r="K51" s="409"/>
      <c r="L51" s="611"/>
      <c r="M51" s="611"/>
      <c r="N51" s="611"/>
      <c r="O51" s="611"/>
    </row>
    <row r="52" spans="2:15" ht="20.25" customHeight="1">
      <c r="B52" s="232"/>
      <c r="C52" s="519" t="s">
        <v>147</v>
      </c>
      <c r="D52" s="233" t="s">
        <v>521</v>
      </c>
      <c r="E52" s="233" t="str">
        <f t="shared" si="11"/>
        <v>India - TC-ETGAnalyst</v>
      </c>
      <c r="F52" s="233" t="str">
        <f t="shared" si="12"/>
        <v>India - TC-ETGANLST.</v>
      </c>
      <c r="G52" s="233" t="s">
        <v>138</v>
      </c>
      <c r="H52" s="657" t="s">
        <v>259</v>
      </c>
      <c r="I52" s="656">
        <v>20.248447204968944</v>
      </c>
      <c r="J52" s="234">
        <v>3.7267080745341614</v>
      </c>
      <c r="K52" s="409"/>
      <c r="L52" s="611"/>
      <c r="M52" s="611"/>
      <c r="N52" s="611"/>
      <c r="O52" s="611"/>
    </row>
    <row r="53" spans="2:15" ht="20.25" customHeight="1">
      <c r="B53" s="232"/>
      <c r="C53" s="519" t="s">
        <v>147</v>
      </c>
      <c r="D53" s="233" t="s">
        <v>523</v>
      </c>
      <c r="E53" s="233" t="str">
        <f t="shared" ref="E53:E64" si="13">C53&amp;" - "&amp;D53&amp;H53</f>
        <v>India - TC-EASManaging Director</v>
      </c>
      <c r="F53" s="233" t="str">
        <f t="shared" ref="F53:F64" si="14">C53&amp;" - "&amp;D53&amp;G53</f>
        <v>India - TC-EASMD</v>
      </c>
      <c r="G53" s="233" t="s">
        <v>127</v>
      </c>
      <c r="H53" s="520" t="s">
        <v>478</v>
      </c>
      <c r="I53" s="656">
        <v>341.36645962732922</v>
      </c>
      <c r="J53" s="234">
        <v>173.91304347826087</v>
      </c>
      <c r="K53" s="409"/>
      <c r="L53" s="611"/>
      <c r="M53" s="611"/>
      <c r="N53" s="611"/>
      <c r="O53" s="611"/>
    </row>
    <row r="54" spans="2:15" ht="20.25" customHeight="1">
      <c r="B54" s="232"/>
      <c r="C54" s="519" t="s">
        <v>147</v>
      </c>
      <c r="D54" s="233" t="s">
        <v>523</v>
      </c>
      <c r="E54" s="233" t="str">
        <f t="shared" si="13"/>
        <v>India - TC-EASSenior Director</v>
      </c>
      <c r="F54" s="233" t="str">
        <f t="shared" si="14"/>
        <v>India - TC-EASSD</v>
      </c>
      <c r="G54" s="233" t="s">
        <v>128</v>
      </c>
      <c r="H54" s="520" t="s">
        <v>480</v>
      </c>
      <c r="I54" s="656">
        <v>285.71428571428572</v>
      </c>
      <c r="J54" s="234">
        <v>124.22360248447205</v>
      </c>
      <c r="K54" s="409"/>
      <c r="L54" s="611"/>
      <c r="M54" s="611"/>
      <c r="N54" s="611"/>
      <c r="O54" s="611"/>
    </row>
    <row r="55" spans="2:15" ht="20.25" customHeight="1">
      <c r="B55" s="232"/>
      <c r="C55" s="519" t="s">
        <v>147</v>
      </c>
      <c r="D55" s="233" t="s">
        <v>523</v>
      </c>
      <c r="E55" s="233" t="str">
        <f t="shared" si="13"/>
        <v>India - TC-EASDirector</v>
      </c>
      <c r="F55" s="233" t="str">
        <f t="shared" si="14"/>
        <v>India - TC-EASDIR</v>
      </c>
      <c r="G55" s="233" t="s">
        <v>129</v>
      </c>
      <c r="H55" s="657" t="s">
        <v>482</v>
      </c>
      <c r="I55" s="656">
        <v>251.42857142857142</v>
      </c>
      <c r="J55" s="234">
        <v>74.534161490683232</v>
      </c>
      <c r="K55" s="409"/>
      <c r="L55" s="611"/>
      <c r="M55" s="611"/>
      <c r="N55" s="611"/>
      <c r="O55" s="611"/>
    </row>
    <row r="56" spans="2:15" ht="20.25" customHeight="1">
      <c r="B56" s="232"/>
      <c r="C56" s="519" t="s">
        <v>147</v>
      </c>
      <c r="D56" s="233" t="s">
        <v>523</v>
      </c>
      <c r="E56" s="233" t="str">
        <f t="shared" si="13"/>
        <v>India - TC-EASAssociate Director</v>
      </c>
      <c r="F56" s="233" t="str">
        <f t="shared" si="14"/>
        <v>India - TC-EASAD</v>
      </c>
      <c r="G56" s="233" t="s">
        <v>130</v>
      </c>
      <c r="H56" s="657" t="s">
        <v>484</v>
      </c>
      <c r="I56" s="656">
        <v>200.24844720496895</v>
      </c>
      <c r="J56" s="234">
        <v>57.142857142857146</v>
      </c>
      <c r="K56" s="409"/>
      <c r="L56" s="611"/>
      <c r="M56" s="611"/>
      <c r="N56" s="611"/>
      <c r="O56" s="611"/>
    </row>
    <row r="57" spans="2:15" ht="20.25" customHeight="1">
      <c r="B57" s="232"/>
      <c r="C57" s="519" t="s">
        <v>147</v>
      </c>
      <c r="D57" s="233" t="s">
        <v>523</v>
      </c>
      <c r="E57" s="233" t="str">
        <f t="shared" si="13"/>
        <v>India - TC-EASSenior Manager</v>
      </c>
      <c r="F57" s="233" t="str">
        <f t="shared" si="14"/>
        <v>India - TC-EASSR. MGR</v>
      </c>
      <c r="G57" s="233" t="s">
        <v>131</v>
      </c>
      <c r="H57" s="657" t="s">
        <v>486</v>
      </c>
      <c r="I57" s="656">
        <v>169.31677018633539</v>
      </c>
      <c r="J57" s="234">
        <v>39.751552795031053</v>
      </c>
      <c r="K57" s="409"/>
      <c r="L57" s="611"/>
      <c r="M57" s="611"/>
      <c r="N57" s="611"/>
      <c r="O57" s="611"/>
    </row>
    <row r="58" spans="2:15" ht="20.25" customHeight="1">
      <c r="B58" s="232"/>
      <c r="C58" s="519" t="s">
        <v>147</v>
      </c>
      <c r="D58" s="233" t="s">
        <v>523</v>
      </c>
      <c r="E58" s="233" t="str">
        <f t="shared" si="13"/>
        <v>India - TC-EASManager</v>
      </c>
      <c r="F58" s="233" t="str">
        <f t="shared" si="14"/>
        <v>India - TC-EASMGR</v>
      </c>
      <c r="G58" s="233" t="s">
        <v>132</v>
      </c>
      <c r="H58" s="657" t="s">
        <v>488</v>
      </c>
      <c r="I58" s="656">
        <v>114.65838509316769</v>
      </c>
      <c r="J58" s="234">
        <v>27.577639751552795</v>
      </c>
      <c r="K58" s="409"/>
      <c r="L58" s="611"/>
      <c r="M58" s="611"/>
      <c r="N58" s="611"/>
      <c r="O58" s="611"/>
    </row>
    <row r="59" spans="2:15" ht="20.25" customHeight="1">
      <c r="B59" s="232"/>
      <c r="C59" s="519" t="s">
        <v>147</v>
      </c>
      <c r="D59" s="233" t="s">
        <v>523</v>
      </c>
      <c r="E59" s="233" t="str">
        <f t="shared" si="13"/>
        <v>India - TC-EASDeputy Manager</v>
      </c>
      <c r="F59" s="233" t="str">
        <f t="shared" si="14"/>
        <v>India - TC-EASDM</v>
      </c>
      <c r="G59" s="233" t="s">
        <v>133</v>
      </c>
      <c r="H59" s="657" t="s">
        <v>490</v>
      </c>
      <c r="I59" s="656">
        <v>85.590062111801245</v>
      </c>
      <c r="J59" s="234">
        <v>17.267080745341616</v>
      </c>
      <c r="K59" s="409"/>
      <c r="L59" s="611"/>
      <c r="M59" s="611"/>
      <c r="N59" s="611"/>
      <c r="O59" s="611"/>
    </row>
    <row r="60" spans="2:15" ht="20.25" customHeight="1">
      <c r="B60" s="232"/>
      <c r="C60" s="519" t="s">
        <v>147</v>
      </c>
      <c r="D60" s="233" t="s">
        <v>523</v>
      </c>
      <c r="E60" s="233" t="str">
        <f t="shared" si="13"/>
        <v>India - TC-EASSenior Consultant</v>
      </c>
      <c r="F60" s="233" t="str">
        <f t="shared" si="14"/>
        <v>India - TC-EASSR. CONS.</v>
      </c>
      <c r="G60" s="233" t="s">
        <v>134</v>
      </c>
      <c r="H60" s="657" t="s">
        <v>492</v>
      </c>
      <c r="I60" s="656">
        <v>57.391304347826086</v>
      </c>
      <c r="J60" s="234">
        <v>11.180124223602485</v>
      </c>
      <c r="K60" s="409"/>
      <c r="L60" s="611"/>
      <c r="M60" s="611"/>
      <c r="N60" s="611"/>
      <c r="O60" s="611"/>
    </row>
    <row r="61" spans="2:15" ht="20.25" customHeight="1">
      <c r="B61" s="232"/>
      <c r="C61" s="519" t="s">
        <v>147</v>
      </c>
      <c r="D61" s="233" t="s">
        <v>523</v>
      </c>
      <c r="E61" s="233" t="str">
        <f t="shared" si="13"/>
        <v>India - TC-EASConsultant 3</v>
      </c>
      <c r="F61" s="233" t="str">
        <f t="shared" si="14"/>
        <v>India - TC-EASCon3</v>
      </c>
      <c r="G61" s="233" t="s">
        <v>669</v>
      </c>
      <c r="H61" s="657" t="s">
        <v>494</v>
      </c>
      <c r="I61" s="656">
        <v>44.968944099378881</v>
      </c>
      <c r="J61" s="234">
        <v>8.4472049689440993</v>
      </c>
      <c r="K61" s="409"/>
      <c r="L61" s="611"/>
      <c r="M61" s="611"/>
      <c r="N61" s="611"/>
      <c r="O61" s="611"/>
    </row>
    <row r="62" spans="2:15" ht="20.25" customHeight="1">
      <c r="B62" s="232"/>
      <c r="C62" s="519" t="s">
        <v>147</v>
      </c>
      <c r="D62" s="233" t="s">
        <v>523</v>
      </c>
      <c r="E62" s="233" t="str">
        <f t="shared" si="13"/>
        <v>India - TC-EASConsultant 2</v>
      </c>
      <c r="F62" s="233" t="str">
        <f t="shared" si="14"/>
        <v>India - TC-EASCon2</v>
      </c>
      <c r="G62" s="233" t="s">
        <v>670</v>
      </c>
      <c r="H62" s="657" t="s">
        <v>496</v>
      </c>
      <c r="I62" s="656">
        <v>42.360248447204967</v>
      </c>
      <c r="J62" s="234">
        <v>6.3354037267080745</v>
      </c>
      <c r="K62" s="409"/>
      <c r="L62" s="611"/>
      <c r="M62" s="611"/>
      <c r="N62" s="611"/>
      <c r="O62" s="611"/>
    </row>
    <row r="63" spans="2:15" ht="20.25" customHeight="1">
      <c r="B63" s="232"/>
      <c r="C63" s="519" t="s">
        <v>147</v>
      </c>
      <c r="D63" s="233" t="s">
        <v>523</v>
      </c>
      <c r="E63" s="233" t="str">
        <f t="shared" si="13"/>
        <v>India - TC-EASConsultant 1</v>
      </c>
      <c r="F63" s="233" t="str">
        <f t="shared" si="14"/>
        <v>India - TC-EASCon1</v>
      </c>
      <c r="G63" s="233" t="s">
        <v>671</v>
      </c>
      <c r="H63" s="657" t="s">
        <v>498</v>
      </c>
      <c r="I63" s="656">
        <v>36.149068322981364</v>
      </c>
      <c r="J63" s="234">
        <v>4.9689440993788816</v>
      </c>
      <c r="K63" s="409"/>
      <c r="L63" s="611"/>
      <c r="M63" s="611"/>
      <c r="N63" s="611"/>
      <c r="O63" s="611"/>
    </row>
    <row r="64" spans="2:15" ht="20.25" customHeight="1">
      <c r="B64" s="232"/>
      <c r="C64" s="519" t="s">
        <v>147</v>
      </c>
      <c r="D64" s="233" t="s">
        <v>523</v>
      </c>
      <c r="E64" s="233" t="str">
        <f t="shared" si="13"/>
        <v>India - TC-EASAnalyst</v>
      </c>
      <c r="F64" s="233" t="str">
        <f t="shared" si="14"/>
        <v>India - TC-EASANLST.</v>
      </c>
      <c r="G64" s="233" t="s">
        <v>138</v>
      </c>
      <c r="H64" s="657" t="s">
        <v>259</v>
      </c>
      <c r="I64" s="656">
        <v>20.248447204968944</v>
      </c>
      <c r="J64" s="234">
        <v>3.7267080745341614</v>
      </c>
      <c r="K64" s="409"/>
      <c r="L64" s="611"/>
      <c r="M64" s="611"/>
      <c r="N64" s="611"/>
      <c r="O64" s="611"/>
    </row>
    <row r="65" spans="2:15" ht="20.25" customHeight="1">
      <c r="B65" s="232"/>
      <c r="C65" s="519" t="s">
        <v>147</v>
      </c>
      <c r="D65" s="233" t="s">
        <v>525</v>
      </c>
      <c r="E65" s="233" t="str">
        <f t="shared" si="0"/>
        <v>India - TC-PSSManaging Director</v>
      </c>
      <c r="F65" s="233" t="str">
        <f t="shared" si="1"/>
        <v>India - TC-PSSMD</v>
      </c>
      <c r="G65" s="233" t="s">
        <v>127</v>
      </c>
      <c r="H65" s="520" t="s">
        <v>478</v>
      </c>
      <c r="I65" s="656">
        <v>341.36645962732922</v>
      </c>
      <c r="J65" s="235">
        <v>173.91304347826087</v>
      </c>
      <c r="K65" s="409" t="str">
        <f t="shared" si="4"/>
        <v>TC-PSSManaging Director</v>
      </c>
      <c r="L65" s="611">
        <v>352.30769230769232</v>
      </c>
      <c r="M65" s="611">
        <v>179.48717948717947</v>
      </c>
      <c r="N65" s="611" t="e">
        <v>#N/A</v>
      </c>
      <c r="O65" s="611" t="e">
        <v>#N/A</v>
      </c>
    </row>
    <row r="66" spans="2:15" ht="20.25" customHeight="1">
      <c r="B66" s="232"/>
      <c r="C66" s="519" t="s">
        <v>147</v>
      </c>
      <c r="D66" s="233" t="s">
        <v>525</v>
      </c>
      <c r="E66" s="233" t="str">
        <f t="shared" ref="E66" si="15">C66&amp;" - "&amp;D66&amp;H66</f>
        <v>India - TC-PSSSenior Director</v>
      </c>
      <c r="F66" s="233" t="str">
        <f t="shared" ref="F66" si="16">C66&amp;" - "&amp;D66&amp;G66</f>
        <v>India - TC-PSSSD</v>
      </c>
      <c r="G66" s="233" t="s">
        <v>128</v>
      </c>
      <c r="H66" s="520" t="s">
        <v>480</v>
      </c>
      <c r="I66" s="656">
        <v>285.71428571428572</v>
      </c>
      <c r="J66" s="235">
        <v>124.22360248447205</v>
      </c>
      <c r="K66" s="409" t="str">
        <f t="shared" ref="K66" si="17">D66&amp;H66</f>
        <v>TC-PSSSenior Director</v>
      </c>
      <c r="L66" s="611">
        <v>294.0128205128205</v>
      </c>
      <c r="M66" s="611">
        <v>128.2051282051282</v>
      </c>
      <c r="N66" s="611" t="e">
        <v>#N/A</v>
      </c>
      <c r="O66" s="611" t="e">
        <v>#N/A</v>
      </c>
    </row>
    <row r="67" spans="2:15" ht="20.25" customHeight="1">
      <c r="B67" s="232"/>
      <c r="C67" s="519" t="s">
        <v>147</v>
      </c>
      <c r="D67" s="233" t="s">
        <v>525</v>
      </c>
      <c r="E67" s="233" t="str">
        <f t="shared" si="0"/>
        <v>India - TC-PSSDirector</v>
      </c>
      <c r="F67" s="233" t="str">
        <f t="shared" si="1"/>
        <v>India - TC-PSSDIR</v>
      </c>
      <c r="G67" s="233" t="s">
        <v>129</v>
      </c>
      <c r="H67" s="657" t="s">
        <v>482</v>
      </c>
      <c r="I67" s="656">
        <v>251.42857142857142</v>
      </c>
      <c r="J67" s="656">
        <v>74.534161490683232</v>
      </c>
      <c r="K67" s="409" t="str">
        <f t="shared" si="4"/>
        <v>TC-PSSDirector</v>
      </c>
      <c r="L67" s="611">
        <v>259.4871794871795</v>
      </c>
      <c r="M67" s="611">
        <v>76.92307692307692</v>
      </c>
      <c r="N67" s="611" t="e">
        <v>#N/A</v>
      </c>
      <c r="O67" s="611" t="e">
        <v>#N/A</v>
      </c>
    </row>
    <row r="68" spans="2:15" ht="20.25" customHeight="1">
      <c r="B68" s="232"/>
      <c r="C68" s="519" t="s">
        <v>147</v>
      </c>
      <c r="D68" s="233" t="s">
        <v>525</v>
      </c>
      <c r="E68" s="233" t="str">
        <f t="shared" si="0"/>
        <v>India - TC-PSSAssociate Director</v>
      </c>
      <c r="F68" s="233" t="str">
        <f t="shared" si="1"/>
        <v>India - TC-PSSAD</v>
      </c>
      <c r="G68" s="233" t="s">
        <v>130</v>
      </c>
      <c r="H68" s="657" t="s">
        <v>484</v>
      </c>
      <c r="I68" s="656">
        <v>200.24844720496895</v>
      </c>
      <c r="J68" s="656">
        <v>57.142857142857146</v>
      </c>
      <c r="K68" s="409" t="str">
        <f t="shared" si="4"/>
        <v>TC-PSSAssociate Director</v>
      </c>
      <c r="L68" s="611">
        <v>206.66666666666666</v>
      </c>
      <c r="M68" s="611">
        <v>64.871794871794876</v>
      </c>
      <c r="N68" s="611" t="e">
        <v>#N/A</v>
      </c>
      <c r="O68" s="611" t="e">
        <v>#N/A</v>
      </c>
    </row>
    <row r="69" spans="2:15" ht="20.25" customHeight="1">
      <c r="B69" s="232"/>
      <c r="C69" s="519" t="s">
        <v>147</v>
      </c>
      <c r="D69" s="233" t="s">
        <v>525</v>
      </c>
      <c r="E69" s="233" t="str">
        <f t="shared" si="0"/>
        <v>India - TC-PSSSenior Manager</v>
      </c>
      <c r="F69" s="233" t="str">
        <f t="shared" si="1"/>
        <v>India - TC-PSSSR. MGR</v>
      </c>
      <c r="G69" s="233" t="s">
        <v>131</v>
      </c>
      <c r="H69" s="657" t="s">
        <v>486</v>
      </c>
      <c r="I69" s="656">
        <v>169.31677018633539</v>
      </c>
      <c r="J69" s="656">
        <v>39.006211180124225</v>
      </c>
      <c r="K69" s="409" t="str">
        <f t="shared" si="4"/>
        <v>TC-PSSSenior Manager</v>
      </c>
      <c r="L69" s="611">
        <v>174.74358974358975</v>
      </c>
      <c r="M69" s="611">
        <v>43.717948717948715</v>
      </c>
      <c r="N69" s="611" t="e">
        <v>#N/A</v>
      </c>
      <c r="O69" s="611" t="e">
        <v>#N/A</v>
      </c>
    </row>
    <row r="70" spans="2:15" ht="20.25" customHeight="1">
      <c r="B70" s="232"/>
      <c r="C70" s="519" t="s">
        <v>147</v>
      </c>
      <c r="D70" s="233" t="s">
        <v>525</v>
      </c>
      <c r="E70" s="233" t="str">
        <f t="shared" si="0"/>
        <v>India - TC-PSSManager</v>
      </c>
      <c r="F70" s="233" t="str">
        <f t="shared" si="1"/>
        <v>India - TC-PSSMGR</v>
      </c>
      <c r="G70" s="233" t="s">
        <v>132</v>
      </c>
      <c r="H70" s="657" t="s">
        <v>488</v>
      </c>
      <c r="I70" s="656">
        <v>114.65838509316769</v>
      </c>
      <c r="J70" s="656">
        <v>30.683229813664596</v>
      </c>
      <c r="K70" s="409" t="str">
        <f t="shared" si="4"/>
        <v>TC-PSSManager</v>
      </c>
      <c r="L70" s="611">
        <v>118.33333333333333</v>
      </c>
      <c r="M70" s="611">
        <v>29.615384615384617</v>
      </c>
      <c r="N70" s="611" t="e">
        <v>#N/A</v>
      </c>
      <c r="O70" s="611" t="e">
        <v>#N/A</v>
      </c>
    </row>
    <row r="71" spans="2:15" ht="20.25" customHeight="1">
      <c r="B71" s="232"/>
      <c r="C71" s="519" t="s">
        <v>147</v>
      </c>
      <c r="D71" s="233" t="s">
        <v>525</v>
      </c>
      <c r="E71" s="233" t="str">
        <f t="shared" si="0"/>
        <v>India - TC-PSSDeputy Manager</v>
      </c>
      <c r="F71" s="233" t="str">
        <f t="shared" si="1"/>
        <v>India - TC-PSSDM</v>
      </c>
      <c r="G71" s="233" t="s">
        <v>133</v>
      </c>
      <c r="H71" s="657" t="s">
        <v>490</v>
      </c>
      <c r="I71" s="656">
        <v>85.590062111801245</v>
      </c>
      <c r="J71" s="656">
        <v>20.372670807453417</v>
      </c>
      <c r="K71" s="409" t="str">
        <f t="shared" si="4"/>
        <v>TC-PSSDeputy Manager</v>
      </c>
      <c r="L71" s="611">
        <v>88.333333333333329</v>
      </c>
      <c r="M71" s="611">
        <v>19.03846153846154</v>
      </c>
      <c r="N71" s="611" t="e">
        <v>#N/A</v>
      </c>
      <c r="O71" s="611" t="e">
        <v>#N/A</v>
      </c>
    </row>
    <row r="72" spans="2:15" ht="20.25" customHeight="1">
      <c r="B72" s="232"/>
      <c r="C72" s="519" t="s">
        <v>147</v>
      </c>
      <c r="D72" s="233" t="s">
        <v>525</v>
      </c>
      <c r="E72" s="233" t="str">
        <f t="shared" si="0"/>
        <v>India - TC-PSSSenior Consultant</v>
      </c>
      <c r="F72" s="233" t="str">
        <f t="shared" si="1"/>
        <v>India - TC-PSSSR. CONS.</v>
      </c>
      <c r="G72" s="233" t="s">
        <v>134</v>
      </c>
      <c r="H72" s="657" t="s">
        <v>492</v>
      </c>
      <c r="I72" s="656">
        <v>57.391304347826086</v>
      </c>
      <c r="J72" s="656">
        <v>13.540372670807454</v>
      </c>
      <c r="K72" s="409" t="str">
        <f t="shared" si="4"/>
        <v>TC-PSSSenior Consultant</v>
      </c>
      <c r="L72" s="611">
        <v>59.230769230769234</v>
      </c>
      <c r="M72" s="611">
        <v>13.051282051282051</v>
      </c>
      <c r="N72" s="611" t="e">
        <v>#N/A</v>
      </c>
      <c r="O72" s="611" t="e">
        <v>#N/A</v>
      </c>
    </row>
    <row r="73" spans="2:15" ht="20.25" customHeight="1">
      <c r="B73" s="232"/>
      <c r="C73" s="519" t="s">
        <v>147</v>
      </c>
      <c r="D73" s="233" t="s">
        <v>525</v>
      </c>
      <c r="E73" s="233" t="str">
        <f t="shared" si="0"/>
        <v>India - TC-PSSConsultant 3</v>
      </c>
      <c r="F73" s="233" t="str">
        <f t="shared" si="1"/>
        <v>India - TC-PSSCon3</v>
      </c>
      <c r="G73" s="233" t="s">
        <v>669</v>
      </c>
      <c r="H73" s="657" t="s">
        <v>494</v>
      </c>
      <c r="I73" s="656">
        <v>44.968944099378881</v>
      </c>
      <c r="J73" s="656">
        <v>9.6894409937888195</v>
      </c>
      <c r="K73" s="409" t="str">
        <f t="shared" si="4"/>
        <v>TC-PSSConsultant 3</v>
      </c>
      <c r="L73" s="611">
        <v>46.410256410256409</v>
      </c>
      <c r="M73" s="611">
        <v>10.153846153846153</v>
      </c>
      <c r="N73" s="611" t="e">
        <v>#N/A</v>
      </c>
      <c r="O73" s="611" t="e">
        <v>#N/A</v>
      </c>
    </row>
    <row r="74" spans="2:15" ht="20.25" customHeight="1">
      <c r="B74" s="232"/>
      <c r="C74" s="519" t="s">
        <v>147</v>
      </c>
      <c r="D74" s="233" t="s">
        <v>525</v>
      </c>
      <c r="E74" s="233" t="str">
        <f t="shared" si="0"/>
        <v>India - TC-PSSConsultant 2</v>
      </c>
      <c r="F74" s="233" t="str">
        <f t="shared" si="1"/>
        <v>India - TC-PSSCon2</v>
      </c>
      <c r="G74" s="233" t="s">
        <v>670</v>
      </c>
      <c r="H74" s="657" t="s">
        <v>496</v>
      </c>
      <c r="I74" s="656">
        <v>42.360248447204967</v>
      </c>
      <c r="J74" s="656">
        <v>7.5776397515527947</v>
      </c>
      <c r="K74" s="409" t="str">
        <f t="shared" si="4"/>
        <v>TC-PSSConsultant 2</v>
      </c>
      <c r="L74" s="611">
        <v>43.717948717948715</v>
      </c>
      <c r="M74" s="611">
        <v>7.7564102564102564</v>
      </c>
      <c r="N74" s="611" t="e">
        <v>#N/A</v>
      </c>
      <c r="O74" s="611" t="e">
        <v>#N/A</v>
      </c>
    </row>
    <row r="75" spans="2:15" ht="20.25" customHeight="1">
      <c r="B75" s="232"/>
      <c r="C75" s="519" t="s">
        <v>147</v>
      </c>
      <c r="D75" s="233" t="s">
        <v>525</v>
      </c>
      <c r="E75" s="233" t="str">
        <f t="shared" si="0"/>
        <v>India - TC-PSSConsultant 1</v>
      </c>
      <c r="F75" s="233" t="str">
        <f t="shared" si="1"/>
        <v>India - TC-PSSCon1</v>
      </c>
      <c r="G75" s="233" t="s">
        <v>671</v>
      </c>
      <c r="H75" s="657" t="s">
        <v>498</v>
      </c>
      <c r="I75" s="656">
        <v>36.149068322981364</v>
      </c>
      <c r="J75" s="656">
        <v>4.8447204968944098</v>
      </c>
      <c r="K75" s="409" t="str">
        <f t="shared" si="4"/>
        <v>TC-PSSConsultant 1</v>
      </c>
      <c r="L75" s="611">
        <v>37.307692307692307</v>
      </c>
      <c r="M75" s="611">
        <v>5.9230769230769234</v>
      </c>
      <c r="N75" s="611" t="e">
        <v>#N/A</v>
      </c>
      <c r="O75" s="611" t="e">
        <v>#N/A</v>
      </c>
    </row>
    <row r="76" spans="2:15" ht="20.25" customHeight="1">
      <c r="B76" s="232"/>
      <c r="C76" s="519" t="s">
        <v>147</v>
      </c>
      <c r="D76" s="233" t="s">
        <v>525</v>
      </c>
      <c r="E76" s="233" t="str">
        <f t="shared" si="0"/>
        <v>India - TC-PSSAnalyst</v>
      </c>
      <c r="F76" s="233" t="str">
        <f t="shared" si="1"/>
        <v>India - TC-PSSANLST.</v>
      </c>
      <c r="G76" s="233" t="s">
        <v>138</v>
      </c>
      <c r="H76" s="657" t="s">
        <v>259</v>
      </c>
      <c r="I76" s="656">
        <v>20.248447204968944</v>
      </c>
      <c r="J76" s="656">
        <v>3.7267080745341614</v>
      </c>
      <c r="K76" s="409" t="str">
        <f t="shared" si="4"/>
        <v>TC-PSSAnalyst</v>
      </c>
      <c r="L76" s="611">
        <v>20.897435897435898</v>
      </c>
      <c r="M76" s="611">
        <v>3.5256410256410255</v>
      </c>
      <c r="N76" s="611" t="e">
        <v>#N/A</v>
      </c>
      <c r="O76" s="611" t="e">
        <v>#N/A</v>
      </c>
    </row>
    <row r="77" spans="2:15" ht="20.25" customHeight="1">
      <c r="B77" s="232"/>
      <c r="C77" s="519" t="s">
        <v>147</v>
      </c>
      <c r="D77" s="233" t="s">
        <v>148</v>
      </c>
      <c r="E77" s="233" t="str">
        <f t="shared" si="0"/>
        <v>India - R&amp;CManaging Director</v>
      </c>
      <c r="F77" s="233" t="str">
        <f t="shared" si="1"/>
        <v>India - R&amp;CMD</v>
      </c>
      <c r="G77" s="233" t="s">
        <v>127</v>
      </c>
      <c r="H77" s="520" t="s">
        <v>478</v>
      </c>
      <c r="I77" s="656">
        <v>373.04347826086956</v>
      </c>
      <c r="J77" s="235">
        <v>268.3229813664596</v>
      </c>
      <c r="K77" s="409" t="str">
        <f t="shared" si="4"/>
        <v>R&amp;CManaging Director</v>
      </c>
      <c r="L77" s="611">
        <v>385</v>
      </c>
      <c r="M77" s="611">
        <v>276.92307692307691</v>
      </c>
      <c r="N77" s="611">
        <v>373.04347826086956</v>
      </c>
      <c r="O77" s="611">
        <v>268.3229813664596</v>
      </c>
    </row>
    <row r="78" spans="2:15" ht="20.25" customHeight="1">
      <c r="B78" s="232"/>
      <c r="C78" s="519" t="s">
        <v>147</v>
      </c>
      <c r="D78" s="233" t="s">
        <v>148</v>
      </c>
      <c r="E78" s="233" t="str">
        <f t="shared" ref="E78" si="18">C78&amp;" - "&amp;D78&amp;H78</f>
        <v>India - R&amp;CSenior Director</v>
      </c>
      <c r="F78" s="233" t="str">
        <f t="shared" ref="F78" si="19">C78&amp;" - "&amp;D78&amp;G78</f>
        <v>India - R&amp;CSD</v>
      </c>
      <c r="G78" s="233" t="s">
        <v>128</v>
      </c>
      <c r="H78" s="520" t="s">
        <v>480</v>
      </c>
      <c r="I78" s="656">
        <v>310.55900621118013</v>
      </c>
      <c r="J78" s="235">
        <v>124.22360248447205</v>
      </c>
      <c r="K78" s="409" t="str">
        <f t="shared" ref="K78" si="20">D78&amp;H78</f>
        <v>R&amp;CSenior Director</v>
      </c>
      <c r="L78" s="611">
        <v>321.32051282051282</v>
      </c>
      <c r="M78" s="611">
        <v>230.76923076923077</v>
      </c>
      <c r="N78" s="611">
        <v>310.55900621118013</v>
      </c>
      <c r="O78" s="611">
        <v>124.22360248447205</v>
      </c>
    </row>
    <row r="79" spans="2:15" ht="20.25" customHeight="1">
      <c r="B79" s="232"/>
      <c r="C79" s="519" t="s">
        <v>147</v>
      </c>
      <c r="D79" s="233" t="s">
        <v>148</v>
      </c>
      <c r="E79" s="233" t="str">
        <f t="shared" si="0"/>
        <v>India - R&amp;CDirector</v>
      </c>
      <c r="F79" s="233" t="str">
        <f t="shared" si="1"/>
        <v>India - R&amp;CDIR</v>
      </c>
      <c r="G79" s="233" t="s">
        <v>129</v>
      </c>
      <c r="H79" s="657" t="s">
        <v>482</v>
      </c>
      <c r="I79" s="656">
        <v>274.28571428571428</v>
      </c>
      <c r="J79" s="656">
        <v>119.25465838509317</v>
      </c>
      <c r="K79" s="409" t="str">
        <f t="shared" si="4"/>
        <v>R&amp;CDirector</v>
      </c>
      <c r="L79" s="611">
        <v>283.07692307692309</v>
      </c>
      <c r="M79" s="611">
        <v>123.07692307692308</v>
      </c>
      <c r="N79" s="611">
        <v>274.28571428571428</v>
      </c>
      <c r="O79" s="611">
        <v>119.25465838509317</v>
      </c>
    </row>
    <row r="80" spans="2:15" ht="20.25" customHeight="1">
      <c r="B80" s="232"/>
      <c r="C80" s="519" t="s">
        <v>147</v>
      </c>
      <c r="D80" s="233" t="s">
        <v>148</v>
      </c>
      <c r="E80" s="233" t="str">
        <f t="shared" si="0"/>
        <v>India - R&amp;CAssociate Director</v>
      </c>
      <c r="F80" s="233" t="str">
        <f t="shared" si="1"/>
        <v>India - R&amp;CAD</v>
      </c>
      <c r="G80" s="233" t="s">
        <v>130</v>
      </c>
      <c r="H80" s="657" t="s">
        <v>484</v>
      </c>
      <c r="I80" s="656">
        <v>217.88819875776397</v>
      </c>
      <c r="J80" s="656">
        <v>68.571428571428569</v>
      </c>
      <c r="K80" s="409" t="str">
        <f t="shared" si="4"/>
        <v>R&amp;CAssociate Director</v>
      </c>
      <c r="L80" s="611">
        <v>224.87179487179486</v>
      </c>
      <c r="M80" s="611">
        <v>70.769230769230774</v>
      </c>
      <c r="N80" s="611">
        <v>217.88819875776397</v>
      </c>
      <c r="O80" s="611">
        <v>68.571428571428569</v>
      </c>
    </row>
    <row r="81" spans="2:18" ht="20.25" customHeight="1">
      <c r="B81" s="232"/>
      <c r="C81" s="519" t="s">
        <v>147</v>
      </c>
      <c r="D81" s="233" t="s">
        <v>148</v>
      </c>
      <c r="E81" s="233" t="str">
        <f t="shared" si="0"/>
        <v>India - R&amp;CSenior Manager</v>
      </c>
      <c r="F81" s="233" t="str">
        <f t="shared" si="1"/>
        <v>India - R&amp;CSR. MGR</v>
      </c>
      <c r="G81" s="233" t="s">
        <v>131</v>
      </c>
      <c r="H81" s="657" t="s">
        <v>486</v>
      </c>
      <c r="I81" s="656">
        <v>185.21739130434781</v>
      </c>
      <c r="J81" s="656">
        <v>46.211180124223603</v>
      </c>
      <c r="K81" s="409" t="str">
        <f t="shared" si="4"/>
        <v>R&amp;CSenior Manager</v>
      </c>
      <c r="L81" s="611">
        <v>191.15384615384616</v>
      </c>
      <c r="M81" s="611">
        <v>47.692307692307693</v>
      </c>
      <c r="N81" s="611">
        <v>185.21739130434781</v>
      </c>
      <c r="O81" s="611">
        <v>46.211180124223603</v>
      </c>
    </row>
    <row r="82" spans="2:18" ht="20.25" customHeight="1">
      <c r="B82" s="232"/>
      <c r="C82" s="519" t="s">
        <v>147</v>
      </c>
      <c r="D82" s="233" t="s">
        <v>148</v>
      </c>
      <c r="E82" s="233" t="str">
        <f t="shared" si="0"/>
        <v>India - R&amp;CManager</v>
      </c>
      <c r="F82" s="233" t="str">
        <f t="shared" si="1"/>
        <v>India - R&amp;CMGR</v>
      </c>
      <c r="G82" s="233" t="s">
        <v>132</v>
      </c>
      <c r="H82" s="657" t="s">
        <v>488</v>
      </c>
      <c r="I82" s="656">
        <v>125.21739130434783</v>
      </c>
      <c r="J82" s="656">
        <v>31.304347826086957</v>
      </c>
      <c r="K82" s="409" t="str">
        <f t="shared" si="4"/>
        <v>R&amp;CManager</v>
      </c>
      <c r="L82" s="611">
        <v>129.23076923076923</v>
      </c>
      <c r="M82" s="611">
        <v>32.307692307692307</v>
      </c>
      <c r="N82" s="611">
        <v>125.21739130434783</v>
      </c>
      <c r="O82" s="611">
        <v>31.304347826086957</v>
      </c>
    </row>
    <row r="83" spans="2:18" ht="20.25" customHeight="1">
      <c r="B83" s="232"/>
      <c r="C83" s="519" t="s">
        <v>147</v>
      </c>
      <c r="D83" s="233" t="s">
        <v>148</v>
      </c>
      <c r="E83" s="233" t="str">
        <f t="shared" si="0"/>
        <v>India - R&amp;CDeputy Manager</v>
      </c>
      <c r="F83" s="233" t="str">
        <f t="shared" si="1"/>
        <v>India - R&amp;CDM</v>
      </c>
      <c r="G83" s="233" t="s">
        <v>133</v>
      </c>
      <c r="H83" s="657" t="s">
        <v>490</v>
      </c>
      <c r="I83" s="656">
        <v>93.540372670807457</v>
      </c>
      <c r="J83" s="656">
        <v>20.124223602484474</v>
      </c>
      <c r="K83" s="409" t="str">
        <f t="shared" si="4"/>
        <v>R&amp;CDeputy Manager</v>
      </c>
      <c r="L83" s="611">
        <v>96.538461538461533</v>
      </c>
      <c r="M83" s="611">
        <v>20.76923076923077</v>
      </c>
      <c r="N83" s="611">
        <v>93.540372670807457</v>
      </c>
      <c r="O83" s="611">
        <v>20.124223602484474</v>
      </c>
    </row>
    <row r="84" spans="2:18" ht="20.25" customHeight="1">
      <c r="B84" s="232"/>
      <c r="C84" s="519" t="s">
        <v>147</v>
      </c>
      <c r="D84" s="233" t="s">
        <v>148</v>
      </c>
      <c r="E84" s="233" t="str">
        <f t="shared" si="0"/>
        <v>India - R&amp;CSenior Consultant</v>
      </c>
      <c r="F84" s="233" t="str">
        <f t="shared" si="1"/>
        <v>India - R&amp;CSR. CONS.</v>
      </c>
      <c r="G84" s="233" t="s">
        <v>134</v>
      </c>
      <c r="H84" s="657" t="s">
        <v>492</v>
      </c>
      <c r="I84" s="656">
        <v>62.608695652173914</v>
      </c>
      <c r="J84" s="656">
        <v>13.788819875776397</v>
      </c>
      <c r="K84" s="409" t="str">
        <f t="shared" si="4"/>
        <v>R&amp;CSenior Consultant</v>
      </c>
      <c r="L84" s="611">
        <v>64.615384615384613</v>
      </c>
      <c r="M84" s="611">
        <v>14.23076923076923</v>
      </c>
      <c r="N84" s="611">
        <v>62.608695652173914</v>
      </c>
      <c r="O84" s="611">
        <v>13.788819875776397</v>
      </c>
      <c r="P84" s="237"/>
      <c r="Q84" s="237"/>
    </row>
    <row r="85" spans="2:18" ht="20.25" customHeight="1">
      <c r="B85" s="232"/>
      <c r="C85" s="519" t="s">
        <v>147</v>
      </c>
      <c r="D85" s="233" t="s">
        <v>148</v>
      </c>
      <c r="E85" s="233" t="str">
        <f t="shared" si="0"/>
        <v>India - R&amp;CConsultant 3</v>
      </c>
      <c r="F85" s="233" t="str">
        <f t="shared" si="1"/>
        <v>India - R&amp;CCon3</v>
      </c>
      <c r="G85" s="233" t="s">
        <v>669</v>
      </c>
      <c r="H85" s="657" t="s">
        <v>494</v>
      </c>
      <c r="I85" s="656">
        <v>49.440993788819874</v>
      </c>
      <c r="J85" s="656">
        <v>10.732919254658386</v>
      </c>
      <c r="K85" s="409" t="str">
        <f t="shared" si="4"/>
        <v>R&amp;CConsultant 3</v>
      </c>
      <c r="L85" s="611">
        <v>51.025641025641029</v>
      </c>
      <c r="M85" s="611">
        <v>11.076923076923077</v>
      </c>
      <c r="N85" s="611">
        <v>49.440993788819874</v>
      </c>
      <c r="O85" s="611">
        <v>10.732919254658386</v>
      </c>
      <c r="P85" s="238"/>
      <c r="Q85" s="238"/>
      <c r="R85" s="236"/>
    </row>
    <row r="86" spans="2:18" ht="20.25" customHeight="1">
      <c r="B86" s="232"/>
      <c r="C86" s="519" t="s">
        <v>147</v>
      </c>
      <c r="D86" s="233" t="s">
        <v>148</v>
      </c>
      <c r="E86" s="233" t="str">
        <f t="shared" si="0"/>
        <v>India - R&amp;CConsultant 2</v>
      </c>
      <c r="F86" s="233" t="str">
        <f t="shared" si="1"/>
        <v>India - R&amp;CCon2</v>
      </c>
      <c r="G86" s="233" t="s">
        <v>670</v>
      </c>
      <c r="H86" s="657" t="s">
        <v>496</v>
      </c>
      <c r="I86" s="656">
        <v>45.838509316770185</v>
      </c>
      <c r="J86" s="656">
        <v>8.1987577639751557</v>
      </c>
      <c r="K86" s="409" t="str">
        <f t="shared" si="4"/>
        <v>R&amp;CConsultant 2</v>
      </c>
      <c r="L86" s="611">
        <v>47.307692307692307</v>
      </c>
      <c r="M86" s="611">
        <v>8.4615384615384617</v>
      </c>
      <c r="N86" s="611">
        <v>45.838509316770185</v>
      </c>
      <c r="O86" s="611">
        <v>8.1987577639751557</v>
      </c>
      <c r="P86" s="238"/>
      <c r="Q86" s="238"/>
    </row>
    <row r="87" spans="2:18" ht="20.25" customHeight="1">
      <c r="B87" s="232"/>
      <c r="C87" s="519" t="s">
        <v>147</v>
      </c>
      <c r="D87" s="233" t="s">
        <v>148</v>
      </c>
      <c r="E87" s="233" t="str">
        <f t="shared" si="0"/>
        <v>India - R&amp;CConsultant 1</v>
      </c>
      <c r="F87" s="233" t="str">
        <f t="shared" si="1"/>
        <v>India - R&amp;CCon1</v>
      </c>
      <c r="G87" s="233" t="s">
        <v>671</v>
      </c>
      <c r="H87" s="657" t="s">
        <v>498</v>
      </c>
      <c r="I87" s="656">
        <v>39.751552795031053</v>
      </c>
      <c r="J87" s="656">
        <v>6.2608695652173916</v>
      </c>
      <c r="K87" s="409" t="str">
        <f t="shared" si="4"/>
        <v>R&amp;CConsultant 1</v>
      </c>
      <c r="L87" s="611">
        <v>41.025641025641029</v>
      </c>
      <c r="M87" s="611">
        <v>6.4615384615384617</v>
      </c>
      <c r="N87" s="611">
        <v>39.751552795031053</v>
      </c>
      <c r="O87" s="611">
        <v>6.2608695652173916</v>
      </c>
      <c r="P87" s="238"/>
      <c r="Q87" s="238"/>
    </row>
    <row r="88" spans="2:18" ht="20.25" customHeight="1">
      <c r="B88" s="232"/>
      <c r="C88" s="519" t="s">
        <v>147</v>
      </c>
      <c r="D88" s="233" t="s">
        <v>148</v>
      </c>
      <c r="E88" s="233" t="str">
        <f t="shared" si="0"/>
        <v>India - R&amp;CAnalyst</v>
      </c>
      <c r="F88" s="233" t="str">
        <f t="shared" si="1"/>
        <v>India - R&amp;CANLST.</v>
      </c>
      <c r="G88" s="233" t="s">
        <v>138</v>
      </c>
      <c r="H88" s="657" t="s">
        <v>259</v>
      </c>
      <c r="I88" s="656">
        <v>20.248447204968944</v>
      </c>
      <c r="J88" s="656">
        <v>3.7267080745341614</v>
      </c>
      <c r="K88" s="409" t="str">
        <f t="shared" si="4"/>
        <v>R&amp;CAnalyst</v>
      </c>
      <c r="L88" s="611">
        <v>20.897435897435898</v>
      </c>
      <c r="M88" s="611">
        <v>3.8461538461538463</v>
      </c>
      <c r="N88" s="611">
        <v>20.248447204968944</v>
      </c>
      <c r="O88" s="611">
        <v>3.7267080745341614</v>
      </c>
      <c r="P88" s="238"/>
      <c r="Q88" s="238"/>
    </row>
    <row r="89" spans="2:18" ht="20.25" customHeight="1" outlineLevel="1">
      <c r="B89" s="232"/>
      <c r="C89" s="519" t="s">
        <v>147</v>
      </c>
      <c r="D89" s="233" t="s">
        <v>511</v>
      </c>
      <c r="E89" s="233" t="str">
        <f t="shared" si="0"/>
        <v>India - FRMManaging Director</v>
      </c>
      <c r="F89" s="233" t="str">
        <f t="shared" si="1"/>
        <v>India - FRMMD</v>
      </c>
      <c r="G89" s="233" t="s">
        <v>127</v>
      </c>
      <c r="H89" s="520" t="s">
        <v>478</v>
      </c>
      <c r="I89" s="656">
        <v>373.04347826086956</v>
      </c>
      <c r="J89" s="235">
        <v>268.3229813664596</v>
      </c>
      <c r="K89" s="409" t="str">
        <f t="shared" si="4"/>
        <v>FRMManaging Director</v>
      </c>
      <c r="L89" s="611">
        <v>385</v>
      </c>
      <c r="M89" s="611">
        <v>276.92307692307691</v>
      </c>
      <c r="N89" s="611">
        <v>373.04347826086956</v>
      </c>
      <c r="O89" s="611">
        <v>268.3229813664596</v>
      </c>
    </row>
    <row r="90" spans="2:18" ht="20.25" customHeight="1" outlineLevel="1">
      <c r="B90" s="232"/>
      <c r="C90" s="519" t="s">
        <v>147</v>
      </c>
      <c r="D90" s="233" t="s">
        <v>511</v>
      </c>
      <c r="E90" s="233" t="str">
        <f t="shared" ref="E90" si="21">C90&amp;" - "&amp;D90&amp;H90</f>
        <v>India - FRMSenior Director</v>
      </c>
      <c r="F90" s="233" t="str">
        <f t="shared" ref="F90" si="22">C90&amp;" - "&amp;D90&amp;G90</f>
        <v>India - FRMSD</v>
      </c>
      <c r="G90" s="233" t="s">
        <v>128</v>
      </c>
      <c r="H90" s="520" t="s">
        <v>480</v>
      </c>
      <c r="I90" s="656">
        <v>310.55900621118013</v>
      </c>
      <c r="J90" s="235">
        <v>186.33540372670808</v>
      </c>
      <c r="K90" s="409" t="str">
        <f t="shared" ref="K90" si="23">D90&amp;H90</f>
        <v>FRMSenior Director</v>
      </c>
      <c r="L90" s="611">
        <v>321.32051282051282</v>
      </c>
      <c r="M90" s="611">
        <v>230.76923076923077</v>
      </c>
      <c r="N90" s="611">
        <v>310.55900621118013</v>
      </c>
      <c r="O90" s="611">
        <v>186.33540372670808</v>
      </c>
    </row>
    <row r="91" spans="2:18" ht="20.25" customHeight="1" outlineLevel="1">
      <c r="B91" s="232"/>
      <c r="C91" s="519" t="s">
        <v>147</v>
      </c>
      <c r="D91" s="233" t="s">
        <v>511</v>
      </c>
      <c r="E91" s="233" t="str">
        <f t="shared" si="0"/>
        <v>India - FRMDirector</v>
      </c>
      <c r="F91" s="233" t="str">
        <f t="shared" si="1"/>
        <v>India - FRMDIR</v>
      </c>
      <c r="G91" s="233" t="s">
        <v>129</v>
      </c>
      <c r="H91" s="657" t="s">
        <v>482</v>
      </c>
      <c r="I91" s="656">
        <v>274.28571428571428</v>
      </c>
      <c r="J91" s="656">
        <v>119.25465838509317</v>
      </c>
      <c r="K91" s="409" t="str">
        <f t="shared" si="4"/>
        <v>FRMDirector</v>
      </c>
      <c r="L91" s="611">
        <v>283.07692307692309</v>
      </c>
      <c r="M91" s="611">
        <v>123.07692307692308</v>
      </c>
      <c r="N91" s="611">
        <v>274.28571428571428</v>
      </c>
      <c r="O91" s="611">
        <v>119.25465838509317</v>
      </c>
    </row>
    <row r="92" spans="2:18" ht="20.25" customHeight="1" outlineLevel="1">
      <c r="B92" s="232"/>
      <c r="C92" s="519" t="s">
        <v>147</v>
      </c>
      <c r="D92" s="233" t="s">
        <v>511</v>
      </c>
      <c r="E92" s="233" t="str">
        <f t="shared" si="0"/>
        <v>India - FRMAssociate Director</v>
      </c>
      <c r="F92" s="233" t="str">
        <f t="shared" si="1"/>
        <v>India - FRMAD</v>
      </c>
      <c r="G92" s="233" t="s">
        <v>130</v>
      </c>
      <c r="H92" s="657" t="s">
        <v>484</v>
      </c>
      <c r="I92" s="656">
        <v>217.88819875776397</v>
      </c>
      <c r="J92" s="656">
        <v>68.571428571428569</v>
      </c>
      <c r="K92" s="409" t="str">
        <f t="shared" si="4"/>
        <v>FRMAssociate Director</v>
      </c>
      <c r="L92" s="611">
        <v>224.87179487179486</v>
      </c>
      <c r="M92" s="611">
        <v>70.769230769230774</v>
      </c>
      <c r="N92" s="611">
        <v>217.88819875776397</v>
      </c>
      <c r="O92" s="611">
        <v>68.571428571428569</v>
      </c>
    </row>
    <row r="93" spans="2:18" ht="20.25" customHeight="1" outlineLevel="1">
      <c r="B93" s="232"/>
      <c r="C93" s="519" t="s">
        <v>147</v>
      </c>
      <c r="D93" s="233" t="s">
        <v>511</v>
      </c>
      <c r="E93" s="233" t="str">
        <f t="shared" si="0"/>
        <v>India - FRMSenior Manager</v>
      </c>
      <c r="F93" s="233" t="str">
        <f t="shared" si="1"/>
        <v>India - FRMSR. MGR</v>
      </c>
      <c r="G93" s="233" t="s">
        <v>131</v>
      </c>
      <c r="H93" s="657" t="s">
        <v>486</v>
      </c>
      <c r="I93" s="656">
        <v>185.21739130434781</v>
      </c>
      <c r="J93" s="656">
        <v>46.211180124223603</v>
      </c>
      <c r="K93" s="409" t="str">
        <f t="shared" si="4"/>
        <v>FRMSenior Manager</v>
      </c>
      <c r="L93" s="611">
        <v>191.15384615384616</v>
      </c>
      <c r="M93" s="611">
        <v>47.692307692307693</v>
      </c>
      <c r="N93" s="611">
        <v>185.21739130434781</v>
      </c>
      <c r="O93" s="611">
        <v>46.211180124223603</v>
      </c>
    </row>
    <row r="94" spans="2:18" ht="20.25" customHeight="1" outlineLevel="1">
      <c r="B94" s="232"/>
      <c r="C94" s="519" t="s">
        <v>147</v>
      </c>
      <c r="D94" s="233" t="s">
        <v>511</v>
      </c>
      <c r="E94" s="233" t="str">
        <f t="shared" si="0"/>
        <v>India - FRMManager</v>
      </c>
      <c r="F94" s="233" t="str">
        <f t="shared" si="1"/>
        <v>India - FRMMGR</v>
      </c>
      <c r="G94" s="233" t="s">
        <v>132</v>
      </c>
      <c r="H94" s="657" t="s">
        <v>488</v>
      </c>
      <c r="I94" s="656">
        <v>125.21739130434783</v>
      </c>
      <c r="J94" s="656">
        <v>31.304347826086957</v>
      </c>
      <c r="K94" s="409" t="str">
        <f t="shared" si="4"/>
        <v>FRMManager</v>
      </c>
      <c r="L94" s="611">
        <v>129.23076923076923</v>
      </c>
      <c r="M94" s="611">
        <v>32.307692307692307</v>
      </c>
      <c r="N94" s="611">
        <v>125.21739130434783</v>
      </c>
      <c r="O94" s="611">
        <v>31.304347826086957</v>
      </c>
    </row>
    <row r="95" spans="2:18" ht="20.25" customHeight="1" outlineLevel="1">
      <c r="B95" s="232"/>
      <c r="C95" s="519" t="s">
        <v>147</v>
      </c>
      <c r="D95" s="233" t="s">
        <v>511</v>
      </c>
      <c r="E95" s="233" t="str">
        <f t="shared" si="0"/>
        <v>India - FRMDeputy Manager</v>
      </c>
      <c r="F95" s="233" t="str">
        <f t="shared" si="1"/>
        <v>India - FRMDM</v>
      </c>
      <c r="G95" s="233" t="s">
        <v>133</v>
      </c>
      <c r="H95" s="657" t="s">
        <v>490</v>
      </c>
      <c r="I95" s="656">
        <v>93.540372670807457</v>
      </c>
      <c r="J95" s="656">
        <v>20.124223602484474</v>
      </c>
      <c r="K95" s="409" t="str">
        <f t="shared" si="4"/>
        <v>FRMDeputy Manager</v>
      </c>
      <c r="L95" s="611">
        <v>96.538461538461533</v>
      </c>
      <c r="M95" s="611">
        <v>20.76923076923077</v>
      </c>
      <c r="N95" s="611">
        <v>93.540372670807457</v>
      </c>
      <c r="O95" s="611">
        <v>20.124223602484474</v>
      </c>
    </row>
    <row r="96" spans="2:18" ht="20.25" customHeight="1" outlineLevel="1">
      <c r="B96" s="232"/>
      <c r="C96" s="519" t="s">
        <v>147</v>
      </c>
      <c r="D96" s="233" t="s">
        <v>511</v>
      </c>
      <c r="E96" s="233" t="str">
        <f t="shared" si="0"/>
        <v>India - FRMSenior Consultant</v>
      </c>
      <c r="F96" s="233" t="str">
        <f t="shared" si="1"/>
        <v>India - FRMSR. CONS.</v>
      </c>
      <c r="G96" s="233" t="s">
        <v>134</v>
      </c>
      <c r="H96" s="657" t="s">
        <v>492</v>
      </c>
      <c r="I96" s="656">
        <v>62.608695652173914</v>
      </c>
      <c r="J96" s="656">
        <v>13.788819875776397</v>
      </c>
      <c r="K96" s="409" t="str">
        <f t="shared" si="4"/>
        <v>FRMSenior Consultant</v>
      </c>
      <c r="L96" s="611">
        <v>64.615384615384613</v>
      </c>
      <c r="M96" s="611">
        <v>14.23076923076923</v>
      </c>
      <c r="N96" s="611">
        <v>62.608695652173914</v>
      </c>
      <c r="O96" s="611">
        <v>13.788819875776397</v>
      </c>
    </row>
    <row r="97" spans="2:15" ht="20.25" customHeight="1" outlineLevel="1">
      <c r="B97" s="232"/>
      <c r="C97" s="519" t="s">
        <v>147</v>
      </c>
      <c r="D97" s="233" t="s">
        <v>511</v>
      </c>
      <c r="E97" s="233" t="str">
        <f t="shared" si="0"/>
        <v>India - FRMConsultant 3</v>
      </c>
      <c r="F97" s="233" t="str">
        <f t="shared" si="1"/>
        <v>India - FRMCon3</v>
      </c>
      <c r="G97" s="233" t="s">
        <v>669</v>
      </c>
      <c r="H97" s="657" t="s">
        <v>494</v>
      </c>
      <c r="I97" s="656">
        <v>49.440993788819874</v>
      </c>
      <c r="J97" s="656">
        <v>10.732919254658386</v>
      </c>
      <c r="K97" s="409" t="str">
        <f t="shared" si="4"/>
        <v>FRMConsultant 3</v>
      </c>
      <c r="L97" s="611">
        <v>51.025641025641029</v>
      </c>
      <c r="M97" s="611">
        <v>11.076923076923077</v>
      </c>
      <c r="N97" s="611">
        <v>49.440993788819874</v>
      </c>
      <c r="O97" s="611">
        <v>10.732919254658386</v>
      </c>
    </row>
    <row r="98" spans="2:15" ht="20.25" customHeight="1" outlineLevel="1">
      <c r="B98" s="232"/>
      <c r="C98" s="519" t="s">
        <v>147</v>
      </c>
      <c r="D98" s="233" t="s">
        <v>511</v>
      </c>
      <c r="E98" s="233" t="str">
        <f t="shared" si="0"/>
        <v>India - FRMConsultant 2</v>
      </c>
      <c r="F98" s="233" t="str">
        <f t="shared" si="1"/>
        <v>India - FRMCon2</v>
      </c>
      <c r="G98" s="233" t="s">
        <v>670</v>
      </c>
      <c r="H98" s="657" t="s">
        <v>496</v>
      </c>
      <c r="I98" s="656">
        <v>45.838509316770185</v>
      </c>
      <c r="J98" s="656">
        <v>8.1987577639751557</v>
      </c>
      <c r="K98" s="409" t="str">
        <f t="shared" si="4"/>
        <v>FRMConsultant 2</v>
      </c>
      <c r="L98" s="611">
        <v>47.307692307692307</v>
      </c>
      <c r="M98" s="611">
        <v>8.4615384615384617</v>
      </c>
      <c r="N98" s="611">
        <v>45.838509316770185</v>
      </c>
      <c r="O98" s="611">
        <v>8.1987577639751557</v>
      </c>
    </row>
    <row r="99" spans="2:15" ht="20.25" customHeight="1" outlineLevel="1">
      <c r="B99" s="232"/>
      <c r="C99" s="519" t="s">
        <v>147</v>
      </c>
      <c r="D99" s="233" t="s">
        <v>511</v>
      </c>
      <c r="E99" s="233" t="str">
        <f t="shared" ref="E99:E112" si="24">C99&amp;" - "&amp;D99&amp;H99</f>
        <v>India - FRMConsultant 1</v>
      </c>
      <c r="F99" s="233" t="str">
        <f t="shared" ref="F99:F112" si="25">C99&amp;" - "&amp;D99&amp;G99</f>
        <v>India - FRMCon1</v>
      </c>
      <c r="G99" s="233" t="s">
        <v>671</v>
      </c>
      <c r="H99" s="657" t="s">
        <v>498</v>
      </c>
      <c r="I99" s="656">
        <v>39.751552795031053</v>
      </c>
      <c r="J99" s="656">
        <v>6.2608695652173916</v>
      </c>
      <c r="K99" s="409" t="str">
        <f t="shared" si="4"/>
        <v>FRMConsultant 1</v>
      </c>
      <c r="L99" s="611">
        <v>41.025641025641029</v>
      </c>
      <c r="M99" s="611">
        <v>6.4615384615384617</v>
      </c>
      <c r="N99" s="611">
        <v>39.751552795031053</v>
      </c>
      <c r="O99" s="611">
        <v>6.2608695652173916</v>
      </c>
    </row>
    <row r="100" spans="2:15" ht="20.25" customHeight="1" outlineLevel="1">
      <c r="B100" s="232"/>
      <c r="C100" s="519" t="s">
        <v>147</v>
      </c>
      <c r="D100" s="233" t="s">
        <v>511</v>
      </c>
      <c r="E100" s="233" t="str">
        <f t="shared" si="24"/>
        <v>India - FRMAnalyst</v>
      </c>
      <c r="F100" s="233" t="str">
        <f t="shared" si="25"/>
        <v>India - FRMANLST.</v>
      </c>
      <c r="G100" s="233" t="s">
        <v>138</v>
      </c>
      <c r="H100" s="657" t="s">
        <v>259</v>
      </c>
      <c r="I100" s="656">
        <v>20.248447204968944</v>
      </c>
      <c r="J100" s="656">
        <v>3.7267080745341614</v>
      </c>
      <c r="K100" s="409" t="str">
        <f t="shared" ref="K100:K136" si="26">D100&amp;H100</f>
        <v>FRMAnalyst</v>
      </c>
      <c r="L100" s="611">
        <v>20.897435897435898</v>
      </c>
      <c r="M100" s="611">
        <v>3.8461538461538463</v>
      </c>
      <c r="N100" s="611">
        <v>20.248447204968944</v>
      </c>
      <c r="O100" s="611">
        <v>3.7267080745341614</v>
      </c>
    </row>
    <row r="101" spans="2:15" ht="20.25" customHeight="1" outlineLevel="1">
      <c r="B101" s="232"/>
      <c r="C101" s="519" t="s">
        <v>147</v>
      </c>
      <c r="D101" s="233" t="s">
        <v>504</v>
      </c>
      <c r="E101" s="233" t="str">
        <f t="shared" si="24"/>
        <v>India - AAS/TASManaging Director</v>
      </c>
      <c r="F101" s="233" t="str">
        <f t="shared" si="25"/>
        <v>India - AAS/TASMD</v>
      </c>
      <c r="G101" s="233" t="s">
        <v>127</v>
      </c>
      <c r="H101" s="520" t="s">
        <v>478</v>
      </c>
      <c r="I101" s="656">
        <v>373.04347826086956</v>
      </c>
      <c r="J101" s="235">
        <v>268.3229813664596</v>
      </c>
      <c r="K101" s="409" t="str">
        <f t="shared" si="26"/>
        <v>AAS/TASManaging Director</v>
      </c>
      <c r="L101" s="611">
        <v>385</v>
      </c>
      <c r="M101" s="611">
        <v>276.92307692307691</v>
      </c>
      <c r="N101" s="611">
        <v>373.04347826086956</v>
      </c>
      <c r="O101" s="611">
        <v>268.3229813664596</v>
      </c>
    </row>
    <row r="102" spans="2:15" ht="20.25" customHeight="1" outlineLevel="1">
      <c r="B102" s="232"/>
      <c r="C102" s="519" t="s">
        <v>147</v>
      </c>
      <c r="D102" s="233" t="s">
        <v>504</v>
      </c>
      <c r="E102" s="233" t="str">
        <f t="shared" ref="E102" si="27">C102&amp;" - "&amp;D102&amp;H102</f>
        <v>India - AAS/TASSenior Director</v>
      </c>
      <c r="F102" s="233" t="str">
        <f t="shared" ref="F102" si="28">C102&amp;" - "&amp;D102&amp;G102</f>
        <v>India - AAS/TASSD</v>
      </c>
      <c r="G102" s="233" t="s">
        <v>128</v>
      </c>
      <c r="H102" s="520" t="s">
        <v>480</v>
      </c>
      <c r="I102" s="656">
        <v>310.55900621118013</v>
      </c>
      <c r="J102" s="235">
        <v>186.33540372670808</v>
      </c>
      <c r="K102" s="409" t="str">
        <f t="shared" si="26"/>
        <v>AAS/TASSenior Director</v>
      </c>
      <c r="L102" s="611">
        <v>321.32051282051282</v>
      </c>
      <c r="M102" s="611">
        <v>230.76923076923077</v>
      </c>
      <c r="N102" s="611">
        <v>310.55900621118013</v>
      </c>
      <c r="O102" s="611">
        <v>186.33540372670808</v>
      </c>
    </row>
    <row r="103" spans="2:15" ht="20.25" customHeight="1" outlineLevel="1">
      <c r="B103" s="232"/>
      <c r="C103" s="519" t="s">
        <v>147</v>
      </c>
      <c r="D103" s="233" t="s">
        <v>504</v>
      </c>
      <c r="E103" s="233" t="str">
        <f t="shared" si="24"/>
        <v>India - AAS/TASDirector</v>
      </c>
      <c r="F103" s="233" t="str">
        <f t="shared" si="25"/>
        <v>India - AAS/TASDIR</v>
      </c>
      <c r="G103" s="233" t="s">
        <v>129</v>
      </c>
      <c r="H103" s="657" t="s">
        <v>482</v>
      </c>
      <c r="I103" s="656">
        <v>274.28571428571428</v>
      </c>
      <c r="J103" s="656">
        <v>119.25465838509317</v>
      </c>
      <c r="K103" s="409" t="str">
        <f t="shared" si="26"/>
        <v>AAS/TASDirector</v>
      </c>
      <c r="L103" s="611">
        <v>283.07692307692309</v>
      </c>
      <c r="M103" s="611">
        <v>123.07692307692308</v>
      </c>
      <c r="N103" s="611">
        <v>274.28571428571428</v>
      </c>
      <c r="O103" s="611">
        <v>119.25465838509317</v>
      </c>
    </row>
    <row r="104" spans="2:15" ht="20.25" customHeight="1" outlineLevel="1">
      <c r="B104" s="232"/>
      <c r="C104" s="519" t="s">
        <v>147</v>
      </c>
      <c r="D104" s="233" t="s">
        <v>504</v>
      </c>
      <c r="E104" s="233" t="str">
        <f t="shared" si="24"/>
        <v>India - AAS/TASAssociate Director</v>
      </c>
      <c r="F104" s="233" t="str">
        <f t="shared" si="25"/>
        <v>India - AAS/TASAD</v>
      </c>
      <c r="G104" s="233" t="s">
        <v>130</v>
      </c>
      <c r="H104" s="657" t="s">
        <v>484</v>
      </c>
      <c r="I104" s="656">
        <v>217.88819875776397</v>
      </c>
      <c r="J104" s="656">
        <v>68.571428571428569</v>
      </c>
      <c r="K104" s="409" t="str">
        <f t="shared" si="26"/>
        <v>AAS/TASAssociate Director</v>
      </c>
      <c r="L104" s="611">
        <v>224.87179487179486</v>
      </c>
      <c r="M104" s="611">
        <v>70.769230769230774</v>
      </c>
      <c r="N104" s="611">
        <v>217.88819875776397</v>
      </c>
      <c r="O104" s="611">
        <v>68.571428571428569</v>
      </c>
    </row>
    <row r="105" spans="2:15" ht="20.25" customHeight="1" outlineLevel="1">
      <c r="B105" s="232"/>
      <c r="C105" s="519" t="s">
        <v>147</v>
      </c>
      <c r="D105" s="233" t="s">
        <v>504</v>
      </c>
      <c r="E105" s="233" t="str">
        <f t="shared" si="24"/>
        <v>India - AAS/TASSenior Manager</v>
      </c>
      <c r="F105" s="233" t="str">
        <f t="shared" si="25"/>
        <v>India - AAS/TASSR. MGR</v>
      </c>
      <c r="G105" s="233" t="s">
        <v>131</v>
      </c>
      <c r="H105" s="657" t="s">
        <v>486</v>
      </c>
      <c r="I105" s="656">
        <v>185.21739130434781</v>
      </c>
      <c r="J105" s="656">
        <v>46.211180124223603</v>
      </c>
      <c r="K105" s="409" t="str">
        <f t="shared" si="26"/>
        <v>AAS/TASSenior Manager</v>
      </c>
      <c r="L105" s="611">
        <v>191.15384615384616</v>
      </c>
      <c r="M105" s="611">
        <v>47.692307692307693</v>
      </c>
      <c r="N105" s="611">
        <v>185.21739130434781</v>
      </c>
      <c r="O105" s="611">
        <v>46.211180124223603</v>
      </c>
    </row>
    <row r="106" spans="2:15" ht="20.25" customHeight="1" outlineLevel="1">
      <c r="B106" s="232"/>
      <c r="C106" s="519" t="s">
        <v>147</v>
      </c>
      <c r="D106" s="233" t="s">
        <v>504</v>
      </c>
      <c r="E106" s="233" t="str">
        <f t="shared" si="24"/>
        <v>India - AAS/TASManager</v>
      </c>
      <c r="F106" s="233" t="str">
        <f t="shared" si="25"/>
        <v>India - AAS/TASMGR</v>
      </c>
      <c r="G106" s="233" t="s">
        <v>132</v>
      </c>
      <c r="H106" s="657" t="s">
        <v>488</v>
      </c>
      <c r="I106" s="656">
        <v>125.21739130434783</v>
      </c>
      <c r="J106" s="656">
        <v>31.304347826086957</v>
      </c>
      <c r="K106" s="409" t="str">
        <f t="shared" si="26"/>
        <v>AAS/TASManager</v>
      </c>
      <c r="L106" s="611">
        <v>129.23076923076923</v>
      </c>
      <c r="M106" s="611">
        <v>32.307692307692307</v>
      </c>
      <c r="N106" s="611">
        <v>125.21739130434783</v>
      </c>
      <c r="O106" s="611">
        <v>31.304347826086957</v>
      </c>
    </row>
    <row r="107" spans="2:15" ht="20.25" customHeight="1" outlineLevel="1">
      <c r="B107" s="232"/>
      <c r="C107" s="519" t="s">
        <v>147</v>
      </c>
      <c r="D107" s="233" t="s">
        <v>504</v>
      </c>
      <c r="E107" s="233" t="str">
        <f t="shared" si="24"/>
        <v>India - AAS/TASDeputy Manager</v>
      </c>
      <c r="F107" s="233" t="str">
        <f t="shared" si="25"/>
        <v>India - AAS/TASDM</v>
      </c>
      <c r="G107" s="233" t="s">
        <v>133</v>
      </c>
      <c r="H107" s="657" t="s">
        <v>490</v>
      </c>
      <c r="I107" s="656">
        <v>93.540372670807457</v>
      </c>
      <c r="J107" s="656">
        <v>20.124223602484474</v>
      </c>
      <c r="K107" s="409" t="str">
        <f t="shared" si="26"/>
        <v>AAS/TASDeputy Manager</v>
      </c>
      <c r="L107" s="611">
        <v>96.538461538461533</v>
      </c>
      <c r="M107" s="611">
        <v>20.76923076923077</v>
      </c>
      <c r="N107" s="611">
        <v>93.540372670807457</v>
      </c>
      <c r="O107" s="611">
        <v>20.124223602484474</v>
      </c>
    </row>
    <row r="108" spans="2:15" ht="20.25" customHeight="1" outlineLevel="1">
      <c r="B108" s="232"/>
      <c r="C108" s="519" t="s">
        <v>147</v>
      </c>
      <c r="D108" s="233" t="s">
        <v>504</v>
      </c>
      <c r="E108" s="233" t="str">
        <f t="shared" si="24"/>
        <v>India - AAS/TASSenior Consultant</v>
      </c>
      <c r="F108" s="233" t="str">
        <f t="shared" si="25"/>
        <v>India - AAS/TASSR. CONS.</v>
      </c>
      <c r="G108" s="233" t="s">
        <v>134</v>
      </c>
      <c r="H108" s="657" t="s">
        <v>492</v>
      </c>
      <c r="I108" s="656">
        <v>62.608695652173914</v>
      </c>
      <c r="J108" s="656">
        <v>13.788819875776397</v>
      </c>
      <c r="K108" s="409" t="str">
        <f t="shared" si="26"/>
        <v>AAS/TASSenior Consultant</v>
      </c>
      <c r="L108" s="611">
        <v>64.615384615384613</v>
      </c>
      <c r="M108" s="611">
        <v>14.23076923076923</v>
      </c>
      <c r="N108" s="611">
        <v>62.608695652173914</v>
      </c>
      <c r="O108" s="611">
        <v>13.788819875776397</v>
      </c>
    </row>
    <row r="109" spans="2:15" ht="20.25" customHeight="1" outlineLevel="1">
      <c r="B109" s="232"/>
      <c r="C109" s="519" t="s">
        <v>147</v>
      </c>
      <c r="D109" s="233" t="s">
        <v>504</v>
      </c>
      <c r="E109" s="233" t="str">
        <f t="shared" si="24"/>
        <v>India - AAS/TASConsultant 3</v>
      </c>
      <c r="F109" s="233" t="str">
        <f t="shared" si="25"/>
        <v>India - AAS/TASCon3</v>
      </c>
      <c r="G109" s="233" t="s">
        <v>669</v>
      </c>
      <c r="H109" s="657" t="s">
        <v>494</v>
      </c>
      <c r="I109" s="656">
        <v>49.440993788819874</v>
      </c>
      <c r="J109" s="656">
        <v>10.732919254658386</v>
      </c>
      <c r="K109" s="409" t="str">
        <f t="shared" si="26"/>
        <v>AAS/TASConsultant 3</v>
      </c>
      <c r="L109" s="611">
        <v>51.025641025641029</v>
      </c>
      <c r="M109" s="611">
        <v>11.076923076923077</v>
      </c>
      <c r="N109" s="611">
        <v>49.440993788819874</v>
      </c>
      <c r="O109" s="611">
        <v>10.732919254658386</v>
      </c>
    </row>
    <row r="110" spans="2:15" ht="20.25" customHeight="1" outlineLevel="1">
      <c r="B110" s="232"/>
      <c r="C110" s="519" t="s">
        <v>147</v>
      </c>
      <c r="D110" s="233" t="s">
        <v>504</v>
      </c>
      <c r="E110" s="233" t="str">
        <f t="shared" si="24"/>
        <v>India - AAS/TASConsultant 2</v>
      </c>
      <c r="F110" s="233" t="str">
        <f t="shared" si="25"/>
        <v>India - AAS/TASCon2</v>
      </c>
      <c r="G110" s="233" t="s">
        <v>670</v>
      </c>
      <c r="H110" s="657" t="s">
        <v>496</v>
      </c>
      <c r="I110" s="656">
        <v>45.838509316770185</v>
      </c>
      <c r="J110" s="656">
        <v>8.1987577639751557</v>
      </c>
      <c r="K110" s="409" t="str">
        <f t="shared" si="26"/>
        <v>AAS/TASConsultant 2</v>
      </c>
      <c r="L110" s="611">
        <v>47.307692307692307</v>
      </c>
      <c r="M110" s="611">
        <v>8.4615384615384617</v>
      </c>
      <c r="N110" s="611">
        <v>45.838509316770185</v>
      </c>
      <c r="O110" s="611">
        <v>8.1987577639751557</v>
      </c>
    </row>
    <row r="111" spans="2:15" ht="20.25" customHeight="1" outlineLevel="1">
      <c r="B111" s="232"/>
      <c r="C111" s="519" t="s">
        <v>147</v>
      </c>
      <c r="D111" s="233" t="s">
        <v>504</v>
      </c>
      <c r="E111" s="233" t="str">
        <f t="shared" si="24"/>
        <v>India - AAS/TASConsultant 1</v>
      </c>
      <c r="F111" s="233" t="str">
        <f t="shared" si="25"/>
        <v>India - AAS/TASCon1</v>
      </c>
      <c r="G111" s="233" t="s">
        <v>671</v>
      </c>
      <c r="H111" s="657" t="s">
        <v>498</v>
      </c>
      <c r="I111" s="656">
        <v>39.751552795031053</v>
      </c>
      <c r="J111" s="656">
        <v>6.2608695652173916</v>
      </c>
      <c r="K111" s="409" t="str">
        <f t="shared" si="26"/>
        <v>AAS/TASConsultant 1</v>
      </c>
      <c r="L111" s="611">
        <v>41.025641025641029</v>
      </c>
      <c r="M111" s="611">
        <v>6.4615384615384617</v>
      </c>
      <c r="N111" s="611">
        <v>39.751552795031053</v>
      </c>
      <c r="O111" s="611">
        <v>6.2608695652173916</v>
      </c>
    </row>
    <row r="112" spans="2:15" ht="20.25" customHeight="1" outlineLevel="1">
      <c r="B112" s="232"/>
      <c r="C112" s="519" t="s">
        <v>147</v>
      </c>
      <c r="D112" s="233" t="s">
        <v>504</v>
      </c>
      <c r="E112" s="233" t="str">
        <f t="shared" si="24"/>
        <v>India - AAS/TASAnalyst</v>
      </c>
      <c r="F112" s="233" t="str">
        <f t="shared" si="25"/>
        <v>India - AAS/TASANLST.</v>
      </c>
      <c r="G112" s="233" t="s">
        <v>138</v>
      </c>
      <c r="H112" s="657" t="s">
        <v>259</v>
      </c>
      <c r="I112" s="656">
        <v>20.248447204968944</v>
      </c>
      <c r="J112" s="656">
        <v>3.7267080745341614</v>
      </c>
      <c r="K112" s="409" t="str">
        <f t="shared" si="26"/>
        <v>AAS/TASAnalyst</v>
      </c>
      <c r="L112" s="611">
        <v>20.897435897435898</v>
      </c>
      <c r="M112" s="611">
        <v>3.8461538461538463</v>
      </c>
      <c r="N112" s="611">
        <v>20.248447204968944</v>
      </c>
      <c r="O112" s="611">
        <v>3.7267080745341614</v>
      </c>
    </row>
    <row r="113" spans="2:17" ht="20.25" customHeight="1" outlineLevel="1">
      <c r="B113" s="232"/>
      <c r="C113" s="519" t="s">
        <v>147</v>
      </c>
      <c r="D113" s="658" t="s">
        <v>419</v>
      </c>
      <c r="E113" s="233" t="str">
        <f t="shared" ref="E113:E124" si="29">C113&amp;" - "&amp;D113&amp;H113</f>
        <v>India - MBSManaging Director</v>
      </c>
      <c r="F113" s="233" t="str">
        <f t="shared" ref="F113:F124" si="30">C113&amp;" - "&amp;D113&amp;G113</f>
        <v>India - MBSMD</v>
      </c>
      <c r="G113" s="233" t="s">
        <v>127</v>
      </c>
      <c r="H113" s="520" t="s">
        <v>478</v>
      </c>
      <c r="I113" s="656">
        <v>310.55900621118013</v>
      </c>
      <c r="J113" s="235">
        <v>234.78260869565219</v>
      </c>
      <c r="K113" s="409" t="str">
        <f t="shared" si="26"/>
        <v>MBSManaging Director</v>
      </c>
      <c r="L113" s="611">
        <v>320.5128205128205</v>
      </c>
      <c r="M113" s="611">
        <v>230.76923076923077</v>
      </c>
      <c r="N113" s="611">
        <v>310.55900621118013</v>
      </c>
      <c r="O113" s="611">
        <v>234.78260869565219</v>
      </c>
      <c r="P113" s="618">
        <f>O113/80.5</f>
        <v>2.9165541452876047</v>
      </c>
      <c r="Q113" s="618">
        <f>I113*78/80.5</f>
        <v>300.91431657729254</v>
      </c>
    </row>
    <row r="114" spans="2:17" ht="20.25" customHeight="1" outlineLevel="1">
      <c r="B114" s="232"/>
      <c r="C114" s="519" t="s">
        <v>147</v>
      </c>
      <c r="D114" s="658" t="s">
        <v>419</v>
      </c>
      <c r="E114" s="233" t="str">
        <f t="shared" ref="E114" si="31">C114&amp;" - "&amp;D114&amp;H114</f>
        <v>India - MBSSenior Director</v>
      </c>
      <c r="F114" s="233" t="str">
        <f t="shared" ref="F114" si="32">C114&amp;" - "&amp;D114&amp;G114</f>
        <v>India - MBSSD</v>
      </c>
      <c r="G114" s="233" t="s">
        <v>128</v>
      </c>
      <c r="H114" s="520" t="s">
        <v>480</v>
      </c>
      <c r="I114" s="656">
        <v>259.30434782608694</v>
      </c>
      <c r="J114" s="235">
        <v>124.22360248447205</v>
      </c>
      <c r="K114" s="409" t="str">
        <f t="shared" si="26"/>
        <v>MBSSenior Director</v>
      </c>
      <c r="L114" s="611">
        <v>267.61538461538464</v>
      </c>
      <c r="M114" s="611">
        <v>192.30769230769232</v>
      </c>
      <c r="N114" s="611">
        <v>259.30434782608694</v>
      </c>
      <c r="O114" s="611">
        <v>124.22360248447205</v>
      </c>
      <c r="P114" s="618">
        <f t="shared" ref="P114:P124" si="33">O114/80.5</f>
        <v>1.5431503414220131</v>
      </c>
      <c r="Q114" s="618">
        <f>I114*78/80.5</f>
        <v>251.25141776937616</v>
      </c>
    </row>
    <row r="115" spans="2:17" ht="20.25" customHeight="1" outlineLevel="1">
      <c r="B115" s="232"/>
      <c r="C115" s="519" t="s">
        <v>147</v>
      </c>
      <c r="D115" s="658" t="s">
        <v>419</v>
      </c>
      <c r="E115" s="233" t="str">
        <f t="shared" si="29"/>
        <v>India - MBSDirector</v>
      </c>
      <c r="F115" s="233" t="str">
        <f t="shared" si="30"/>
        <v>India - MBSDIR</v>
      </c>
      <c r="G115" s="233" t="s">
        <v>129</v>
      </c>
      <c r="H115" s="657" t="s">
        <v>482</v>
      </c>
      <c r="I115" s="656">
        <v>229.31677018633539</v>
      </c>
      <c r="J115" s="656">
        <v>65.217391304347828</v>
      </c>
      <c r="K115" s="409" t="str">
        <f t="shared" si="26"/>
        <v>MBSDirector</v>
      </c>
      <c r="L115" s="611">
        <v>236.66666666666666</v>
      </c>
      <c r="M115" s="611">
        <v>102.56410256410257</v>
      </c>
      <c r="N115" s="611">
        <v>229.31677018633539</v>
      </c>
      <c r="O115" s="611">
        <v>65.217391304347828</v>
      </c>
      <c r="P115" s="618">
        <f t="shared" si="33"/>
        <v>0.81015392924655683</v>
      </c>
      <c r="Q115" s="618">
        <f t="shared" ref="Q115:Q124" si="34">L115*78/80.5</f>
        <v>229.31677018633539</v>
      </c>
    </row>
    <row r="116" spans="2:17" ht="20.25" customHeight="1" outlineLevel="1">
      <c r="B116" s="232"/>
      <c r="C116" s="519" t="s">
        <v>147</v>
      </c>
      <c r="D116" s="658" t="s">
        <v>419</v>
      </c>
      <c r="E116" s="233" t="str">
        <f t="shared" si="29"/>
        <v>India - MBSAssociate Director</v>
      </c>
      <c r="F116" s="233" t="str">
        <f t="shared" si="30"/>
        <v>India - MBSAD</v>
      </c>
      <c r="G116" s="233" t="s">
        <v>130</v>
      </c>
      <c r="H116" s="657" t="s">
        <v>484</v>
      </c>
      <c r="I116" s="656">
        <v>181.7391304347826</v>
      </c>
      <c r="J116" s="656">
        <v>50.559006211180126</v>
      </c>
      <c r="K116" s="409" t="str">
        <f t="shared" si="26"/>
        <v>MBSAssociate Director</v>
      </c>
      <c r="L116" s="611">
        <v>187.56410256410257</v>
      </c>
      <c r="M116" s="611">
        <v>58.974358974358971</v>
      </c>
      <c r="N116" s="611">
        <v>181.7391304347826</v>
      </c>
      <c r="O116" s="611">
        <v>50.559006211180126</v>
      </c>
      <c r="P116" s="618">
        <f t="shared" si="33"/>
        <v>0.62806218895875932</v>
      </c>
      <c r="Q116" s="618">
        <f t="shared" si="34"/>
        <v>181.7391304347826</v>
      </c>
    </row>
    <row r="117" spans="2:17" ht="20.25" customHeight="1" outlineLevel="1">
      <c r="B117" s="232"/>
      <c r="C117" s="519" t="s">
        <v>147</v>
      </c>
      <c r="D117" s="658" t="s">
        <v>419</v>
      </c>
      <c r="E117" s="233" t="str">
        <f t="shared" si="29"/>
        <v>India - MBSSenior Manager</v>
      </c>
      <c r="F117" s="233" t="str">
        <f t="shared" si="30"/>
        <v>India - MBSSR. MGR</v>
      </c>
      <c r="G117" s="233" t="s">
        <v>131</v>
      </c>
      <c r="H117" s="657" t="s">
        <v>486</v>
      </c>
      <c r="I117" s="656">
        <v>154.40993788819875</v>
      </c>
      <c r="J117" s="656">
        <v>36.645962732919251</v>
      </c>
      <c r="K117" s="409" t="str">
        <f t="shared" si="26"/>
        <v>MBSSenior Manager</v>
      </c>
      <c r="L117" s="611">
        <v>159.35897435897436</v>
      </c>
      <c r="M117" s="611">
        <v>37.820512820512818</v>
      </c>
      <c r="N117" s="611">
        <v>154.40993788819875</v>
      </c>
      <c r="O117" s="611">
        <v>36.645962732919251</v>
      </c>
      <c r="P117" s="618">
        <f t="shared" si="33"/>
        <v>0.45522935071949383</v>
      </c>
      <c r="Q117" s="618">
        <f t="shared" si="34"/>
        <v>154.40993788819875</v>
      </c>
    </row>
    <row r="118" spans="2:17" ht="20.25" customHeight="1" outlineLevel="1">
      <c r="B118" s="232"/>
      <c r="C118" s="519" t="s">
        <v>147</v>
      </c>
      <c r="D118" s="658" t="s">
        <v>419</v>
      </c>
      <c r="E118" s="233" t="str">
        <f t="shared" si="29"/>
        <v>India - MBSManager</v>
      </c>
      <c r="F118" s="233" t="str">
        <f t="shared" si="30"/>
        <v>India - MBSMGR</v>
      </c>
      <c r="G118" s="233" t="s">
        <v>132</v>
      </c>
      <c r="H118" s="657" t="s">
        <v>488</v>
      </c>
      <c r="I118" s="656">
        <v>104.09937888198758</v>
      </c>
      <c r="J118" s="656">
        <v>14.906832298136646</v>
      </c>
      <c r="K118" s="409" t="str">
        <f t="shared" si="26"/>
        <v>MBSManager</v>
      </c>
      <c r="L118" s="611">
        <v>107.43589743589743</v>
      </c>
      <c r="M118" s="611">
        <v>26.923076923076923</v>
      </c>
      <c r="N118" s="611">
        <v>104.09937888198758</v>
      </c>
      <c r="O118" s="611">
        <v>14.906832298136646</v>
      </c>
      <c r="P118" s="618">
        <f t="shared" si="33"/>
        <v>0.18517804097064156</v>
      </c>
      <c r="Q118" s="618">
        <f t="shared" si="34"/>
        <v>104.09937888198758</v>
      </c>
    </row>
    <row r="119" spans="2:17" ht="20.25" customHeight="1" outlineLevel="1">
      <c r="B119" s="232"/>
      <c r="C119" s="519" t="s">
        <v>147</v>
      </c>
      <c r="D119" s="658" t="s">
        <v>419</v>
      </c>
      <c r="E119" s="233" t="str">
        <f t="shared" si="29"/>
        <v>India - MBSDeputy Manager</v>
      </c>
      <c r="F119" s="233" t="str">
        <f t="shared" si="30"/>
        <v>India - MBSDM</v>
      </c>
      <c r="G119" s="233" t="s">
        <v>133</v>
      </c>
      <c r="H119" s="657" t="s">
        <v>490</v>
      </c>
      <c r="I119" s="656">
        <v>77.639751552795033</v>
      </c>
      <c r="J119" s="656">
        <v>11.925465838509316</v>
      </c>
      <c r="K119" s="409" t="str">
        <f t="shared" si="26"/>
        <v>MBSDeputy Manager</v>
      </c>
      <c r="L119" s="611">
        <v>80.128205128205124</v>
      </c>
      <c r="M119" s="611">
        <v>17.307692307692307</v>
      </c>
      <c r="N119" s="611">
        <v>77.639751552795033</v>
      </c>
      <c r="O119" s="611">
        <v>11.925465838509316</v>
      </c>
      <c r="P119" s="618">
        <f t="shared" si="33"/>
        <v>0.14814243277651323</v>
      </c>
      <c r="Q119" s="618">
        <f t="shared" si="34"/>
        <v>77.639751552795033</v>
      </c>
    </row>
    <row r="120" spans="2:17" ht="20.25" customHeight="1" outlineLevel="1">
      <c r="B120" s="232"/>
      <c r="C120" s="519" t="s">
        <v>147</v>
      </c>
      <c r="D120" s="658" t="s">
        <v>419</v>
      </c>
      <c r="E120" s="233" t="str">
        <f t="shared" si="29"/>
        <v>India - MBSSenior Consultant</v>
      </c>
      <c r="F120" s="233" t="str">
        <f t="shared" si="30"/>
        <v>India - MBSSR. CONS.</v>
      </c>
      <c r="G120" s="233" t="s">
        <v>134</v>
      </c>
      <c r="H120" s="657" t="s">
        <v>492</v>
      </c>
      <c r="I120" s="656">
        <v>52.049689440993788</v>
      </c>
      <c r="J120" s="656">
        <v>9.0683229813664603</v>
      </c>
      <c r="K120" s="409" t="str">
        <f t="shared" si="26"/>
        <v>MBSSenior Consultant</v>
      </c>
      <c r="L120" s="611">
        <v>53.717948717948715</v>
      </c>
      <c r="M120" s="611">
        <v>12.307692307692308</v>
      </c>
      <c r="N120" s="611">
        <v>52.049689440993788</v>
      </c>
      <c r="O120" s="611">
        <v>9.0683229813664603</v>
      </c>
      <c r="P120" s="618">
        <f t="shared" si="33"/>
        <v>0.11264997492380696</v>
      </c>
      <c r="Q120" s="618">
        <f t="shared" si="34"/>
        <v>52.049689440993788</v>
      </c>
    </row>
    <row r="121" spans="2:17" ht="20.25" customHeight="1" outlineLevel="1">
      <c r="B121" s="232"/>
      <c r="C121" s="519" t="s">
        <v>147</v>
      </c>
      <c r="D121" s="658" t="s">
        <v>419</v>
      </c>
      <c r="E121" s="233" t="str">
        <f t="shared" si="29"/>
        <v>India - MBSConsultant 3</v>
      </c>
      <c r="F121" s="233" t="str">
        <f t="shared" si="30"/>
        <v>India - MBSCon3</v>
      </c>
      <c r="G121" s="233" t="s">
        <v>669</v>
      </c>
      <c r="H121" s="657" t="s">
        <v>494</v>
      </c>
      <c r="I121" s="656">
        <v>40.621118012422357</v>
      </c>
      <c r="J121" s="656">
        <v>7.2049689440993792</v>
      </c>
      <c r="K121" s="409" t="str">
        <f t="shared" si="26"/>
        <v>MBSConsultant 3</v>
      </c>
      <c r="L121" s="611">
        <v>41.92307692307692</v>
      </c>
      <c r="M121" s="611">
        <v>9.2307692307692299</v>
      </c>
      <c r="N121" s="611">
        <v>40.621118012422357</v>
      </c>
      <c r="O121" s="611">
        <v>7.2049689440993792</v>
      </c>
      <c r="P121" s="618">
        <f t="shared" si="33"/>
        <v>8.950271980247676E-2</v>
      </c>
      <c r="Q121" s="618">
        <f t="shared" si="34"/>
        <v>40.621118012422357</v>
      </c>
    </row>
    <row r="122" spans="2:17" ht="20.25" customHeight="1" outlineLevel="1">
      <c r="B122" s="232"/>
      <c r="C122" s="519" t="s">
        <v>147</v>
      </c>
      <c r="D122" s="658" t="s">
        <v>419</v>
      </c>
      <c r="E122" s="233" t="str">
        <f t="shared" si="29"/>
        <v>India - MBSConsultant 2</v>
      </c>
      <c r="F122" s="233" t="str">
        <f t="shared" si="30"/>
        <v>India - MBSCon2</v>
      </c>
      <c r="G122" s="233" t="s">
        <v>670</v>
      </c>
      <c r="H122" s="657" t="s">
        <v>496</v>
      </c>
      <c r="I122" s="656">
        <v>38.757763975155278</v>
      </c>
      <c r="J122" s="656">
        <v>5.0931677018633543</v>
      </c>
      <c r="K122" s="409" t="str">
        <f t="shared" si="26"/>
        <v>MBSConsultant 2</v>
      </c>
      <c r="L122" s="611">
        <v>40</v>
      </c>
      <c r="M122" s="611">
        <v>6.4102564102564106</v>
      </c>
      <c r="N122" s="611">
        <v>38.757763975155278</v>
      </c>
      <c r="O122" s="611">
        <v>5.0931677018633543</v>
      </c>
      <c r="P122" s="618">
        <f t="shared" si="33"/>
        <v>6.3269163998302541E-2</v>
      </c>
      <c r="Q122" s="618">
        <f t="shared" si="34"/>
        <v>38.757763975155278</v>
      </c>
    </row>
    <row r="123" spans="2:17" ht="20.25" customHeight="1" outlineLevel="1">
      <c r="B123" s="232"/>
      <c r="C123" s="519" t="s">
        <v>147</v>
      </c>
      <c r="D123" s="658" t="s">
        <v>419</v>
      </c>
      <c r="E123" s="233" t="str">
        <f t="shared" si="29"/>
        <v>India - MBSConsultant 1</v>
      </c>
      <c r="F123" s="233" t="str">
        <f t="shared" si="30"/>
        <v>India - MBSCon1</v>
      </c>
      <c r="G123" s="233" t="s">
        <v>671</v>
      </c>
      <c r="H123" s="657" t="s">
        <v>498</v>
      </c>
      <c r="I123" s="656">
        <v>33.54037267080745</v>
      </c>
      <c r="J123" s="656">
        <v>3.7267080745341614</v>
      </c>
      <c r="K123" s="409" t="str">
        <f t="shared" si="26"/>
        <v>MBSConsultant 1</v>
      </c>
      <c r="L123" s="611">
        <v>34.615384615384613</v>
      </c>
      <c r="M123" s="611">
        <v>4.4871794871794872</v>
      </c>
      <c r="N123" s="611">
        <v>33.54037267080745</v>
      </c>
      <c r="O123" s="611">
        <v>3.7267080745341614</v>
      </c>
      <c r="P123" s="618">
        <f t="shared" si="33"/>
        <v>4.6294510242660389E-2</v>
      </c>
      <c r="Q123" s="618">
        <f t="shared" si="34"/>
        <v>33.54037267080745</v>
      </c>
    </row>
    <row r="124" spans="2:17" ht="20.25" customHeight="1" outlineLevel="1">
      <c r="B124" s="232"/>
      <c r="C124" s="519" t="s">
        <v>147</v>
      </c>
      <c r="D124" s="658" t="s">
        <v>419</v>
      </c>
      <c r="E124" s="233" t="str">
        <f t="shared" si="29"/>
        <v>India - MBSAnalyst</v>
      </c>
      <c r="F124" s="233" t="str">
        <f t="shared" si="30"/>
        <v>India - MBSANLST.</v>
      </c>
      <c r="G124" s="233" t="s">
        <v>138</v>
      </c>
      <c r="H124" s="657" t="s">
        <v>259</v>
      </c>
      <c r="I124" s="656">
        <v>20.248447204968944</v>
      </c>
      <c r="J124" s="656">
        <v>3.7267080745341614</v>
      </c>
      <c r="K124" s="409" t="str">
        <f t="shared" si="26"/>
        <v>MBSAnalyst</v>
      </c>
      <c r="L124" s="611">
        <v>20.897435897435898</v>
      </c>
      <c r="M124" s="611">
        <v>3.2051282051282053</v>
      </c>
      <c r="N124" s="611">
        <v>20.248447204968944</v>
      </c>
      <c r="O124" s="611">
        <v>3.7267080745341614</v>
      </c>
      <c r="P124" s="618">
        <f t="shared" si="33"/>
        <v>4.6294510242660389E-2</v>
      </c>
      <c r="Q124" s="618">
        <f t="shared" si="34"/>
        <v>20.248447204968944</v>
      </c>
    </row>
    <row r="125" spans="2:17" ht="20.25" customHeight="1" outlineLevel="1">
      <c r="B125" s="232"/>
      <c r="C125" s="519" t="s">
        <v>147</v>
      </c>
      <c r="D125" s="658" t="s">
        <v>420</v>
      </c>
      <c r="E125" s="233" t="str">
        <f t="shared" ref="E125:E136" si="35">C125&amp;" - "&amp;D125&amp;H125</f>
        <v>India - Talent SolutionManaging Director</v>
      </c>
      <c r="F125" s="233" t="str">
        <f t="shared" ref="F125:F136" si="36">C125&amp;" - "&amp;D125&amp;G125</f>
        <v>India - Talent SolutionMD</v>
      </c>
      <c r="G125" s="233" t="s">
        <v>127</v>
      </c>
      <c r="H125" s="520" t="s">
        <v>478</v>
      </c>
      <c r="I125" s="656">
        <v>310.55900621118013</v>
      </c>
      <c r="J125" s="235">
        <v>173.91304347826087</v>
      </c>
      <c r="K125" s="409" t="str">
        <f t="shared" si="26"/>
        <v>Talent SolutionManaging Director</v>
      </c>
      <c r="L125" s="611">
        <v>320.5128205128205</v>
      </c>
      <c r="M125" s="611">
        <v>230.76923076923077</v>
      </c>
      <c r="N125" s="611">
        <v>310.55900621118013</v>
      </c>
      <c r="O125" s="611">
        <v>173.91304347826087</v>
      </c>
    </row>
    <row r="126" spans="2:17" ht="20.25" customHeight="1" outlineLevel="1">
      <c r="B126" s="232"/>
      <c r="C126" s="519" t="s">
        <v>147</v>
      </c>
      <c r="D126" s="658" t="s">
        <v>420</v>
      </c>
      <c r="E126" s="233" t="str">
        <f t="shared" ref="E126" si="37">C126&amp;" - "&amp;D126&amp;H126</f>
        <v>India - Talent SolutionSenior Director</v>
      </c>
      <c r="F126" s="233" t="str">
        <f t="shared" ref="F126" si="38">C126&amp;" - "&amp;D126&amp;G126</f>
        <v>India - Talent SolutionSD</v>
      </c>
      <c r="G126" s="233" t="s">
        <v>128</v>
      </c>
      <c r="H126" s="520" t="s">
        <v>480</v>
      </c>
      <c r="I126" s="656">
        <v>259.30434782608694</v>
      </c>
      <c r="J126" s="235">
        <v>124.22360248447205</v>
      </c>
      <c r="K126" s="409" t="str">
        <f t="shared" si="26"/>
        <v>Talent SolutionSenior Director</v>
      </c>
      <c r="L126" s="611">
        <v>267.61538461538464</v>
      </c>
      <c r="M126" s="611">
        <v>211.26760563380282</v>
      </c>
      <c r="N126" s="611">
        <v>259.30434782608694</v>
      </c>
      <c r="O126" s="611">
        <v>124.22360248447205</v>
      </c>
    </row>
    <row r="127" spans="2:17" ht="20.25" customHeight="1" outlineLevel="1">
      <c r="B127" s="232"/>
      <c r="C127" s="519" t="s">
        <v>147</v>
      </c>
      <c r="D127" s="658" t="s">
        <v>420</v>
      </c>
      <c r="E127" s="233" t="str">
        <f t="shared" si="35"/>
        <v>India - Talent SolutionDirector</v>
      </c>
      <c r="F127" s="233" t="str">
        <f t="shared" si="36"/>
        <v>India - Talent SolutionDIR</v>
      </c>
      <c r="G127" s="233" t="s">
        <v>129</v>
      </c>
      <c r="H127" s="657" t="s">
        <v>482</v>
      </c>
      <c r="I127" s="656">
        <v>229.31677018633539</v>
      </c>
      <c r="J127" s="656">
        <v>74.534161490683232</v>
      </c>
      <c r="K127" s="409" t="str">
        <f t="shared" si="26"/>
        <v>Talent SolutionDirector</v>
      </c>
      <c r="L127" s="611">
        <v>236.66666666666666</v>
      </c>
      <c r="M127" s="611">
        <v>102.56410256410257</v>
      </c>
      <c r="N127" s="611">
        <v>229.31677018633539</v>
      </c>
      <c r="O127" s="611">
        <v>74.534161490683232</v>
      </c>
    </row>
    <row r="128" spans="2:17" ht="20.25" customHeight="1" outlineLevel="1">
      <c r="B128" s="232"/>
      <c r="C128" s="519" t="s">
        <v>147</v>
      </c>
      <c r="D128" s="658" t="s">
        <v>420</v>
      </c>
      <c r="E128" s="233" t="str">
        <f t="shared" si="35"/>
        <v>India - Talent SolutionAssociate Director</v>
      </c>
      <c r="F128" s="233" t="str">
        <f t="shared" si="36"/>
        <v>India - Talent SolutionAD</v>
      </c>
      <c r="G128" s="233" t="s">
        <v>130</v>
      </c>
      <c r="H128" s="657" t="s">
        <v>484</v>
      </c>
      <c r="I128" s="656">
        <v>181.7391304347826</v>
      </c>
      <c r="J128" s="656">
        <v>57.142857142857146</v>
      </c>
      <c r="K128" s="409" t="str">
        <f t="shared" si="26"/>
        <v>Talent SolutionAssociate Director</v>
      </c>
      <c r="L128" s="611">
        <v>187.56410256410257</v>
      </c>
      <c r="M128" s="611">
        <v>58.974358974358971</v>
      </c>
      <c r="N128" s="611">
        <v>181.7391304347826</v>
      </c>
      <c r="O128" s="611">
        <v>57.142857142857146</v>
      </c>
    </row>
    <row r="129" spans="2:15" ht="20.25" customHeight="1" outlineLevel="1">
      <c r="B129" s="232"/>
      <c r="C129" s="519" t="s">
        <v>147</v>
      </c>
      <c r="D129" s="658" t="s">
        <v>420</v>
      </c>
      <c r="E129" s="233" t="str">
        <f t="shared" si="35"/>
        <v>India - Talent SolutionSenior Manager</v>
      </c>
      <c r="F129" s="233" t="str">
        <f t="shared" si="36"/>
        <v>India - Talent SolutionSR. MGR</v>
      </c>
      <c r="G129" s="233" t="s">
        <v>131</v>
      </c>
      <c r="H129" s="657" t="s">
        <v>486</v>
      </c>
      <c r="I129" s="656">
        <v>154.40993788819875</v>
      </c>
      <c r="J129" s="656">
        <v>36.645962732919251</v>
      </c>
      <c r="K129" s="409" t="str">
        <f t="shared" si="26"/>
        <v>Talent SolutionSenior Manager</v>
      </c>
      <c r="L129" s="611">
        <v>159.35897435897436</v>
      </c>
      <c r="M129" s="611">
        <v>37.820512820512818</v>
      </c>
      <c r="N129" s="611">
        <v>154.40993788819875</v>
      </c>
      <c r="O129" s="611">
        <v>36.645962732919251</v>
      </c>
    </row>
    <row r="130" spans="2:15" ht="20.25" customHeight="1" outlineLevel="1">
      <c r="B130" s="232"/>
      <c r="C130" s="519" t="s">
        <v>147</v>
      </c>
      <c r="D130" s="658" t="s">
        <v>420</v>
      </c>
      <c r="E130" s="233" t="str">
        <f t="shared" si="35"/>
        <v>India - Talent SolutionManager</v>
      </c>
      <c r="F130" s="233" t="str">
        <f t="shared" si="36"/>
        <v>India - Talent SolutionMGR</v>
      </c>
      <c r="G130" s="233" t="s">
        <v>132</v>
      </c>
      <c r="H130" s="657" t="s">
        <v>488</v>
      </c>
      <c r="I130" s="656">
        <v>104.09937888198758</v>
      </c>
      <c r="J130" s="656">
        <v>26.086956521739129</v>
      </c>
      <c r="K130" s="409" t="str">
        <f t="shared" si="26"/>
        <v>Talent SolutionManager</v>
      </c>
      <c r="L130" s="611">
        <v>107.43589743589743</v>
      </c>
      <c r="M130" s="611">
        <v>26.923076923076923</v>
      </c>
      <c r="N130" s="611">
        <v>104.09937888198758</v>
      </c>
      <c r="O130" s="611">
        <v>26.086956521739129</v>
      </c>
    </row>
    <row r="131" spans="2:15" ht="20.25" customHeight="1" outlineLevel="1">
      <c r="B131" s="232"/>
      <c r="C131" s="519" t="s">
        <v>147</v>
      </c>
      <c r="D131" s="658" t="s">
        <v>420</v>
      </c>
      <c r="E131" s="233" t="str">
        <f t="shared" si="35"/>
        <v>India - Talent SolutionDeputy Manager</v>
      </c>
      <c r="F131" s="233" t="str">
        <f t="shared" si="36"/>
        <v>India - Talent SolutionDM</v>
      </c>
      <c r="G131" s="233" t="s">
        <v>133</v>
      </c>
      <c r="H131" s="657" t="s">
        <v>490</v>
      </c>
      <c r="I131" s="656">
        <v>77.639751552795033</v>
      </c>
      <c r="J131" s="656">
        <v>16.770186335403725</v>
      </c>
      <c r="K131" s="409" t="str">
        <f t="shared" si="26"/>
        <v>Talent SolutionDeputy Manager</v>
      </c>
      <c r="L131" s="611">
        <v>80.128205128205124</v>
      </c>
      <c r="M131" s="611">
        <v>17.307692307692307</v>
      </c>
      <c r="N131" s="611">
        <v>77.639751552795033</v>
      </c>
      <c r="O131" s="611">
        <v>16.770186335403725</v>
      </c>
    </row>
    <row r="132" spans="2:15" ht="20.25" customHeight="1" outlineLevel="1">
      <c r="B132" s="232"/>
      <c r="C132" s="519" t="s">
        <v>147</v>
      </c>
      <c r="D132" s="658" t="s">
        <v>420</v>
      </c>
      <c r="E132" s="233" t="str">
        <f t="shared" si="35"/>
        <v>India - Talent SolutionSenior Consultant</v>
      </c>
      <c r="F132" s="233" t="str">
        <f t="shared" si="36"/>
        <v>India - Talent SolutionSR. CONS.</v>
      </c>
      <c r="G132" s="233" t="s">
        <v>134</v>
      </c>
      <c r="H132" s="657" t="s">
        <v>492</v>
      </c>
      <c r="I132" s="656">
        <v>52.049689440993788</v>
      </c>
      <c r="J132" s="656">
        <v>11.925465838509316</v>
      </c>
      <c r="K132" s="409" t="str">
        <f t="shared" si="26"/>
        <v>Talent SolutionSenior Consultant</v>
      </c>
      <c r="L132" s="611">
        <v>53.717948717948715</v>
      </c>
      <c r="M132" s="611">
        <v>12.307692307692308</v>
      </c>
      <c r="N132" s="611">
        <v>52.049689440993788</v>
      </c>
      <c r="O132" s="611">
        <v>11.925465838509316</v>
      </c>
    </row>
    <row r="133" spans="2:15" ht="20.25" customHeight="1" outlineLevel="1">
      <c r="B133" s="232"/>
      <c r="C133" s="519" t="s">
        <v>147</v>
      </c>
      <c r="D133" s="658" t="s">
        <v>420</v>
      </c>
      <c r="E133" s="233" t="str">
        <f t="shared" si="35"/>
        <v>India - Talent SolutionConsultant 3</v>
      </c>
      <c r="F133" s="233" t="str">
        <f t="shared" si="36"/>
        <v>India - Talent SolutionCon3</v>
      </c>
      <c r="G133" s="233" t="s">
        <v>669</v>
      </c>
      <c r="H133" s="657" t="s">
        <v>494</v>
      </c>
      <c r="I133" s="656">
        <v>40.621118012422357</v>
      </c>
      <c r="J133" s="656">
        <v>8.9440993788819867</v>
      </c>
      <c r="K133" s="409" t="str">
        <f t="shared" si="26"/>
        <v>Talent SolutionConsultant 3</v>
      </c>
      <c r="L133" s="611">
        <v>41.92307692307692</v>
      </c>
      <c r="M133" s="611">
        <v>9.2307692307692299</v>
      </c>
      <c r="N133" s="611">
        <v>40.621118012422357</v>
      </c>
      <c r="O133" s="611">
        <v>8.9440993788819867</v>
      </c>
    </row>
    <row r="134" spans="2:15" ht="20.25" customHeight="1" outlineLevel="1">
      <c r="B134" s="232"/>
      <c r="C134" s="519" t="s">
        <v>147</v>
      </c>
      <c r="D134" s="658" t="s">
        <v>420</v>
      </c>
      <c r="E134" s="233" t="str">
        <f t="shared" si="35"/>
        <v>India - Talent SolutionConsultant 2</v>
      </c>
      <c r="F134" s="233" t="str">
        <f t="shared" si="36"/>
        <v>India - Talent SolutionCon2</v>
      </c>
      <c r="G134" s="233" t="s">
        <v>670</v>
      </c>
      <c r="H134" s="657" t="s">
        <v>496</v>
      </c>
      <c r="I134" s="656">
        <v>38.757763975155278</v>
      </c>
      <c r="J134" s="656">
        <v>6.2111801242236027</v>
      </c>
      <c r="K134" s="409" t="str">
        <f t="shared" si="26"/>
        <v>Talent SolutionConsultant 2</v>
      </c>
      <c r="L134" s="611">
        <v>40</v>
      </c>
      <c r="M134" s="611">
        <v>6.4102564102564106</v>
      </c>
      <c r="N134" s="611">
        <v>38.757763975155278</v>
      </c>
      <c r="O134" s="611">
        <v>6.2111801242236027</v>
      </c>
    </row>
    <row r="135" spans="2:15" ht="20.25" customHeight="1" outlineLevel="1">
      <c r="B135" s="232"/>
      <c r="C135" s="519" t="s">
        <v>147</v>
      </c>
      <c r="D135" s="658" t="s">
        <v>420</v>
      </c>
      <c r="E135" s="233" t="str">
        <f t="shared" si="35"/>
        <v>India - Talent SolutionConsultant 1</v>
      </c>
      <c r="F135" s="233" t="str">
        <f t="shared" si="36"/>
        <v>India - Talent SolutionCon1</v>
      </c>
      <c r="G135" s="233" t="s">
        <v>671</v>
      </c>
      <c r="H135" s="657" t="s">
        <v>498</v>
      </c>
      <c r="I135" s="656">
        <v>33.54037267080745</v>
      </c>
      <c r="J135" s="656">
        <v>4.3478260869565215</v>
      </c>
      <c r="K135" s="409" t="str">
        <f t="shared" si="26"/>
        <v>Talent SolutionConsultant 1</v>
      </c>
      <c r="L135" s="611">
        <v>34.615384615384613</v>
      </c>
      <c r="M135" s="611">
        <v>4.4871794871794872</v>
      </c>
      <c r="N135" s="611">
        <v>33.54037267080745</v>
      </c>
      <c r="O135" s="611">
        <v>4.3478260869565215</v>
      </c>
    </row>
    <row r="136" spans="2:15" ht="20.25" customHeight="1" outlineLevel="1">
      <c r="B136" s="232"/>
      <c r="C136" s="519" t="s">
        <v>147</v>
      </c>
      <c r="D136" s="658" t="s">
        <v>420</v>
      </c>
      <c r="E136" s="233" t="str">
        <f t="shared" si="35"/>
        <v>India - Talent SolutionAnalyst</v>
      </c>
      <c r="F136" s="233" t="str">
        <f t="shared" si="36"/>
        <v>India - Talent SolutionANLST.</v>
      </c>
      <c r="G136" s="233" t="s">
        <v>138</v>
      </c>
      <c r="H136" s="657" t="s">
        <v>259</v>
      </c>
      <c r="I136" s="656">
        <v>20.248447204968944</v>
      </c>
      <c r="J136" s="656">
        <v>3.1055900621118013</v>
      </c>
      <c r="K136" s="409" t="str">
        <f t="shared" si="26"/>
        <v>Talent SolutionAnalyst</v>
      </c>
      <c r="L136" s="611">
        <v>20.897435897435898</v>
      </c>
      <c r="M136" s="611">
        <v>3.2051282051282053</v>
      </c>
      <c r="N136" s="611">
        <v>20.248447204968944</v>
      </c>
      <c r="O136" s="611">
        <v>3.1055900621118013</v>
      </c>
    </row>
    <row r="137" spans="2:15" ht="20.25" customHeight="1" outlineLevel="1">
      <c r="B137" s="232"/>
      <c r="C137" s="659"/>
      <c r="D137" s="233"/>
      <c r="E137" s="233"/>
      <c r="F137" s="233"/>
      <c r="G137" s="233"/>
      <c r="H137" s="657"/>
      <c r="I137" s="234"/>
      <c r="J137" s="235"/>
      <c r="K137" s="409"/>
    </row>
    <row r="138" spans="2:15" ht="20.25" customHeight="1" outlineLevel="1">
      <c r="B138" s="232"/>
      <c r="C138" s="659"/>
      <c r="D138" s="233"/>
      <c r="E138" s="233"/>
      <c r="F138" s="233"/>
      <c r="G138" s="233"/>
      <c r="H138" s="657"/>
      <c r="I138" s="234"/>
      <c r="J138" s="235"/>
      <c r="K138" s="409"/>
    </row>
    <row r="139" spans="2:15" ht="20.25" customHeight="1" outlineLevel="1">
      <c r="B139" s="232"/>
      <c r="C139" s="659"/>
      <c r="D139" s="233"/>
      <c r="E139" s="233"/>
      <c r="F139" s="233"/>
      <c r="G139" s="233"/>
      <c r="H139" s="657"/>
      <c r="I139" s="234"/>
      <c r="J139" s="235"/>
      <c r="K139" s="409"/>
    </row>
    <row r="140" spans="2:15" ht="20.25" customHeight="1" outlineLevel="1">
      <c r="B140" s="232"/>
      <c r="C140" s="659"/>
      <c r="D140" s="658"/>
      <c r="E140" s="658"/>
      <c r="F140" s="658"/>
      <c r="G140" s="658"/>
      <c r="H140" s="657"/>
      <c r="I140" s="234"/>
      <c r="J140" s="235"/>
      <c r="K140" s="409"/>
    </row>
    <row r="141" spans="2:15" ht="20.25" customHeight="1" outlineLevel="1">
      <c r="B141" s="232"/>
      <c r="C141" s="659"/>
      <c r="D141" s="658"/>
      <c r="E141" s="658"/>
      <c r="F141" s="658"/>
      <c r="G141" s="658"/>
      <c r="H141" s="657"/>
      <c r="I141" s="234"/>
      <c r="J141" s="235"/>
      <c r="K141" s="409"/>
    </row>
    <row r="142" spans="2:15" ht="20.25" customHeight="1" outlineLevel="1">
      <c r="B142" s="232"/>
      <c r="C142" s="659"/>
      <c r="D142" s="658"/>
      <c r="E142" s="658"/>
      <c r="F142" s="658"/>
      <c r="G142" s="658"/>
      <c r="H142" s="657"/>
      <c r="I142" s="234"/>
      <c r="J142" s="235"/>
      <c r="K142" s="409"/>
    </row>
    <row r="143" spans="2:15" ht="20.25" customHeight="1" outlineLevel="1">
      <c r="B143" s="232"/>
      <c r="C143" s="659"/>
      <c r="D143" s="658"/>
      <c r="E143" s="658"/>
      <c r="F143" s="658"/>
      <c r="G143" s="658"/>
      <c r="H143" s="657"/>
      <c r="I143" s="234"/>
      <c r="J143" s="235"/>
      <c r="K143" s="409"/>
    </row>
    <row r="144" spans="2:15" ht="20.25" customHeight="1" outlineLevel="1">
      <c r="B144" s="232"/>
      <c r="C144" s="659"/>
      <c r="D144" s="658"/>
      <c r="E144" s="658"/>
      <c r="F144" s="658"/>
      <c r="G144" s="658"/>
      <c r="H144" s="657"/>
      <c r="I144" s="234"/>
      <c r="J144" s="235"/>
      <c r="K144" s="409"/>
    </row>
    <row r="145" spans="2:11" ht="20.25" customHeight="1" outlineLevel="1">
      <c r="B145" s="232"/>
      <c r="C145" s="659"/>
      <c r="D145" s="658"/>
      <c r="E145" s="658"/>
      <c r="F145" s="658"/>
      <c r="G145" s="658"/>
      <c r="H145" s="657"/>
      <c r="I145" s="234"/>
      <c r="J145" s="235"/>
      <c r="K145" s="409"/>
    </row>
    <row r="146" spans="2:11" ht="20.25" customHeight="1" outlineLevel="1">
      <c r="B146" s="232"/>
      <c r="C146" s="659"/>
      <c r="D146" s="658"/>
      <c r="E146" s="658"/>
      <c r="F146" s="658"/>
      <c r="G146" s="658"/>
      <c r="H146" s="657"/>
      <c r="I146" s="234"/>
      <c r="J146" s="235"/>
      <c r="K146" s="409"/>
    </row>
    <row r="147" spans="2:11" ht="20.25" customHeight="1" outlineLevel="1">
      <c r="B147" s="232"/>
      <c r="C147" s="659"/>
      <c r="D147" s="658"/>
      <c r="E147" s="658"/>
      <c r="F147" s="658"/>
      <c r="G147" s="658"/>
      <c r="H147" s="657"/>
      <c r="I147" s="234"/>
      <c r="J147" s="235"/>
      <c r="K147" s="409"/>
    </row>
    <row r="148" spans="2:11" ht="20.25" customHeight="1" outlineLevel="1">
      <c r="B148" s="232"/>
      <c r="C148" s="659"/>
      <c r="D148" s="658"/>
      <c r="E148" s="658"/>
      <c r="F148" s="658"/>
      <c r="G148" s="658"/>
      <c r="H148" s="657"/>
      <c r="I148" s="234"/>
      <c r="J148" s="235"/>
      <c r="K148" s="409"/>
    </row>
    <row r="149" spans="2:11" ht="20.25" customHeight="1" outlineLevel="1">
      <c r="B149" s="232"/>
      <c r="C149" s="659"/>
      <c r="D149" s="658"/>
      <c r="E149" s="658"/>
      <c r="F149" s="658"/>
      <c r="G149" s="658"/>
      <c r="H149" s="657"/>
      <c r="I149" s="234"/>
      <c r="J149" s="235"/>
      <c r="K149" s="409"/>
    </row>
    <row r="150" spans="2:11" ht="20.25" customHeight="1" outlineLevel="1">
      <c r="B150" s="232"/>
      <c r="C150" s="659"/>
      <c r="D150" s="658"/>
      <c r="E150" s="658"/>
      <c r="F150" s="658"/>
      <c r="G150" s="658"/>
      <c r="H150" s="657"/>
      <c r="I150" s="234"/>
      <c r="J150" s="235"/>
      <c r="K150" s="409"/>
    </row>
    <row r="151" spans="2:11" ht="20.25" customHeight="1" outlineLevel="1">
      <c r="B151" s="232"/>
      <c r="C151" s="659"/>
      <c r="D151" s="658"/>
      <c r="E151" s="658"/>
      <c r="F151" s="658"/>
      <c r="G151" s="658"/>
      <c r="H151" s="657"/>
      <c r="I151" s="234"/>
      <c r="J151" s="235"/>
      <c r="K151" s="409"/>
    </row>
    <row r="152" spans="2:11" ht="20.25" customHeight="1" outlineLevel="1">
      <c r="B152" s="232"/>
      <c r="C152" s="659"/>
      <c r="D152" s="658"/>
      <c r="E152" s="658"/>
      <c r="F152" s="658"/>
      <c r="G152" s="658"/>
      <c r="H152" s="657"/>
      <c r="I152" s="234"/>
      <c r="J152" s="235"/>
      <c r="K152" s="409"/>
    </row>
    <row r="153" spans="2:11" ht="20.25" customHeight="1" outlineLevel="1">
      <c r="B153" s="232"/>
      <c r="C153" s="659"/>
      <c r="D153" s="658"/>
      <c r="E153" s="658"/>
      <c r="F153" s="658"/>
      <c r="G153" s="658"/>
      <c r="H153" s="657"/>
      <c r="I153" s="234"/>
      <c r="J153" s="235"/>
      <c r="K153" s="409"/>
    </row>
    <row r="154" spans="2:11" ht="20.25" customHeight="1" outlineLevel="1">
      <c r="B154" s="232"/>
      <c r="C154" s="659"/>
      <c r="D154" s="658"/>
      <c r="E154" s="658"/>
      <c r="F154" s="658"/>
      <c r="G154" s="658"/>
      <c r="H154" s="657"/>
      <c r="I154" s="234"/>
      <c r="J154" s="235"/>
      <c r="K154" s="409"/>
    </row>
    <row r="155" spans="2:11" ht="20.25" customHeight="1" outlineLevel="1">
      <c r="B155" s="232"/>
      <c r="C155" s="659"/>
      <c r="D155" s="658"/>
      <c r="E155" s="658"/>
      <c r="F155" s="658"/>
      <c r="G155" s="658"/>
      <c r="H155" s="657"/>
      <c r="I155" s="234"/>
      <c r="J155" s="235"/>
      <c r="K155" s="409"/>
    </row>
    <row r="156" spans="2:11" ht="20.25" customHeight="1" outlineLevel="1">
      <c r="B156" s="232"/>
      <c r="C156" s="659"/>
      <c r="D156" s="658"/>
      <c r="E156" s="658"/>
      <c r="F156" s="658"/>
      <c r="G156" s="658"/>
      <c r="H156" s="657"/>
      <c r="I156" s="234"/>
      <c r="J156" s="235"/>
      <c r="K156" s="409"/>
    </row>
    <row r="157" spans="2:11" ht="20.25" customHeight="1" outlineLevel="1">
      <c r="B157" s="232"/>
      <c r="C157" s="659"/>
      <c r="D157" s="658"/>
      <c r="E157" s="658"/>
      <c r="F157" s="658"/>
      <c r="G157" s="658"/>
      <c r="H157" s="657"/>
      <c r="I157" s="234"/>
      <c r="J157" s="235"/>
      <c r="K157" s="409"/>
    </row>
    <row r="158" spans="2:11" ht="20.25" customHeight="1" outlineLevel="1">
      <c r="B158" s="232"/>
      <c r="C158" s="659"/>
      <c r="D158" s="658"/>
      <c r="E158" s="658"/>
      <c r="F158" s="658"/>
      <c r="G158" s="658"/>
      <c r="H158" s="657"/>
      <c r="I158" s="234"/>
      <c r="J158" s="235"/>
      <c r="K158" s="409"/>
    </row>
    <row r="159" spans="2:11" ht="20.25" customHeight="1" outlineLevel="1">
      <c r="B159" s="232"/>
      <c r="C159" s="659"/>
      <c r="D159" s="658"/>
      <c r="E159" s="658"/>
      <c r="F159" s="658"/>
      <c r="G159" s="658"/>
      <c r="H159" s="657"/>
      <c r="I159" s="234"/>
      <c r="J159" s="235"/>
      <c r="K159" s="409"/>
    </row>
    <row r="160" spans="2:11" ht="20.25" customHeight="1" outlineLevel="1">
      <c r="B160" s="232"/>
      <c r="C160" s="659"/>
      <c r="D160" s="658"/>
      <c r="E160" s="658"/>
      <c r="F160" s="658"/>
      <c r="G160" s="658"/>
      <c r="H160" s="657"/>
      <c r="I160" s="234"/>
      <c r="J160" s="235"/>
      <c r="K160" s="409"/>
    </row>
    <row r="161" spans="2:11" ht="20.25" customHeight="1" outlineLevel="1">
      <c r="B161" s="232"/>
      <c r="C161" s="659"/>
      <c r="D161" s="658"/>
      <c r="E161" s="658"/>
      <c r="F161" s="658"/>
      <c r="G161" s="658"/>
      <c r="H161" s="657"/>
      <c r="I161" s="234"/>
      <c r="J161" s="235"/>
      <c r="K161" s="409"/>
    </row>
    <row r="162" spans="2:11" ht="20.25" customHeight="1" outlineLevel="1">
      <c r="B162" s="232"/>
      <c r="C162" s="659"/>
      <c r="D162" s="658"/>
      <c r="E162" s="658"/>
      <c r="F162" s="658"/>
      <c r="G162" s="658"/>
      <c r="H162" s="657"/>
      <c r="I162" s="234"/>
      <c r="J162" s="235"/>
      <c r="K162" s="409"/>
    </row>
    <row r="163" spans="2:11" ht="20.25" customHeight="1" outlineLevel="1">
      <c r="B163" s="232"/>
      <c r="C163" s="659"/>
      <c r="D163" s="658"/>
      <c r="E163" s="658"/>
      <c r="F163" s="658"/>
      <c r="G163" s="658"/>
      <c r="H163" s="657"/>
      <c r="I163" s="234"/>
      <c r="J163" s="235"/>
      <c r="K163" s="409"/>
    </row>
    <row r="164" spans="2:11" ht="20.25" customHeight="1" outlineLevel="1">
      <c r="B164" s="232"/>
      <c r="C164" s="659"/>
      <c r="D164" s="658"/>
      <c r="E164" s="658"/>
      <c r="F164" s="658"/>
      <c r="G164" s="658"/>
      <c r="H164" s="657"/>
      <c r="I164" s="234"/>
      <c r="J164" s="235"/>
      <c r="K164" s="409"/>
    </row>
    <row r="165" spans="2:11" ht="20.25" customHeight="1" outlineLevel="1">
      <c r="B165" s="232"/>
      <c r="C165" s="659"/>
      <c r="D165" s="658"/>
      <c r="E165" s="658"/>
      <c r="F165" s="658"/>
      <c r="G165" s="658"/>
      <c r="H165" s="657"/>
      <c r="I165" s="234"/>
      <c r="J165" s="235"/>
      <c r="K165" s="409"/>
    </row>
    <row r="166" spans="2:11" ht="20.25" customHeight="1" outlineLevel="1">
      <c r="B166" s="232"/>
      <c r="C166" s="659"/>
      <c r="D166" s="658"/>
      <c r="E166" s="658"/>
      <c r="F166" s="658"/>
      <c r="G166" s="658"/>
      <c r="H166" s="657"/>
      <c r="I166" s="234"/>
      <c r="J166" s="235"/>
      <c r="K166" s="409"/>
    </row>
    <row r="167" spans="2:11" ht="20.25" customHeight="1" outlineLevel="1">
      <c r="B167" s="232"/>
      <c r="C167" s="659"/>
      <c r="D167" s="658"/>
      <c r="E167" s="658"/>
      <c r="F167" s="658"/>
      <c r="G167" s="658"/>
      <c r="H167" s="657"/>
      <c r="I167" s="234"/>
      <c r="J167" s="235"/>
      <c r="K167" s="409"/>
    </row>
    <row r="168" spans="2:11" ht="20.25" customHeight="1" outlineLevel="1">
      <c r="B168" s="232"/>
      <c r="C168" s="659"/>
      <c r="D168" s="658"/>
      <c r="E168" s="658"/>
      <c r="F168" s="658"/>
      <c r="G168" s="658"/>
      <c r="H168" s="657"/>
      <c r="I168" s="234"/>
      <c r="J168" s="235"/>
      <c r="K168" s="409"/>
    </row>
    <row r="169" spans="2:11" ht="20.25" customHeight="1" outlineLevel="1">
      <c r="B169" s="232"/>
      <c r="C169" s="659"/>
      <c r="D169" s="658"/>
      <c r="E169" s="658"/>
      <c r="F169" s="658"/>
      <c r="G169" s="658"/>
      <c r="H169" s="657"/>
      <c r="I169" s="234"/>
      <c r="J169" s="235"/>
      <c r="K169" s="409"/>
    </row>
    <row r="170" spans="2:11" ht="20.25" customHeight="1" outlineLevel="1">
      <c r="B170" s="232"/>
      <c r="C170" s="659"/>
      <c r="D170" s="658"/>
      <c r="E170" s="658"/>
      <c r="F170" s="658"/>
      <c r="G170" s="658"/>
      <c r="H170" s="657"/>
      <c r="I170" s="234"/>
      <c r="J170" s="235"/>
      <c r="K170" s="409"/>
    </row>
    <row r="171" spans="2:11" ht="20.25" customHeight="1" outlineLevel="1">
      <c r="B171" s="232"/>
      <c r="C171" s="659"/>
      <c r="D171" s="658"/>
      <c r="E171" s="658"/>
      <c r="F171" s="658"/>
      <c r="G171" s="658"/>
      <c r="H171" s="657"/>
      <c r="I171" s="234"/>
      <c r="J171" s="235"/>
      <c r="K171" s="409"/>
    </row>
    <row r="172" spans="2:11" ht="20.25" customHeight="1" outlineLevel="1">
      <c r="B172" s="232"/>
      <c r="C172" s="659"/>
      <c r="D172" s="233"/>
      <c r="E172" s="233"/>
      <c r="F172" s="233"/>
      <c r="G172" s="233"/>
      <c r="H172" s="657"/>
      <c r="I172" s="234"/>
      <c r="J172" s="235"/>
      <c r="K172" s="409"/>
    </row>
    <row r="173" spans="2:11" ht="20.25" customHeight="1" outlineLevel="1">
      <c r="B173" s="232"/>
      <c r="C173" s="659"/>
      <c r="D173" s="233"/>
      <c r="E173" s="233"/>
      <c r="F173" s="233"/>
      <c r="G173" s="233"/>
      <c r="H173" s="657"/>
      <c r="I173" s="234"/>
      <c r="J173" s="235"/>
      <c r="K173" s="409"/>
    </row>
    <row r="174" spans="2:11" ht="20.25" customHeight="1" outlineLevel="1">
      <c r="B174" s="232"/>
      <c r="C174" s="659"/>
      <c r="D174" s="233"/>
      <c r="E174" s="233"/>
      <c r="F174" s="233"/>
      <c r="G174" s="233"/>
      <c r="H174" s="657"/>
      <c r="I174" s="234"/>
      <c r="J174" s="235"/>
      <c r="K174" s="409"/>
    </row>
    <row r="175" spans="2:11" ht="20.25" customHeight="1" outlineLevel="1">
      <c r="B175" s="232"/>
      <c r="C175" s="659"/>
      <c r="D175" s="233"/>
      <c r="E175" s="233"/>
      <c r="F175" s="233"/>
      <c r="G175" s="233"/>
      <c r="H175" s="657"/>
      <c r="I175" s="234"/>
      <c r="J175" s="235"/>
      <c r="K175" s="409"/>
    </row>
    <row r="176" spans="2:11" ht="20.25" customHeight="1" outlineLevel="1">
      <c r="B176" s="232"/>
      <c r="C176" s="659"/>
      <c r="D176" s="233"/>
      <c r="E176" s="233"/>
      <c r="F176" s="233"/>
      <c r="G176" s="233"/>
      <c r="H176" s="657"/>
      <c r="I176" s="234"/>
      <c r="J176" s="235"/>
      <c r="K176" s="409"/>
    </row>
    <row r="177" spans="2:11" ht="20.25" customHeight="1" outlineLevel="1">
      <c r="B177" s="232"/>
      <c r="C177" s="659"/>
      <c r="D177" s="233"/>
      <c r="E177" s="233"/>
      <c r="F177" s="233"/>
      <c r="G177" s="233"/>
      <c r="H177" s="657"/>
      <c r="I177" s="234"/>
      <c r="J177" s="235"/>
      <c r="K177" s="409"/>
    </row>
    <row r="178" spans="2:11" ht="20.25" customHeight="1" outlineLevel="1">
      <c r="B178" s="232"/>
      <c r="C178" s="659"/>
      <c r="D178" s="233"/>
      <c r="E178" s="233"/>
      <c r="F178" s="233"/>
      <c r="G178" s="233"/>
      <c r="H178" s="657"/>
      <c r="I178" s="234"/>
      <c r="J178" s="235"/>
      <c r="K178" s="409"/>
    </row>
    <row r="179" spans="2:11" ht="20.25" customHeight="1" outlineLevel="1">
      <c r="B179" s="232"/>
      <c r="C179" s="659"/>
      <c r="D179" s="233"/>
      <c r="E179" s="233"/>
      <c r="F179" s="233"/>
      <c r="G179" s="233"/>
      <c r="H179" s="657"/>
      <c r="I179" s="234"/>
      <c r="J179" s="235"/>
      <c r="K179" s="409"/>
    </row>
    <row r="180" spans="2:11" ht="20.25" customHeight="1" outlineLevel="1">
      <c r="B180" s="232"/>
      <c r="C180" s="659"/>
      <c r="D180" s="233"/>
      <c r="E180" s="233"/>
      <c r="F180" s="233"/>
      <c r="G180" s="233"/>
      <c r="H180" s="657"/>
      <c r="I180" s="234"/>
      <c r="J180" s="235"/>
      <c r="K180" s="409"/>
    </row>
    <row r="181" spans="2:11" ht="20.25" customHeight="1" outlineLevel="1">
      <c r="B181" s="232"/>
      <c r="C181" s="659"/>
      <c r="D181" s="658"/>
      <c r="E181" s="658"/>
      <c r="F181" s="658"/>
      <c r="G181" s="658"/>
      <c r="H181" s="657"/>
      <c r="I181" s="234"/>
      <c r="J181" s="235"/>
      <c r="K181" s="409"/>
    </row>
    <row r="182" spans="2:11" ht="20.25" customHeight="1" outlineLevel="1">
      <c r="B182" s="232"/>
      <c r="C182" s="659"/>
      <c r="D182" s="658"/>
      <c r="E182" s="658"/>
      <c r="F182" s="658"/>
      <c r="G182" s="658"/>
      <c r="H182" s="657"/>
      <c r="I182" s="234"/>
      <c r="J182" s="235"/>
      <c r="K182" s="409"/>
    </row>
    <row r="183" spans="2:11" ht="20.25" customHeight="1" outlineLevel="1">
      <c r="B183" s="232"/>
      <c r="C183" s="659"/>
      <c r="D183" s="658"/>
      <c r="E183" s="233"/>
      <c r="F183" s="233"/>
      <c r="G183" s="233"/>
      <c r="H183" s="657"/>
      <c r="I183" s="234"/>
      <c r="J183" s="235"/>
      <c r="K183" s="409"/>
    </row>
    <row r="184" spans="2:11" ht="20.25" customHeight="1" outlineLevel="1">
      <c r="B184" s="232"/>
      <c r="C184" s="659"/>
      <c r="D184" s="658"/>
      <c r="E184" s="233"/>
      <c r="F184" s="233"/>
      <c r="G184" s="233"/>
      <c r="H184" s="657"/>
      <c r="I184" s="234"/>
      <c r="J184" s="235"/>
      <c r="K184" s="409"/>
    </row>
    <row r="185" spans="2:11" ht="20.25" customHeight="1" outlineLevel="1">
      <c r="B185" s="232"/>
      <c r="C185" s="659"/>
      <c r="D185" s="658"/>
      <c r="E185" s="233"/>
      <c r="F185" s="233"/>
      <c r="G185" s="233"/>
      <c r="H185" s="657"/>
      <c r="I185" s="234"/>
      <c r="J185" s="235"/>
      <c r="K185" s="409"/>
    </row>
    <row r="186" spans="2:11" ht="20.25" customHeight="1" outlineLevel="1">
      <c r="B186" s="232"/>
      <c r="C186" s="659"/>
      <c r="D186" s="658"/>
      <c r="E186" s="233"/>
      <c r="F186" s="233"/>
      <c r="G186" s="233"/>
      <c r="H186" s="657"/>
      <c r="I186" s="234"/>
      <c r="J186" s="235"/>
      <c r="K186" s="409"/>
    </row>
    <row r="187" spans="2:11" ht="20.25" customHeight="1" outlineLevel="1">
      <c r="B187" s="232"/>
      <c r="C187" s="659"/>
      <c r="D187" s="658"/>
      <c r="E187" s="233"/>
      <c r="F187" s="233"/>
      <c r="G187" s="233"/>
      <c r="H187" s="657"/>
      <c r="I187" s="234"/>
      <c r="J187" s="235"/>
      <c r="K187" s="409"/>
    </row>
    <row r="188" spans="2:11" ht="20.25" customHeight="1" outlineLevel="1">
      <c r="B188" s="232"/>
      <c r="C188" s="659"/>
      <c r="D188" s="658"/>
      <c r="E188" s="233"/>
      <c r="F188" s="233"/>
      <c r="G188" s="233"/>
      <c r="H188" s="657"/>
      <c r="I188" s="234"/>
      <c r="J188" s="235"/>
      <c r="K188" s="409"/>
    </row>
    <row r="189" spans="2:11" ht="20.25" customHeight="1" outlineLevel="1">
      <c r="B189" s="232"/>
      <c r="C189" s="659"/>
      <c r="D189" s="658"/>
      <c r="E189" s="233"/>
      <c r="F189" s="233"/>
      <c r="G189" s="233"/>
      <c r="H189" s="657"/>
      <c r="I189" s="234"/>
      <c r="J189" s="235"/>
      <c r="K189" s="409"/>
    </row>
    <row r="190" spans="2:11" ht="20.25" customHeight="1" outlineLevel="1">
      <c r="B190" s="232"/>
      <c r="C190" s="659"/>
      <c r="D190" s="658"/>
      <c r="E190" s="233"/>
      <c r="F190" s="233"/>
      <c r="G190" s="233"/>
      <c r="H190" s="657"/>
      <c r="I190" s="234"/>
      <c r="J190" s="235"/>
      <c r="K190" s="409"/>
    </row>
    <row r="191" spans="2:11" ht="20.25" customHeight="1" outlineLevel="1">
      <c r="B191" s="232"/>
      <c r="C191" s="659"/>
      <c r="D191" s="658"/>
      <c r="E191" s="233"/>
      <c r="F191" s="233"/>
      <c r="G191" s="233"/>
      <c r="H191" s="657"/>
      <c r="I191" s="234"/>
      <c r="J191" s="235"/>
      <c r="K191" s="409"/>
    </row>
    <row r="192" spans="2:11" ht="20.25" customHeight="1" outlineLevel="1">
      <c r="B192" s="232"/>
      <c r="C192" s="659"/>
      <c r="D192" s="233"/>
      <c r="E192" s="233"/>
      <c r="F192" s="233"/>
      <c r="G192" s="233"/>
      <c r="H192" s="657"/>
      <c r="I192" s="234"/>
      <c r="J192" s="235"/>
      <c r="K192" s="409"/>
    </row>
    <row r="193" spans="2:11" ht="20.25" customHeight="1" outlineLevel="1">
      <c r="B193" s="232"/>
      <c r="C193" s="659"/>
      <c r="D193" s="233"/>
      <c r="E193" s="233"/>
      <c r="F193" s="233"/>
      <c r="G193" s="233"/>
      <c r="H193" s="657"/>
      <c r="I193" s="234"/>
      <c r="J193" s="235"/>
      <c r="K193" s="409"/>
    </row>
    <row r="194" spans="2:11" ht="20.25" customHeight="1" outlineLevel="1">
      <c r="B194" s="232"/>
      <c r="C194" s="659"/>
      <c r="D194" s="658"/>
      <c r="E194" s="658"/>
      <c r="F194" s="658"/>
      <c r="G194" s="658"/>
      <c r="H194" s="657"/>
      <c r="I194" s="234"/>
      <c r="J194" s="235"/>
      <c r="K194" s="409"/>
    </row>
    <row r="195" spans="2:11" ht="20.25" customHeight="1" outlineLevel="1">
      <c r="B195" s="232"/>
      <c r="C195" s="659"/>
      <c r="D195" s="658"/>
      <c r="E195" s="658"/>
      <c r="F195" s="658"/>
      <c r="G195" s="658"/>
      <c r="H195" s="657"/>
      <c r="I195" s="234"/>
      <c r="J195" s="235"/>
      <c r="K195" s="409"/>
    </row>
    <row r="196" spans="2:11" ht="20.25" customHeight="1" outlineLevel="1">
      <c r="B196" s="232"/>
      <c r="C196" s="659"/>
      <c r="D196" s="658"/>
      <c r="E196" s="658"/>
      <c r="F196" s="658"/>
      <c r="G196" s="658"/>
      <c r="H196" s="657"/>
      <c r="I196" s="234"/>
      <c r="J196" s="235"/>
      <c r="K196" s="409"/>
    </row>
    <row r="197" spans="2:11" ht="20.25" customHeight="1" outlineLevel="1">
      <c r="B197" s="232"/>
      <c r="C197" s="659"/>
      <c r="D197" s="658"/>
      <c r="E197" s="658"/>
      <c r="F197" s="658"/>
      <c r="G197" s="658"/>
      <c r="H197" s="657"/>
      <c r="I197" s="234"/>
      <c r="J197" s="235"/>
      <c r="K197" s="409"/>
    </row>
    <row r="198" spans="2:11" ht="20.25" customHeight="1" outlineLevel="1">
      <c r="B198" s="232"/>
      <c r="C198" s="659"/>
      <c r="D198" s="658"/>
      <c r="E198" s="658"/>
      <c r="F198" s="658"/>
      <c r="G198" s="658"/>
      <c r="H198" s="657"/>
      <c r="I198" s="234"/>
      <c r="J198" s="235"/>
      <c r="K198" s="409"/>
    </row>
    <row r="199" spans="2:11" ht="20.25" customHeight="1" outlineLevel="1">
      <c r="B199" s="232"/>
      <c r="C199" s="659"/>
      <c r="D199" s="658"/>
      <c r="E199" s="658"/>
      <c r="F199" s="658"/>
      <c r="G199" s="658"/>
      <c r="H199" s="657"/>
      <c r="I199" s="234"/>
      <c r="J199" s="235"/>
      <c r="K199" s="409"/>
    </row>
    <row r="200" spans="2:11" ht="20.25" customHeight="1" outlineLevel="1">
      <c r="B200" s="232"/>
      <c r="C200" s="659"/>
      <c r="D200" s="658"/>
      <c r="E200" s="658"/>
      <c r="F200" s="658"/>
      <c r="G200" s="658"/>
      <c r="H200" s="657"/>
      <c r="I200" s="234"/>
      <c r="J200" s="235"/>
      <c r="K200" s="409"/>
    </row>
    <row r="201" spans="2:11" ht="20.25" customHeight="1" outlineLevel="1">
      <c r="B201" s="232"/>
      <c r="C201" s="659"/>
      <c r="D201" s="658"/>
      <c r="E201" s="658"/>
      <c r="F201" s="658"/>
      <c r="G201" s="658"/>
      <c r="H201" s="657"/>
      <c r="I201" s="234"/>
      <c r="J201" s="235"/>
      <c r="K201" s="409"/>
    </row>
    <row r="202" spans="2:11" ht="20.25" customHeight="1" outlineLevel="1">
      <c r="B202" s="232"/>
      <c r="C202" s="659"/>
      <c r="D202" s="658"/>
      <c r="E202" s="658"/>
      <c r="F202" s="658"/>
      <c r="G202" s="658"/>
      <c r="H202" s="657"/>
      <c r="I202" s="234"/>
      <c r="J202" s="235"/>
      <c r="K202" s="409"/>
    </row>
    <row r="203" spans="2:11" ht="20.25" customHeight="1" outlineLevel="1">
      <c r="B203" s="232"/>
      <c r="C203" s="659"/>
      <c r="D203" s="658"/>
      <c r="E203" s="658"/>
      <c r="F203" s="658"/>
      <c r="G203" s="658"/>
      <c r="H203" s="657"/>
      <c r="I203" s="234"/>
      <c r="J203" s="235"/>
      <c r="K203" s="409"/>
    </row>
    <row r="204" spans="2:11" ht="20.25" customHeight="1" outlineLevel="1">
      <c r="B204" s="232"/>
      <c r="C204" s="659"/>
      <c r="D204" s="658"/>
      <c r="E204" s="658"/>
      <c r="F204" s="658"/>
      <c r="G204" s="658"/>
      <c r="H204" s="657"/>
      <c r="I204" s="234"/>
      <c r="J204" s="235"/>
      <c r="K204" s="409"/>
    </row>
    <row r="205" spans="2:11" ht="20.25" customHeight="1" outlineLevel="1">
      <c r="B205" s="232"/>
      <c r="C205" s="659"/>
      <c r="D205" s="658"/>
      <c r="E205" s="658"/>
      <c r="F205" s="658"/>
      <c r="G205" s="658"/>
      <c r="H205" s="657"/>
      <c r="I205" s="234"/>
      <c r="J205" s="235"/>
      <c r="K205" s="409"/>
    </row>
    <row r="206" spans="2:11" ht="20.25" customHeight="1" outlineLevel="1">
      <c r="B206" s="232"/>
      <c r="C206" s="659"/>
      <c r="D206" s="658"/>
      <c r="E206" s="658"/>
      <c r="F206" s="658"/>
      <c r="G206" s="658"/>
      <c r="H206" s="657"/>
      <c r="I206" s="234"/>
      <c r="J206" s="235"/>
      <c r="K206" s="409"/>
    </row>
    <row r="207" spans="2:11" ht="20.25" customHeight="1" outlineLevel="1">
      <c r="B207" s="232"/>
      <c r="C207" s="659"/>
      <c r="D207" s="658"/>
      <c r="E207" s="658"/>
      <c r="F207" s="658"/>
      <c r="G207" s="658"/>
      <c r="H207" s="657"/>
      <c r="I207" s="234"/>
      <c r="J207" s="235"/>
      <c r="K207" s="409"/>
    </row>
    <row r="208" spans="2:11" ht="20.25" customHeight="1" outlineLevel="1">
      <c r="B208" s="232"/>
      <c r="C208" s="659"/>
      <c r="D208" s="658"/>
      <c r="E208" s="658"/>
      <c r="F208" s="658"/>
      <c r="G208" s="658"/>
      <c r="H208" s="657"/>
      <c r="I208" s="234"/>
      <c r="J208" s="235"/>
      <c r="K208" s="409"/>
    </row>
    <row r="209" spans="2:11" ht="20.25" customHeight="1" outlineLevel="1">
      <c r="B209" s="232"/>
      <c r="C209" s="659"/>
      <c r="D209" s="658"/>
      <c r="E209" s="658"/>
      <c r="F209" s="658"/>
      <c r="G209" s="658"/>
      <c r="H209" s="657"/>
      <c r="I209" s="234"/>
      <c r="J209" s="235"/>
      <c r="K209" s="409"/>
    </row>
    <row r="210" spans="2:11" ht="20.25" customHeight="1" outlineLevel="1">
      <c r="B210" s="232"/>
      <c r="C210" s="659"/>
      <c r="D210" s="658"/>
      <c r="E210" s="658"/>
      <c r="F210" s="658"/>
      <c r="G210" s="658"/>
      <c r="H210" s="657"/>
      <c r="I210" s="234"/>
      <c r="J210" s="235"/>
      <c r="K210" s="409"/>
    </row>
    <row r="211" spans="2:11" ht="20.25" customHeight="1" outlineLevel="1">
      <c r="B211" s="232"/>
      <c r="C211" s="659"/>
      <c r="D211" s="658"/>
      <c r="E211" s="658"/>
      <c r="F211" s="658"/>
      <c r="G211" s="658"/>
      <c r="H211" s="657"/>
      <c r="I211" s="234"/>
      <c r="J211" s="235"/>
      <c r="K211" s="409"/>
    </row>
    <row r="212" spans="2:11" ht="20.25" customHeight="1" outlineLevel="1">
      <c r="B212" s="232"/>
      <c r="C212" s="659"/>
      <c r="D212" s="658"/>
      <c r="E212" s="658"/>
      <c r="F212" s="658"/>
      <c r="G212" s="658"/>
      <c r="H212" s="657"/>
      <c r="I212" s="234"/>
      <c r="J212" s="235"/>
      <c r="K212" s="409"/>
    </row>
    <row r="213" spans="2:11" ht="20.25" customHeight="1" outlineLevel="1">
      <c r="B213" s="232"/>
      <c r="C213" s="659"/>
      <c r="D213" s="658"/>
      <c r="E213" s="658"/>
      <c r="F213" s="658"/>
      <c r="G213" s="658"/>
      <c r="H213" s="657"/>
      <c r="I213" s="234"/>
      <c r="J213" s="235"/>
      <c r="K213" s="409"/>
    </row>
    <row r="214" spans="2:11" ht="20.25" customHeight="1" outlineLevel="1">
      <c r="B214" s="232"/>
      <c r="C214" s="659"/>
      <c r="D214" s="658"/>
      <c r="E214" s="658"/>
      <c r="F214" s="658"/>
      <c r="G214" s="658"/>
      <c r="H214" s="657"/>
      <c r="I214" s="234"/>
      <c r="J214" s="235"/>
      <c r="K214" s="409"/>
    </row>
    <row r="215" spans="2:11" ht="20.25" customHeight="1" outlineLevel="1">
      <c r="B215" s="232"/>
      <c r="C215" s="659"/>
      <c r="D215" s="658"/>
      <c r="E215" s="658"/>
      <c r="F215" s="658"/>
      <c r="G215" s="658"/>
      <c r="H215" s="657"/>
      <c r="I215" s="234"/>
      <c r="J215" s="235"/>
      <c r="K215" s="409"/>
    </row>
    <row r="216" spans="2:11" ht="20.25" customHeight="1" outlineLevel="1">
      <c r="B216" s="232"/>
      <c r="C216" s="659"/>
      <c r="D216" s="658"/>
      <c r="E216" s="658"/>
      <c r="F216" s="658"/>
      <c r="G216" s="658"/>
      <c r="H216" s="657"/>
      <c r="I216" s="234"/>
      <c r="J216" s="235"/>
      <c r="K216" s="409"/>
    </row>
    <row r="217" spans="2:11" ht="20.25" customHeight="1" outlineLevel="1">
      <c r="B217" s="232"/>
      <c r="C217" s="659"/>
      <c r="D217" s="658"/>
      <c r="E217" s="658"/>
      <c r="F217" s="658"/>
      <c r="G217" s="658"/>
      <c r="H217" s="657"/>
      <c r="I217" s="234"/>
      <c r="J217" s="235"/>
      <c r="K217" s="409"/>
    </row>
    <row r="218" spans="2:11" ht="20.25" customHeight="1" outlineLevel="1">
      <c r="B218" s="232"/>
      <c r="C218" s="659"/>
      <c r="D218" s="658"/>
      <c r="E218" s="658"/>
      <c r="F218" s="658"/>
      <c r="G218" s="658"/>
      <c r="H218" s="657"/>
      <c r="I218" s="234"/>
      <c r="J218" s="235"/>
      <c r="K218" s="409"/>
    </row>
    <row r="219" spans="2:11" ht="20.25" customHeight="1" outlineLevel="1">
      <c r="B219" s="232"/>
      <c r="C219" s="659"/>
      <c r="D219" s="658"/>
      <c r="E219" s="658"/>
      <c r="F219" s="658"/>
      <c r="G219" s="658"/>
      <c r="H219" s="657"/>
      <c r="I219" s="234"/>
      <c r="J219" s="235"/>
      <c r="K219" s="409"/>
    </row>
    <row r="220" spans="2:11" ht="20.25" customHeight="1" outlineLevel="1">
      <c r="B220" s="232"/>
      <c r="C220" s="659"/>
      <c r="D220" s="658"/>
      <c r="E220" s="658"/>
      <c r="F220" s="658"/>
      <c r="G220" s="658"/>
      <c r="H220" s="657"/>
      <c r="I220" s="234"/>
      <c r="J220" s="235"/>
      <c r="K220" s="409"/>
    </row>
    <row r="221" spans="2:11" ht="20.25" customHeight="1" outlineLevel="1">
      <c r="B221" s="232"/>
      <c r="C221" s="659"/>
      <c r="D221" s="658"/>
      <c r="E221" s="658"/>
      <c r="F221" s="658"/>
      <c r="G221" s="658"/>
      <c r="H221" s="657"/>
      <c r="I221" s="234"/>
      <c r="J221" s="235"/>
      <c r="K221" s="409"/>
    </row>
    <row r="222" spans="2:11" ht="20.25" customHeight="1" outlineLevel="1">
      <c r="B222" s="232"/>
      <c r="C222" s="659"/>
      <c r="D222" s="658"/>
      <c r="E222" s="658"/>
      <c r="F222" s="658"/>
      <c r="G222" s="658"/>
      <c r="H222" s="657"/>
      <c r="I222" s="234"/>
      <c r="J222" s="235"/>
      <c r="K222" s="409"/>
    </row>
    <row r="223" spans="2:11" ht="20.25" customHeight="1" outlineLevel="1">
      <c r="B223" s="232"/>
      <c r="C223" s="659"/>
      <c r="D223" s="658"/>
      <c r="E223" s="658"/>
      <c r="F223" s="658"/>
      <c r="G223" s="658"/>
      <c r="H223" s="657"/>
      <c r="I223" s="234"/>
      <c r="J223" s="235"/>
      <c r="K223" s="409"/>
    </row>
    <row r="224" spans="2:11" ht="20.25" customHeight="1" outlineLevel="1">
      <c r="B224" s="232"/>
      <c r="C224" s="659"/>
      <c r="D224" s="658"/>
      <c r="E224" s="658"/>
      <c r="F224" s="658"/>
      <c r="G224" s="658"/>
      <c r="H224" s="657"/>
      <c r="I224" s="234"/>
      <c r="J224" s="235"/>
      <c r="K224" s="409"/>
    </row>
    <row r="225" spans="2:11" ht="20.25" customHeight="1" outlineLevel="1">
      <c r="B225" s="232"/>
      <c r="C225" s="659"/>
      <c r="D225" s="658"/>
      <c r="E225" s="658"/>
      <c r="F225" s="658"/>
      <c r="G225" s="658"/>
      <c r="H225" s="657"/>
      <c r="I225" s="234"/>
      <c r="J225" s="235"/>
      <c r="K225" s="409"/>
    </row>
    <row r="226" spans="2:11" ht="20.25" customHeight="1" outlineLevel="1">
      <c r="B226" s="232"/>
      <c r="C226" s="659"/>
      <c r="D226" s="658"/>
      <c r="E226" s="658"/>
      <c r="F226" s="658"/>
      <c r="G226" s="658"/>
      <c r="H226" s="657"/>
      <c r="I226" s="234"/>
      <c r="J226" s="235"/>
      <c r="K226" s="409"/>
    </row>
    <row r="227" spans="2:11" ht="20.25" customHeight="1" outlineLevel="1">
      <c r="B227" s="232"/>
      <c r="C227" s="659"/>
      <c r="D227" s="233"/>
      <c r="E227" s="233"/>
      <c r="F227" s="233"/>
      <c r="G227" s="233"/>
      <c r="H227" s="657"/>
      <c r="I227" s="234"/>
      <c r="J227" s="235"/>
      <c r="K227" s="409"/>
    </row>
    <row r="228" spans="2:11" ht="20.25" customHeight="1" outlineLevel="1">
      <c r="B228" s="232"/>
      <c r="C228" s="659"/>
      <c r="D228" s="233"/>
      <c r="E228" s="233"/>
      <c r="F228" s="233"/>
      <c r="G228" s="233"/>
      <c r="H228" s="657"/>
      <c r="I228" s="234"/>
      <c r="J228" s="235"/>
      <c r="K228" s="409"/>
    </row>
    <row r="229" spans="2:11" ht="20.25" customHeight="1" outlineLevel="1">
      <c r="B229" s="232"/>
      <c r="C229" s="659"/>
      <c r="D229" s="233"/>
      <c r="E229" s="233"/>
      <c r="F229" s="233"/>
      <c r="G229" s="233"/>
      <c r="H229" s="657"/>
      <c r="I229" s="234"/>
      <c r="J229" s="235"/>
      <c r="K229" s="409"/>
    </row>
    <row r="230" spans="2:11" ht="20.25" customHeight="1" outlineLevel="1">
      <c r="B230" s="232"/>
      <c r="C230" s="659"/>
      <c r="D230" s="233"/>
      <c r="E230" s="233"/>
      <c r="F230" s="233"/>
      <c r="G230" s="233"/>
      <c r="H230" s="657"/>
      <c r="I230" s="234"/>
      <c r="J230" s="235"/>
      <c r="K230" s="409"/>
    </row>
    <row r="231" spans="2:11" ht="20.25" customHeight="1" outlineLevel="1">
      <c r="B231" s="232"/>
      <c r="C231" s="659"/>
      <c r="D231" s="233"/>
      <c r="E231" s="233"/>
      <c r="F231" s="233"/>
      <c r="G231" s="233"/>
      <c r="H231" s="657"/>
      <c r="I231" s="234"/>
      <c r="J231" s="235"/>
      <c r="K231" s="409"/>
    </row>
    <row r="232" spans="2:11" ht="20.25" customHeight="1" outlineLevel="1">
      <c r="B232" s="232"/>
      <c r="C232" s="659"/>
      <c r="D232" s="233"/>
      <c r="E232" s="233"/>
      <c r="F232" s="233"/>
      <c r="G232" s="233"/>
      <c r="H232" s="657"/>
      <c r="I232" s="234"/>
      <c r="J232" s="235"/>
      <c r="K232" s="409"/>
    </row>
    <row r="233" spans="2:11" ht="20.25" customHeight="1" outlineLevel="1">
      <c r="B233" s="232"/>
      <c r="C233" s="659"/>
      <c r="D233" s="233"/>
      <c r="E233" s="233"/>
      <c r="F233" s="233"/>
      <c r="G233" s="233"/>
      <c r="H233" s="657"/>
      <c r="I233" s="234"/>
      <c r="J233" s="235"/>
      <c r="K233" s="409"/>
    </row>
    <row r="234" spans="2:11" ht="20.25" customHeight="1" outlineLevel="1">
      <c r="B234" s="232"/>
      <c r="C234" s="659"/>
      <c r="D234" s="233"/>
      <c r="E234" s="233"/>
      <c r="F234" s="233"/>
      <c r="G234" s="233"/>
      <c r="H234" s="657"/>
      <c r="I234" s="234"/>
      <c r="J234" s="235"/>
      <c r="K234" s="409"/>
    </row>
    <row r="235" spans="2:11" ht="20.25" customHeight="1" outlineLevel="1">
      <c r="B235" s="232"/>
      <c r="C235" s="659"/>
      <c r="D235" s="233"/>
      <c r="E235" s="233"/>
      <c r="F235" s="233"/>
      <c r="G235" s="233"/>
      <c r="H235" s="657"/>
      <c r="I235" s="234"/>
      <c r="J235" s="235"/>
      <c r="K235" s="409"/>
    </row>
    <row r="236" spans="2:11" ht="20.25" customHeight="1" outlineLevel="1">
      <c r="B236" s="232"/>
      <c r="C236" s="659"/>
      <c r="D236" s="658"/>
      <c r="E236" s="658"/>
      <c r="F236" s="658"/>
      <c r="G236" s="658"/>
      <c r="H236" s="657"/>
      <c r="I236" s="234"/>
      <c r="J236" s="235"/>
      <c r="K236" s="409"/>
    </row>
    <row r="237" spans="2:11" ht="20.25" customHeight="1" outlineLevel="1">
      <c r="B237" s="232"/>
      <c r="C237" s="659"/>
      <c r="D237" s="658"/>
      <c r="E237" s="658"/>
      <c r="F237" s="658"/>
      <c r="G237" s="658"/>
      <c r="H237" s="657"/>
      <c r="I237" s="234"/>
      <c r="J237" s="235"/>
      <c r="K237" s="409"/>
    </row>
    <row r="238" spans="2:11" ht="20.25" customHeight="1" outlineLevel="1">
      <c r="B238" s="232"/>
      <c r="C238" s="659"/>
      <c r="D238" s="658"/>
      <c r="E238" s="233"/>
      <c r="F238" s="233"/>
      <c r="G238" s="233"/>
      <c r="H238" s="657"/>
      <c r="I238" s="234"/>
      <c r="J238" s="235"/>
      <c r="K238" s="409"/>
    </row>
    <row r="239" spans="2:11" ht="20.25" customHeight="1" outlineLevel="1">
      <c r="B239" s="232"/>
      <c r="C239" s="659"/>
      <c r="D239" s="658"/>
      <c r="E239" s="233"/>
      <c r="F239" s="233"/>
      <c r="G239" s="233"/>
      <c r="H239" s="657"/>
      <c r="I239" s="234"/>
      <c r="J239" s="235"/>
      <c r="K239" s="409"/>
    </row>
    <row r="240" spans="2:11" ht="20.25" customHeight="1" outlineLevel="1">
      <c r="B240" s="232"/>
      <c r="C240" s="659"/>
      <c r="D240" s="658"/>
      <c r="E240" s="233"/>
      <c r="F240" s="233"/>
      <c r="G240" s="233"/>
      <c r="H240" s="657"/>
      <c r="I240" s="234"/>
      <c r="J240" s="235"/>
      <c r="K240" s="409"/>
    </row>
    <row r="241" spans="2:11" ht="20.25" customHeight="1" outlineLevel="1">
      <c r="B241" s="232"/>
      <c r="C241" s="659"/>
      <c r="D241" s="658"/>
      <c r="E241" s="233"/>
      <c r="F241" s="233"/>
      <c r="G241" s="233"/>
      <c r="H241" s="657"/>
      <c r="I241" s="234"/>
      <c r="J241" s="235"/>
      <c r="K241" s="409"/>
    </row>
    <row r="242" spans="2:11" ht="20.25" customHeight="1" outlineLevel="1">
      <c r="B242" s="232"/>
      <c r="C242" s="659"/>
      <c r="D242" s="658"/>
      <c r="E242" s="233"/>
      <c r="F242" s="233"/>
      <c r="G242" s="233"/>
      <c r="H242" s="657"/>
      <c r="I242" s="234"/>
      <c r="J242" s="235"/>
      <c r="K242" s="409"/>
    </row>
    <row r="243" spans="2:11" ht="20.25" customHeight="1" outlineLevel="1">
      <c r="B243" s="232"/>
      <c r="C243" s="659"/>
      <c r="D243" s="658"/>
      <c r="E243" s="233"/>
      <c r="F243" s="233"/>
      <c r="G243" s="233"/>
      <c r="H243" s="657"/>
      <c r="I243" s="234"/>
      <c r="J243" s="235"/>
      <c r="K243" s="409"/>
    </row>
    <row r="244" spans="2:11" ht="20.25" customHeight="1" outlineLevel="1">
      <c r="B244" s="232"/>
      <c r="C244" s="659"/>
      <c r="D244" s="658"/>
      <c r="E244" s="233"/>
      <c r="F244" s="233"/>
      <c r="G244" s="233"/>
      <c r="H244" s="657"/>
      <c r="I244" s="234"/>
      <c r="J244" s="235"/>
      <c r="K244" s="409"/>
    </row>
    <row r="245" spans="2:11" ht="20.25" customHeight="1" outlineLevel="1">
      <c r="B245" s="232"/>
      <c r="C245" s="659"/>
      <c r="D245" s="658"/>
      <c r="E245" s="233"/>
      <c r="F245" s="233"/>
      <c r="G245" s="233"/>
      <c r="H245" s="657"/>
      <c r="I245" s="234"/>
      <c r="J245" s="235"/>
      <c r="K245" s="409"/>
    </row>
    <row r="246" spans="2:11" ht="20.25" customHeight="1" outlineLevel="1">
      <c r="B246" s="232"/>
      <c r="C246" s="659"/>
      <c r="D246" s="658"/>
      <c r="E246" s="233"/>
      <c r="F246" s="233"/>
      <c r="G246" s="233"/>
      <c r="H246" s="657"/>
      <c r="I246" s="234"/>
      <c r="J246" s="235"/>
      <c r="K246" s="409"/>
    </row>
    <row r="247" spans="2:11" ht="20.25" customHeight="1" outlineLevel="1">
      <c r="B247" s="232"/>
      <c r="C247" s="659"/>
      <c r="D247" s="233"/>
      <c r="E247" s="233"/>
      <c r="F247" s="233"/>
      <c r="G247" s="233"/>
      <c r="H247" s="657"/>
      <c r="I247" s="234"/>
      <c r="J247" s="235"/>
      <c r="K247" s="409"/>
    </row>
    <row r="248" spans="2:11" ht="20.25" customHeight="1" outlineLevel="1">
      <c r="B248" s="232"/>
      <c r="C248" s="659"/>
      <c r="D248" s="233"/>
      <c r="E248" s="233"/>
      <c r="F248" s="233"/>
      <c r="G248" s="233"/>
      <c r="H248" s="657"/>
      <c r="I248" s="234"/>
      <c r="J248" s="235"/>
      <c r="K248" s="409"/>
    </row>
    <row r="249" spans="2:11" ht="20.25" customHeight="1" outlineLevel="1">
      <c r="B249" s="232"/>
      <c r="C249" s="659"/>
      <c r="D249" s="658"/>
      <c r="E249" s="658"/>
      <c r="F249" s="658"/>
      <c r="G249" s="658"/>
      <c r="H249" s="657"/>
      <c r="I249" s="234"/>
      <c r="J249" s="235"/>
      <c r="K249" s="409"/>
    </row>
    <row r="250" spans="2:11" ht="20.25" customHeight="1" outlineLevel="1">
      <c r="B250" s="232"/>
      <c r="C250" s="659"/>
      <c r="D250" s="658"/>
      <c r="E250" s="658"/>
      <c r="F250" s="658"/>
      <c r="G250" s="658"/>
      <c r="H250" s="657"/>
      <c r="I250" s="234"/>
      <c r="J250" s="235"/>
      <c r="K250" s="409"/>
    </row>
    <row r="251" spans="2:11" ht="20.25" customHeight="1" outlineLevel="1">
      <c r="B251" s="232"/>
      <c r="C251" s="659"/>
      <c r="D251" s="658"/>
      <c r="E251" s="658"/>
      <c r="F251" s="658"/>
      <c r="G251" s="658"/>
      <c r="H251" s="657"/>
      <c r="I251" s="234"/>
      <c r="J251" s="235"/>
      <c r="K251" s="409"/>
    </row>
    <row r="252" spans="2:11" ht="20.25" customHeight="1" outlineLevel="1">
      <c r="B252" s="232"/>
      <c r="C252" s="659"/>
      <c r="D252" s="658"/>
      <c r="E252" s="658"/>
      <c r="F252" s="658"/>
      <c r="G252" s="658"/>
      <c r="H252" s="657"/>
      <c r="I252" s="234"/>
      <c r="J252" s="235"/>
      <c r="K252" s="409"/>
    </row>
    <row r="253" spans="2:11" ht="20.25" customHeight="1" outlineLevel="1">
      <c r="B253" s="232"/>
      <c r="C253" s="659"/>
      <c r="D253" s="658"/>
      <c r="E253" s="658"/>
      <c r="F253" s="658"/>
      <c r="G253" s="658"/>
      <c r="H253" s="657"/>
      <c r="I253" s="234"/>
      <c r="J253" s="235"/>
      <c r="K253" s="409"/>
    </row>
    <row r="254" spans="2:11" ht="20.25" customHeight="1" outlineLevel="1">
      <c r="B254" s="232"/>
      <c r="C254" s="659"/>
      <c r="D254" s="658"/>
      <c r="E254" s="658"/>
      <c r="F254" s="658"/>
      <c r="G254" s="658"/>
      <c r="H254" s="657"/>
      <c r="I254" s="234"/>
      <c r="J254" s="235"/>
      <c r="K254" s="409"/>
    </row>
    <row r="255" spans="2:11" ht="20.25" customHeight="1" outlineLevel="1">
      <c r="B255" s="232"/>
      <c r="C255" s="659"/>
      <c r="D255" s="658"/>
      <c r="E255" s="658"/>
      <c r="F255" s="658"/>
      <c r="G255" s="658"/>
      <c r="H255" s="657"/>
      <c r="I255" s="234"/>
      <c r="J255" s="235"/>
      <c r="K255" s="409"/>
    </row>
    <row r="256" spans="2:11" ht="20.25" customHeight="1" outlineLevel="1">
      <c r="B256" s="232"/>
      <c r="C256" s="659"/>
      <c r="D256" s="658"/>
      <c r="E256" s="658"/>
      <c r="F256" s="658"/>
      <c r="G256" s="658"/>
      <c r="H256" s="657"/>
      <c r="I256" s="234"/>
      <c r="J256" s="235"/>
      <c r="K256" s="409"/>
    </row>
    <row r="257" spans="2:11" ht="20.25" customHeight="1" outlineLevel="1">
      <c r="B257" s="232"/>
      <c r="C257" s="659"/>
      <c r="D257" s="658"/>
      <c r="E257" s="658"/>
      <c r="F257" s="658"/>
      <c r="G257" s="658"/>
      <c r="H257" s="657"/>
      <c r="I257" s="234"/>
      <c r="J257" s="235"/>
      <c r="K257" s="409"/>
    </row>
    <row r="258" spans="2:11" ht="20.25" customHeight="1" outlineLevel="1">
      <c r="B258" s="232"/>
      <c r="C258" s="659"/>
      <c r="D258" s="658"/>
      <c r="E258" s="658"/>
      <c r="F258" s="658"/>
      <c r="G258" s="658"/>
      <c r="H258" s="657"/>
      <c r="I258" s="234"/>
      <c r="J258" s="235"/>
      <c r="K258" s="409"/>
    </row>
    <row r="259" spans="2:11" ht="20.25" customHeight="1" outlineLevel="1">
      <c r="B259" s="232"/>
      <c r="C259" s="659"/>
      <c r="D259" s="658"/>
      <c r="E259" s="658"/>
      <c r="F259" s="658"/>
      <c r="G259" s="658"/>
      <c r="H259" s="657"/>
      <c r="I259" s="234"/>
      <c r="J259" s="235"/>
      <c r="K259" s="409"/>
    </row>
    <row r="260" spans="2:11" ht="20.25" customHeight="1" outlineLevel="1">
      <c r="B260" s="232"/>
      <c r="C260" s="659"/>
      <c r="D260" s="658"/>
      <c r="E260" s="658"/>
      <c r="F260" s="658"/>
      <c r="G260" s="658"/>
      <c r="H260" s="657"/>
      <c r="I260" s="234"/>
      <c r="J260" s="235"/>
      <c r="K260" s="409"/>
    </row>
    <row r="261" spans="2:11" ht="20.25" customHeight="1" outlineLevel="1">
      <c r="B261" s="232"/>
      <c r="C261" s="659"/>
      <c r="D261" s="658"/>
      <c r="E261" s="658"/>
      <c r="F261" s="658"/>
      <c r="G261" s="658"/>
      <c r="H261" s="657"/>
      <c r="I261" s="234"/>
      <c r="J261" s="235"/>
      <c r="K261" s="409"/>
    </row>
    <row r="262" spans="2:11" ht="20.25" customHeight="1" outlineLevel="1">
      <c r="B262" s="232"/>
      <c r="C262" s="659"/>
      <c r="D262" s="658"/>
      <c r="E262" s="658"/>
      <c r="F262" s="658"/>
      <c r="G262" s="658"/>
      <c r="H262" s="657"/>
      <c r="I262" s="234"/>
      <c r="J262" s="235"/>
      <c r="K262" s="409"/>
    </row>
    <row r="263" spans="2:11" ht="20.25" customHeight="1" outlineLevel="1">
      <c r="B263" s="232"/>
      <c r="C263" s="659"/>
      <c r="D263" s="658"/>
      <c r="E263" s="658"/>
      <c r="F263" s="658"/>
      <c r="G263" s="658"/>
      <c r="H263" s="657"/>
      <c r="I263" s="234"/>
      <c r="J263" s="235"/>
      <c r="K263" s="409"/>
    </row>
    <row r="264" spans="2:11" ht="20.25" customHeight="1" outlineLevel="1">
      <c r="B264" s="232"/>
      <c r="C264" s="659"/>
      <c r="D264" s="658"/>
      <c r="E264" s="658"/>
      <c r="F264" s="658"/>
      <c r="G264" s="658"/>
      <c r="H264" s="657"/>
      <c r="I264" s="234"/>
      <c r="J264" s="235"/>
      <c r="K264" s="409"/>
    </row>
    <row r="265" spans="2:11" ht="20.25" customHeight="1" outlineLevel="1">
      <c r="B265" s="232"/>
      <c r="C265" s="659"/>
      <c r="D265" s="658"/>
      <c r="E265" s="658"/>
      <c r="F265" s="658"/>
      <c r="G265" s="658"/>
      <c r="H265" s="657"/>
      <c r="I265" s="234"/>
      <c r="J265" s="235"/>
      <c r="K265" s="409"/>
    </row>
    <row r="266" spans="2:11" ht="20.25" customHeight="1" outlineLevel="1">
      <c r="B266" s="232"/>
      <c r="C266" s="659"/>
      <c r="D266" s="658"/>
      <c r="E266" s="658"/>
      <c r="F266" s="658"/>
      <c r="G266" s="658"/>
      <c r="H266" s="657"/>
      <c r="I266" s="234"/>
      <c r="J266" s="235"/>
      <c r="K266" s="409"/>
    </row>
    <row r="267" spans="2:11" ht="20.25" customHeight="1" outlineLevel="1">
      <c r="B267" s="232"/>
      <c r="C267" s="659"/>
      <c r="D267" s="658"/>
      <c r="E267" s="658"/>
      <c r="F267" s="658"/>
      <c r="G267" s="658"/>
      <c r="H267" s="657"/>
      <c r="I267" s="234"/>
      <c r="J267" s="235"/>
      <c r="K267" s="409"/>
    </row>
    <row r="268" spans="2:11" ht="20.25" customHeight="1" outlineLevel="1">
      <c r="B268" s="232"/>
      <c r="C268" s="659"/>
      <c r="D268" s="658"/>
      <c r="E268" s="658"/>
      <c r="F268" s="658"/>
      <c r="G268" s="658"/>
      <c r="H268" s="657"/>
      <c r="I268" s="234"/>
      <c r="J268" s="235"/>
      <c r="K268" s="409"/>
    </row>
    <row r="269" spans="2:11" ht="20.25" customHeight="1" outlineLevel="1">
      <c r="B269" s="232"/>
      <c r="C269" s="659"/>
      <c r="D269" s="658"/>
      <c r="E269" s="658"/>
      <c r="F269" s="658"/>
      <c r="G269" s="658"/>
      <c r="H269" s="657"/>
      <c r="I269" s="234"/>
      <c r="J269" s="235"/>
      <c r="K269" s="409"/>
    </row>
    <row r="270" spans="2:11" ht="20.25" customHeight="1" outlineLevel="1">
      <c r="B270" s="232"/>
      <c r="C270" s="659"/>
      <c r="D270" s="658"/>
      <c r="E270" s="658"/>
      <c r="F270" s="658"/>
      <c r="G270" s="658"/>
      <c r="H270" s="657"/>
      <c r="I270" s="234"/>
      <c r="J270" s="235"/>
      <c r="K270" s="409"/>
    </row>
    <row r="271" spans="2:11" ht="20.25" customHeight="1" outlineLevel="1">
      <c r="B271" s="232"/>
      <c r="C271" s="659"/>
      <c r="D271" s="658"/>
      <c r="E271" s="658"/>
      <c r="F271" s="658"/>
      <c r="G271" s="658"/>
      <c r="H271" s="657"/>
      <c r="I271" s="234"/>
      <c r="J271" s="235"/>
      <c r="K271" s="409"/>
    </row>
    <row r="272" spans="2:11" ht="20.25" customHeight="1" outlineLevel="1">
      <c r="B272" s="232"/>
      <c r="C272" s="659"/>
      <c r="D272" s="658"/>
      <c r="E272" s="658"/>
      <c r="F272" s="658"/>
      <c r="G272" s="658"/>
      <c r="H272" s="657"/>
      <c r="I272" s="234"/>
      <c r="J272" s="235"/>
      <c r="K272" s="409"/>
    </row>
    <row r="273" spans="2:11" ht="20.25" customHeight="1" outlineLevel="1">
      <c r="B273" s="232"/>
      <c r="C273" s="659"/>
      <c r="D273" s="658"/>
      <c r="E273" s="658"/>
      <c r="F273" s="658"/>
      <c r="G273" s="658"/>
      <c r="H273" s="657"/>
      <c r="I273" s="234"/>
      <c r="J273" s="235"/>
      <c r="K273" s="409"/>
    </row>
    <row r="274" spans="2:11" ht="20.25" customHeight="1" outlineLevel="1">
      <c r="B274" s="232"/>
      <c r="C274" s="659"/>
      <c r="D274" s="658"/>
      <c r="E274" s="658"/>
      <c r="F274" s="658"/>
      <c r="G274" s="658"/>
      <c r="H274" s="657"/>
      <c r="I274" s="234"/>
      <c r="J274" s="235"/>
      <c r="K274" s="409"/>
    </row>
    <row r="275" spans="2:11" ht="20.25" customHeight="1" outlineLevel="1">
      <c r="B275" s="232"/>
      <c r="C275" s="659"/>
      <c r="D275" s="658"/>
      <c r="E275" s="658"/>
      <c r="F275" s="658"/>
      <c r="G275" s="658"/>
      <c r="H275" s="657"/>
      <c r="I275" s="234"/>
      <c r="J275" s="235"/>
      <c r="K275" s="409"/>
    </row>
    <row r="276" spans="2:11" ht="20.25" customHeight="1" outlineLevel="1">
      <c r="B276" s="232"/>
      <c r="C276" s="659"/>
      <c r="D276" s="658"/>
      <c r="E276" s="658"/>
      <c r="F276" s="658"/>
      <c r="G276" s="658"/>
      <c r="H276" s="657"/>
      <c r="I276" s="234"/>
      <c r="J276" s="235"/>
      <c r="K276" s="409"/>
    </row>
    <row r="277" spans="2:11" ht="20.25" customHeight="1" outlineLevel="1">
      <c r="B277" s="232"/>
      <c r="C277" s="659"/>
      <c r="D277" s="658"/>
      <c r="E277" s="658"/>
      <c r="F277" s="658"/>
      <c r="G277" s="658"/>
      <c r="H277" s="657"/>
      <c r="I277" s="234"/>
      <c r="J277" s="235"/>
      <c r="K277" s="409"/>
    </row>
    <row r="278" spans="2:11" ht="20.25" customHeight="1" outlineLevel="1">
      <c r="B278" s="232"/>
      <c r="C278" s="659"/>
      <c r="D278" s="658"/>
      <c r="E278" s="658"/>
      <c r="F278" s="658"/>
      <c r="G278" s="658"/>
      <c r="H278" s="657"/>
      <c r="I278" s="234"/>
      <c r="J278" s="235"/>
      <c r="K278" s="409"/>
    </row>
    <row r="279" spans="2:11" ht="20.25" customHeight="1" outlineLevel="1">
      <c r="B279" s="232"/>
      <c r="C279" s="659"/>
      <c r="D279" s="658"/>
      <c r="E279" s="658"/>
      <c r="F279" s="658"/>
      <c r="G279" s="658"/>
      <c r="H279" s="657"/>
      <c r="I279" s="234"/>
      <c r="J279" s="235"/>
      <c r="K279" s="409"/>
    </row>
    <row r="280" spans="2:11" ht="20.25" customHeight="1" outlineLevel="1">
      <c r="B280" s="232"/>
      <c r="C280" s="659"/>
      <c r="D280" s="658"/>
      <c r="E280" s="658"/>
      <c r="F280" s="658"/>
      <c r="G280" s="658"/>
      <c r="H280" s="657"/>
      <c r="I280" s="234"/>
      <c r="J280" s="235"/>
      <c r="K280" s="409"/>
    </row>
    <row r="281" spans="2:11" ht="20.25" customHeight="1" outlineLevel="1">
      <c r="B281" s="232"/>
      <c r="C281" s="659"/>
      <c r="D281" s="658"/>
      <c r="E281" s="658"/>
      <c r="F281" s="658"/>
      <c r="G281" s="658"/>
      <c r="H281" s="657"/>
      <c r="I281" s="234"/>
      <c r="J281" s="235"/>
      <c r="K281" s="409"/>
    </row>
    <row r="282" spans="2:11" ht="20.25" customHeight="1" outlineLevel="1">
      <c r="B282" s="232"/>
      <c r="C282" s="659"/>
      <c r="D282" s="233"/>
      <c r="E282" s="233"/>
      <c r="F282" s="233"/>
      <c r="G282" s="233"/>
      <c r="H282" s="657"/>
      <c r="I282" s="234"/>
      <c r="J282" s="235"/>
      <c r="K282" s="409"/>
    </row>
    <row r="283" spans="2:11" ht="20.25" customHeight="1" outlineLevel="1">
      <c r="B283" s="232"/>
      <c r="C283" s="659"/>
      <c r="D283" s="233"/>
      <c r="E283" s="233"/>
      <c r="F283" s="233"/>
      <c r="G283" s="233"/>
      <c r="H283" s="657"/>
      <c r="I283" s="234"/>
      <c r="J283" s="235"/>
      <c r="K283" s="409"/>
    </row>
    <row r="284" spans="2:11" ht="20.25" customHeight="1" outlineLevel="1">
      <c r="B284" s="232"/>
      <c r="C284" s="659"/>
      <c r="D284" s="233"/>
      <c r="E284" s="233"/>
      <c r="F284" s="233"/>
      <c r="G284" s="233"/>
      <c r="H284" s="657"/>
      <c r="I284" s="234"/>
      <c r="J284" s="235"/>
      <c r="K284" s="409"/>
    </row>
    <row r="285" spans="2:11" ht="20.25" customHeight="1" outlineLevel="1">
      <c r="B285" s="232"/>
      <c r="C285" s="659"/>
      <c r="D285" s="233"/>
      <c r="E285" s="233"/>
      <c r="F285" s="233"/>
      <c r="G285" s="233"/>
      <c r="H285" s="657"/>
      <c r="I285" s="234"/>
      <c r="J285" s="235"/>
      <c r="K285" s="409"/>
    </row>
    <row r="286" spans="2:11" ht="20.25" customHeight="1" outlineLevel="1">
      <c r="B286" s="232"/>
      <c r="C286" s="659"/>
      <c r="D286" s="233"/>
      <c r="E286" s="233"/>
      <c r="F286" s="233"/>
      <c r="G286" s="233"/>
      <c r="H286" s="657"/>
      <c r="I286" s="234"/>
      <c r="J286" s="235"/>
      <c r="K286" s="409"/>
    </row>
    <row r="287" spans="2:11" ht="20.25" customHeight="1" outlineLevel="1">
      <c r="B287" s="232"/>
      <c r="C287" s="659"/>
      <c r="D287" s="233"/>
      <c r="E287" s="233"/>
      <c r="F287" s="233"/>
      <c r="G287" s="233"/>
      <c r="H287" s="657"/>
      <c r="I287" s="234"/>
      <c r="J287" s="235"/>
      <c r="K287" s="409"/>
    </row>
    <row r="288" spans="2:11" ht="20.25" customHeight="1" outlineLevel="1">
      <c r="B288" s="232"/>
      <c r="C288" s="659"/>
      <c r="D288" s="233"/>
      <c r="E288" s="233"/>
      <c r="F288" s="233"/>
      <c r="G288" s="233"/>
      <c r="H288" s="657"/>
      <c r="I288" s="234"/>
      <c r="J288" s="235"/>
      <c r="K288" s="409"/>
    </row>
    <row r="289" spans="2:11" ht="20.25" customHeight="1" outlineLevel="1">
      <c r="B289" s="232"/>
      <c r="C289" s="659"/>
      <c r="D289" s="233"/>
      <c r="E289" s="233"/>
      <c r="F289" s="233"/>
      <c r="G289" s="233"/>
      <c r="H289" s="657"/>
      <c r="I289" s="234"/>
      <c r="J289" s="235"/>
      <c r="K289" s="409"/>
    </row>
    <row r="290" spans="2:11" ht="20.25" customHeight="1" outlineLevel="1">
      <c r="B290" s="232"/>
      <c r="C290" s="659"/>
      <c r="D290" s="233"/>
      <c r="E290" s="233"/>
      <c r="F290" s="233"/>
      <c r="G290" s="233"/>
      <c r="H290" s="657"/>
      <c r="I290" s="234"/>
      <c r="J290" s="235"/>
      <c r="K290" s="409"/>
    </row>
    <row r="291" spans="2:11" ht="20.25" customHeight="1" outlineLevel="1">
      <c r="B291" s="232"/>
      <c r="C291" s="659"/>
      <c r="D291" s="658"/>
      <c r="E291" s="658"/>
      <c r="F291" s="658"/>
      <c r="G291" s="658"/>
      <c r="H291" s="657"/>
      <c r="I291" s="234"/>
      <c r="J291" s="235"/>
      <c r="K291" s="409"/>
    </row>
    <row r="292" spans="2:11" ht="20.25" customHeight="1" outlineLevel="1">
      <c r="B292" s="232"/>
      <c r="C292" s="659"/>
      <c r="D292" s="658"/>
      <c r="E292" s="658"/>
      <c r="F292" s="658"/>
      <c r="G292" s="658"/>
      <c r="H292" s="657"/>
      <c r="I292" s="234"/>
      <c r="J292" s="235"/>
      <c r="K292" s="409"/>
    </row>
    <row r="293" spans="2:11" ht="20.25" customHeight="1" outlineLevel="1">
      <c r="B293" s="232"/>
      <c r="C293" s="659"/>
      <c r="D293" s="658"/>
      <c r="E293" s="233"/>
      <c r="F293" s="233"/>
      <c r="G293" s="233"/>
      <c r="H293" s="657"/>
      <c r="I293" s="234"/>
      <c r="J293" s="235"/>
      <c r="K293" s="409"/>
    </row>
    <row r="294" spans="2:11" ht="20.25" customHeight="1" outlineLevel="1">
      <c r="B294" s="232"/>
      <c r="C294" s="659"/>
      <c r="D294" s="658"/>
      <c r="E294" s="233"/>
      <c r="F294" s="233"/>
      <c r="G294" s="233"/>
      <c r="H294" s="657"/>
      <c r="I294" s="234"/>
      <c r="J294" s="235"/>
      <c r="K294" s="409"/>
    </row>
    <row r="295" spans="2:11" ht="20.25" customHeight="1" outlineLevel="1">
      <c r="B295" s="232"/>
      <c r="C295" s="659"/>
      <c r="D295" s="658"/>
      <c r="E295" s="233"/>
      <c r="F295" s="233"/>
      <c r="G295" s="233"/>
      <c r="H295" s="657"/>
      <c r="I295" s="234"/>
      <c r="J295" s="235"/>
      <c r="K295" s="409"/>
    </row>
    <row r="296" spans="2:11" ht="20.25" customHeight="1" outlineLevel="1">
      <c r="B296" s="232"/>
      <c r="C296" s="659"/>
      <c r="D296" s="658"/>
      <c r="E296" s="233"/>
      <c r="F296" s="233"/>
      <c r="G296" s="233"/>
      <c r="H296" s="657"/>
      <c r="I296" s="234"/>
      <c r="J296" s="235"/>
      <c r="K296" s="409"/>
    </row>
    <row r="297" spans="2:11" ht="20.25" customHeight="1" outlineLevel="1">
      <c r="B297" s="232"/>
      <c r="C297" s="659"/>
      <c r="D297" s="658"/>
      <c r="E297" s="233"/>
      <c r="F297" s="233"/>
      <c r="G297" s="233"/>
      <c r="H297" s="657"/>
      <c r="I297" s="234"/>
      <c r="J297" s="235"/>
      <c r="K297" s="409"/>
    </row>
    <row r="298" spans="2:11" ht="20.25" customHeight="1" outlineLevel="1">
      <c r="B298" s="232"/>
      <c r="C298" s="659"/>
      <c r="D298" s="658"/>
      <c r="E298" s="233"/>
      <c r="F298" s="233"/>
      <c r="G298" s="233"/>
      <c r="H298" s="657"/>
      <c r="I298" s="234"/>
      <c r="J298" s="235"/>
      <c r="K298" s="409"/>
    </row>
    <row r="299" spans="2:11" ht="20.25" customHeight="1" outlineLevel="1">
      <c r="B299" s="232"/>
      <c r="C299" s="659"/>
      <c r="D299" s="658"/>
      <c r="E299" s="233"/>
      <c r="F299" s="233"/>
      <c r="G299" s="233"/>
      <c r="H299" s="657"/>
      <c r="I299" s="234"/>
      <c r="J299" s="235"/>
      <c r="K299" s="409"/>
    </row>
    <row r="300" spans="2:11" ht="20.25" customHeight="1" outlineLevel="1">
      <c r="B300" s="232"/>
      <c r="C300" s="659"/>
      <c r="D300" s="658"/>
      <c r="E300" s="233"/>
      <c r="F300" s="233"/>
      <c r="G300" s="233"/>
      <c r="H300" s="657"/>
      <c r="I300" s="234"/>
      <c r="J300" s="235"/>
      <c r="K300" s="409"/>
    </row>
    <row r="301" spans="2:11" ht="20.25" customHeight="1" outlineLevel="1">
      <c r="B301" s="232"/>
      <c r="C301" s="659"/>
      <c r="D301" s="658"/>
      <c r="E301" s="233"/>
      <c r="F301" s="233"/>
      <c r="G301" s="233"/>
      <c r="H301" s="657"/>
      <c r="I301" s="234"/>
      <c r="J301" s="235"/>
      <c r="K301" s="409"/>
    </row>
    <row r="302" spans="2:11" ht="20.25" customHeight="1" outlineLevel="1">
      <c r="B302" s="232"/>
      <c r="C302" s="659"/>
      <c r="D302" s="233"/>
      <c r="E302" s="233"/>
      <c r="F302" s="233"/>
      <c r="G302" s="233"/>
      <c r="H302" s="657"/>
      <c r="I302" s="234"/>
      <c r="J302" s="235"/>
      <c r="K302" s="409"/>
    </row>
    <row r="303" spans="2:11" ht="20.25" customHeight="1" outlineLevel="1">
      <c r="B303" s="232"/>
      <c r="C303" s="659"/>
      <c r="D303" s="233"/>
      <c r="E303" s="233"/>
      <c r="F303" s="233"/>
      <c r="G303" s="233"/>
      <c r="H303" s="657"/>
      <c r="I303" s="234"/>
      <c r="J303" s="235"/>
      <c r="K303" s="409"/>
    </row>
    <row r="304" spans="2:11" ht="20.25" customHeight="1" outlineLevel="1">
      <c r="B304" s="232"/>
      <c r="C304" s="659"/>
      <c r="D304" s="233"/>
      <c r="E304" s="233"/>
      <c r="F304" s="233"/>
      <c r="G304" s="233"/>
      <c r="H304" s="657"/>
      <c r="I304" s="234"/>
      <c r="J304" s="235"/>
      <c r="K304" s="409"/>
    </row>
    <row r="305" spans="2:11" ht="20.25" customHeight="1" outlineLevel="1">
      <c r="B305" s="232"/>
      <c r="C305" s="659"/>
      <c r="D305" s="233"/>
      <c r="E305" s="233"/>
      <c r="F305" s="233"/>
      <c r="G305" s="233"/>
      <c r="H305" s="657"/>
      <c r="I305" s="234"/>
      <c r="J305" s="235"/>
      <c r="K305" s="409"/>
    </row>
    <row r="306" spans="2:11" ht="20.25" customHeight="1" outlineLevel="1">
      <c r="B306" s="232"/>
      <c r="C306" s="659"/>
      <c r="D306" s="233"/>
      <c r="E306" s="233"/>
      <c r="F306" s="233"/>
      <c r="G306" s="233"/>
      <c r="H306" s="657"/>
      <c r="I306" s="234"/>
      <c r="J306" s="235"/>
      <c r="K306" s="409"/>
    </row>
    <row r="307" spans="2:11" ht="20.25" customHeight="1" outlineLevel="1">
      <c r="B307" s="232"/>
      <c r="C307" s="659"/>
      <c r="D307" s="658"/>
      <c r="E307" s="658"/>
      <c r="F307" s="658"/>
      <c r="G307" s="658"/>
      <c r="H307" s="657"/>
      <c r="I307" s="234"/>
      <c r="J307" s="235"/>
      <c r="K307" s="409"/>
    </row>
    <row r="308" spans="2:11" ht="20.25" customHeight="1" outlineLevel="1">
      <c r="B308" s="232"/>
      <c r="C308" s="659"/>
      <c r="D308" s="658"/>
      <c r="E308" s="658"/>
      <c r="F308" s="658"/>
      <c r="G308" s="658"/>
      <c r="H308" s="657"/>
      <c r="I308" s="234"/>
      <c r="J308" s="235"/>
      <c r="K308" s="409"/>
    </row>
    <row r="309" spans="2:11" ht="20.25" customHeight="1" outlineLevel="1">
      <c r="B309" s="232"/>
      <c r="C309" s="659"/>
      <c r="D309" s="658"/>
      <c r="E309" s="658"/>
      <c r="F309" s="658"/>
      <c r="G309" s="658"/>
      <c r="H309" s="657"/>
      <c r="I309" s="234"/>
      <c r="J309" s="235"/>
      <c r="K309" s="409"/>
    </row>
    <row r="310" spans="2:11" ht="20.25" customHeight="1" outlineLevel="1">
      <c r="B310" s="232"/>
      <c r="C310" s="659"/>
      <c r="D310" s="658"/>
      <c r="E310" s="658"/>
      <c r="F310" s="658"/>
      <c r="G310" s="658"/>
      <c r="H310" s="657"/>
      <c r="I310" s="234"/>
      <c r="J310" s="235"/>
      <c r="K310" s="409"/>
    </row>
    <row r="311" spans="2:11" ht="20.25" customHeight="1" outlineLevel="1">
      <c r="B311" s="232"/>
      <c r="C311" s="659"/>
      <c r="D311" s="658"/>
      <c r="E311" s="658"/>
      <c r="F311" s="658"/>
      <c r="G311" s="658"/>
      <c r="H311" s="657"/>
      <c r="I311" s="234"/>
      <c r="J311" s="235"/>
      <c r="K311" s="409"/>
    </row>
    <row r="312" spans="2:11" ht="20.25" customHeight="1" outlineLevel="1">
      <c r="B312" s="232"/>
      <c r="C312" s="659"/>
      <c r="D312" s="658"/>
      <c r="E312" s="658"/>
      <c r="F312" s="658"/>
      <c r="G312" s="658"/>
      <c r="H312" s="657"/>
      <c r="I312" s="234"/>
      <c r="J312" s="235"/>
      <c r="K312" s="409"/>
    </row>
    <row r="313" spans="2:11" ht="20.25" customHeight="1" outlineLevel="1">
      <c r="B313" s="232"/>
      <c r="C313" s="659"/>
      <c r="D313" s="658"/>
      <c r="E313" s="658"/>
      <c r="F313" s="658"/>
      <c r="G313" s="658"/>
      <c r="H313" s="657"/>
      <c r="I313" s="234"/>
      <c r="J313" s="235"/>
      <c r="K313" s="409"/>
    </row>
    <row r="314" spans="2:11" ht="20.25" customHeight="1" outlineLevel="1">
      <c r="B314" s="232"/>
      <c r="C314" s="659"/>
      <c r="D314" s="658"/>
      <c r="E314" s="658"/>
      <c r="F314" s="658"/>
      <c r="G314" s="658"/>
      <c r="H314" s="657"/>
      <c r="I314" s="234"/>
      <c r="J314" s="235"/>
      <c r="K314" s="409"/>
    </row>
    <row r="315" spans="2:11" ht="20.25" customHeight="1" outlineLevel="1">
      <c r="B315" s="232"/>
      <c r="C315" s="659"/>
      <c r="D315" s="658"/>
      <c r="E315" s="658"/>
      <c r="F315" s="658"/>
      <c r="G315" s="658"/>
      <c r="H315" s="657"/>
      <c r="I315" s="234"/>
      <c r="J315" s="235"/>
      <c r="K315" s="409"/>
    </row>
    <row r="316" spans="2:11" ht="20.25" customHeight="1" outlineLevel="1">
      <c r="B316" s="232"/>
      <c r="C316" s="659"/>
      <c r="D316" s="658"/>
      <c r="E316" s="658"/>
      <c r="F316" s="658"/>
      <c r="G316" s="658"/>
      <c r="H316" s="657"/>
      <c r="I316" s="234"/>
      <c r="J316" s="235"/>
      <c r="K316" s="409"/>
    </row>
    <row r="317" spans="2:11" ht="20.25" customHeight="1" outlineLevel="1">
      <c r="B317" s="232"/>
      <c r="C317" s="659"/>
      <c r="D317" s="658"/>
      <c r="E317" s="658"/>
      <c r="F317" s="658"/>
      <c r="G317" s="658"/>
      <c r="H317" s="657"/>
      <c r="I317" s="234"/>
      <c r="J317" s="235"/>
      <c r="K317" s="409"/>
    </row>
    <row r="318" spans="2:11" ht="20.25" customHeight="1" outlineLevel="1">
      <c r="B318" s="232"/>
      <c r="C318" s="659"/>
      <c r="D318" s="658"/>
      <c r="E318" s="658"/>
      <c r="F318" s="658"/>
      <c r="G318" s="658"/>
      <c r="H318" s="657"/>
      <c r="I318" s="234"/>
      <c r="J318" s="235"/>
      <c r="K318" s="409"/>
    </row>
    <row r="319" spans="2:11" ht="20.25" customHeight="1" outlineLevel="1">
      <c r="B319" s="232"/>
      <c r="C319" s="659"/>
      <c r="D319" s="658"/>
      <c r="E319" s="658"/>
      <c r="F319" s="658"/>
      <c r="G319" s="658"/>
      <c r="H319" s="657"/>
      <c r="I319" s="234"/>
      <c r="J319" s="235"/>
      <c r="K319" s="409"/>
    </row>
    <row r="320" spans="2:11" ht="20.25" customHeight="1" outlineLevel="1">
      <c r="B320" s="232"/>
      <c r="C320" s="659"/>
      <c r="D320" s="658"/>
      <c r="E320" s="658"/>
      <c r="F320" s="658"/>
      <c r="G320" s="658"/>
      <c r="H320" s="657"/>
      <c r="I320" s="234"/>
      <c r="J320" s="235"/>
      <c r="K320" s="409"/>
    </row>
    <row r="321" spans="2:11" ht="20.25" customHeight="1" outlineLevel="1">
      <c r="B321" s="232"/>
      <c r="C321" s="659"/>
      <c r="D321" s="658"/>
      <c r="E321" s="658"/>
      <c r="F321" s="658"/>
      <c r="G321" s="658"/>
      <c r="H321" s="657"/>
      <c r="I321" s="234"/>
      <c r="J321" s="235"/>
      <c r="K321" s="409"/>
    </row>
    <row r="322" spans="2:11" ht="20.25" customHeight="1" outlineLevel="1">
      <c r="B322" s="232"/>
      <c r="C322" s="659"/>
      <c r="D322" s="658"/>
      <c r="E322" s="658"/>
      <c r="F322" s="658"/>
      <c r="G322" s="658"/>
      <c r="H322" s="657"/>
      <c r="I322" s="234"/>
      <c r="J322" s="235"/>
      <c r="K322" s="409"/>
    </row>
    <row r="323" spans="2:11" ht="20.25" customHeight="1" outlineLevel="1">
      <c r="B323" s="232"/>
      <c r="C323" s="659"/>
      <c r="D323" s="658"/>
      <c r="E323" s="658"/>
      <c r="F323" s="658"/>
      <c r="G323" s="658"/>
      <c r="H323" s="657"/>
      <c r="I323" s="234"/>
      <c r="J323" s="235"/>
      <c r="K323" s="409"/>
    </row>
    <row r="324" spans="2:11" ht="20.25" customHeight="1" outlineLevel="1">
      <c r="B324" s="232"/>
      <c r="C324" s="659"/>
      <c r="D324" s="658"/>
      <c r="E324" s="658"/>
      <c r="F324" s="658"/>
      <c r="G324" s="658"/>
      <c r="H324" s="657"/>
      <c r="I324" s="234"/>
      <c r="J324" s="235"/>
      <c r="K324" s="409"/>
    </row>
    <row r="325" spans="2:11" ht="20.25" customHeight="1" outlineLevel="1">
      <c r="B325" s="232"/>
      <c r="C325" s="659"/>
      <c r="D325" s="658"/>
      <c r="E325" s="658"/>
      <c r="F325" s="658"/>
      <c r="G325" s="658"/>
      <c r="H325" s="657"/>
      <c r="I325" s="234"/>
      <c r="J325" s="235"/>
      <c r="K325" s="409"/>
    </row>
    <row r="326" spans="2:11" ht="20.25" customHeight="1" outlineLevel="1">
      <c r="B326" s="232"/>
      <c r="C326" s="659"/>
      <c r="D326" s="658"/>
      <c r="E326" s="658"/>
      <c r="F326" s="658"/>
      <c r="G326" s="658"/>
      <c r="H326" s="657"/>
      <c r="I326" s="234"/>
      <c r="J326" s="235"/>
      <c r="K326" s="409"/>
    </row>
    <row r="327" spans="2:11" ht="20.25" customHeight="1" outlineLevel="1">
      <c r="B327" s="232"/>
      <c r="C327" s="659"/>
      <c r="D327" s="658"/>
      <c r="E327" s="658"/>
      <c r="F327" s="658"/>
      <c r="G327" s="658"/>
      <c r="H327" s="657"/>
      <c r="I327" s="234"/>
      <c r="J327" s="235"/>
      <c r="K327" s="409"/>
    </row>
    <row r="328" spans="2:11" ht="20.25" customHeight="1" outlineLevel="1">
      <c r="B328" s="232"/>
      <c r="C328" s="659"/>
      <c r="D328" s="658"/>
      <c r="E328" s="658"/>
      <c r="F328" s="658"/>
      <c r="G328" s="658"/>
      <c r="H328" s="657"/>
      <c r="I328" s="234"/>
      <c r="J328" s="235"/>
      <c r="K328" s="409"/>
    </row>
    <row r="329" spans="2:11" ht="20.25" customHeight="1" outlineLevel="1">
      <c r="B329" s="232"/>
      <c r="C329" s="659"/>
      <c r="D329" s="658"/>
      <c r="E329" s="658"/>
      <c r="F329" s="658"/>
      <c r="G329" s="658"/>
      <c r="H329" s="657"/>
      <c r="I329" s="234"/>
      <c r="J329" s="235"/>
      <c r="K329" s="409"/>
    </row>
    <row r="330" spans="2:11" ht="20.25" customHeight="1" outlineLevel="1">
      <c r="B330" s="232"/>
      <c r="C330" s="659"/>
      <c r="D330" s="658"/>
      <c r="E330" s="658"/>
      <c r="F330" s="658"/>
      <c r="G330" s="658"/>
      <c r="H330" s="657"/>
      <c r="I330" s="234"/>
      <c r="J330" s="235"/>
      <c r="K330" s="409"/>
    </row>
    <row r="331" spans="2:11" ht="20.25" customHeight="1" outlineLevel="1">
      <c r="B331" s="232"/>
      <c r="C331" s="659"/>
      <c r="D331" s="658"/>
      <c r="E331" s="658"/>
      <c r="F331" s="658"/>
      <c r="G331" s="658"/>
      <c r="H331" s="657"/>
      <c r="I331" s="234"/>
      <c r="J331" s="235"/>
      <c r="K331" s="409"/>
    </row>
    <row r="332" spans="2:11" ht="20.25" customHeight="1" outlineLevel="1">
      <c r="B332" s="232"/>
      <c r="C332" s="659"/>
      <c r="D332" s="658"/>
      <c r="E332" s="658"/>
      <c r="F332" s="658"/>
      <c r="G332" s="658"/>
      <c r="H332" s="657"/>
      <c r="I332" s="234"/>
      <c r="J332" s="235"/>
      <c r="K332" s="409"/>
    </row>
    <row r="333" spans="2:11" ht="20.25" customHeight="1" outlineLevel="1">
      <c r="B333" s="232"/>
      <c r="C333" s="659"/>
      <c r="D333" s="658"/>
      <c r="E333" s="658"/>
      <c r="F333" s="658"/>
      <c r="G333" s="658"/>
      <c r="H333" s="657"/>
      <c r="I333" s="234"/>
      <c r="J333" s="235"/>
      <c r="K333" s="409"/>
    </row>
    <row r="334" spans="2:11" ht="20.25" customHeight="1" outlineLevel="1">
      <c r="B334" s="232"/>
      <c r="C334" s="659"/>
      <c r="D334" s="658"/>
      <c r="E334" s="658"/>
      <c r="F334" s="658"/>
      <c r="G334" s="658"/>
      <c r="H334" s="657"/>
      <c r="I334" s="234"/>
      <c r="J334" s="235"/>
      <c r="K334" s="409"/>
    </row>
    <row r="335" spans="2:11" ht="18.75" customHeight="1" outlineLevel="1">
      <c r="B335" s="232"/>
      <c r="C335" s="659"/>
      <c r="D335" s="658"/>
      <c r="E335" s="658"/>
      <c r="F335" s="658"/>
      <c r="G335" s="658"/>
      <c r="H335" s="657"/>
      <c r="I335" s="234"/>
      <c r="J335" s="235"/>
      <c r="K335" s="409"/>
    </row>
    <row r="336" spans="2:11" ht="20.25" customHeight="1" outlineLevel="1">
      <c r="B336" s="232"/>
      <c r="C336" s="659"/>
      <c r="D336" s="658"/>
      <c r="E336" s="658"/>
      <c r="F336" s="658"/>
      <c r="G336" s="658"/>
      <c r="H336" s="657"/>
      <c r="I336" s="234"/>
      <c r="J336" s="235"/>
      <c r="K336" s="409"/>
    </row>
    <row r="337" spans="2:11" ht="20.25" customHeight="1" outlineLevel="1">
      <c r="B337" s="232"/>
      <c r="C337" s="659"/>
      <c r="D337" s="658"/>
      <c r="E337" s="658"/>
      <c r="F337" s="658"/>
      <c r="G337" s="658"/>
      <c r="H337" s="657"/>
      <c r="I337" s="234"/>
      <c r="J337" s="235"/>
      <c r="K337" s="409"/>
    </row>
    <row r="338" spans="2:11" ht="20.25" customHeight="1" outlineLevel="1">
      <c r="B338" s="232"/>
      <c r="C338" s="659"/>
      <c r="D338" s="658"/>
      <c r="E338" s="658"/>
      <c r="F338" s="658"/>
      <c r="G338" s="658"/>
      <c r="H338" s="657"/>
      <c r="I338" s="234"/>
      <c r="J338" s="235"/>
      <c r="K338" s="409"/>
    </row>
    <row r="339" spans="2:11" ht="20.25" customHeight="1" outlineLevel="1">
      <c r="B339" s="232"/>
      <c r="C339" s="659"/>
      <c r="D339" s="233"/>
      <c r="E339" s="233"/>
      <c r="F339" s="233"/>
      <c r="G339" s="233"/>
      <c r="H339" s="657"/>
      <c r="I339" s="234"/>
      <c r="J339" s="235"/>
      <c r="K339" s="409"/>
    </row>
    <row r="340" spans="2:11" ht="20.25" customHeight="1" outlineLevel="1">
      <c r="B340" s="232"/>
      <c r="C340" s="659"/>
      <c r="D340" s="233"/>
      <c r="E340" s="233"/>
      <c r="F340" s="233"/>
      <c r="G340" s="233"/>
      <c r="H340" s="657"/>
      <c r="I340" s="234"/>
      <c r="J340" s="235"/>
      <c r="K340" s="409"/>
    </row>
    <row r="341" spans="2:11" ht="20.25" customHeight="1" outlineLevel="1">
      <c r="B341" s="232"/>
      <c r="C341" s="659"/>
      <c r="D341" s="233"/>
      <c r="E341" s="233"/>
      <c r="F341" s="233"/>
      <c r="G341" s="233"/>
      <c r="H341" s="657"/>
      <c r="I341" s="234"/>
      <c r="J341" s="235"/>
      <c r="K341" s="409"/>
    </row>
    <row r="342" spans="2:11" ht="20.25" customHeight="1" outlineLevel="1">
      <c r="B342" s="232"/>
      <c r="C342" s="659"/>
      <c r="D342" s="233"/>
      <c r="E342" s="233"/>
      <c r="F342" s="233"/>
      <c r="G342" s="233"/>
      <c r="H342" s="657"/>
      <c r="I342" s="234"/>
      <c r="J342" s="235"/>
      <c r="K342" s="409"/>
    </row>
    <row r="343" spans="2:11" ht="20.25" customHeight="1" outlineLevel="1">
      <c r="B343" s="232"/>
      <c r="C343" s="659"/>
      <c r="D343" s="233"/>
      <c r="E343" s="233"/>
      <c r="F343" s="233"/>
      <c r="G343" s="233"/>
      <c r="H343" s="657"/>
      <c r="I343" s="234"/>
      <c r="J343" s="235"/>
      <c r="K343" s="409"/>
    </row>
    <row r="344" spans="2:11" ht="20.25" customHeight="1" outlineLevel="1">
      <c r="B344" s="232"/>
      <c r="C344" s="659"/>
      <c r="D344" s="233"/>
      <c r="E344" s="233"/>
      <c r="F344" s="233"/>
      <c r="G344" s="233"/>
      <c r="H344" s="657"/>
      <c r="I344" s="234"/>
      <c r="J344" s="235"/>
      <c r="K344" s="409"/>
    </row>
    <row r="345" spans="2:11" ht="20.25" customHeight="1" outlineLevel="1">
      <c r="B345" s="232"/>
      <c r="C345" s="659"/>
      <c r="D345" s="233"/>
      <c r="E345" s="233"/>
      <c r="F345" s="233"/>
      <c r="G345" s="233"/>
      <c r="H345" s="657"/>
      <c r="I345" s="234"/>
      <c r="J345" s="235"/>
      <c r="K345" s="409"/>
    </row>
    <row r="346" spans="2:11" ht="20.25" customHeight="1" outlineLevel="1">
      <c r="B346" s="232"/>
      <c r="C346" s="659"/>
      <c r="D346" s="658"/>
      <c r="E346" s="658"/>
      <c r="F346" s="658"/>
      <c r="G346" s="658"/>
      <c r="H346" s="657"/>
      <c r="I346" s="234"/>
      <c r="J346" s="235"/>
      <c r="K346" s="409"/>
    </row>
    <row r="347" spans="2:11" ht="20.25" customHeight="1" outlineLevel="1">
      <c r="B347" s="232"/>
      <c r="C347" s="659"/>
      <c r="D347" s="658"/>
      <c r="E347" s="658"/>
      <c r="F347" s="658"/>
      <c r="G347" s="658"/>
      <c r="H347" s="657"/>
      <c r="I347" s="234"/>
      <c r="J347" s="235"/>
      <c r="K347" s="409"/>
    </row>
    <row r="348" spans="2:11" ht="20.25" customHeight="1" outlineLevel="1">
      <c r="B348" s="232"/>
      <c r="C348" s="659"/>
      <c r="D348" s="658"/>
      <c r="E348" s="658"/>
      <c r="F348" s="658"/>
      <c r="G348" s="658"/>
      <c r="H348" s="657"/>
      <c r="I348" s="234"/>
      <c r="J348" s="235"/>
      <c r="K348" s="409"/>
    </row>
    <row r="349" spans="2:11" ht="20.25" customHeight="1" outlineLevel="1">
      <c r="B349" s="232"/>
      <c r="C349" s="659"/>
      <c r="D349" s="658"/>
      <c r="E349" s="658"/>
      <c r="F349" s="658"/>
      <c r="G349" s="658"/>
      <c r="H349" s="657"/>
      <c r="I349" s="234"/>
      <c r="J349" s="235"/>
      <c r="K349" s="409"/>
    </row>
    <row r="350" spans="2:11" ht="20.25" customHeight="1" outlineLevel="1">
      <c r="B350" s="232"/>
      <c r="C350" s="659"/>
      <c r="D350" s="658"/>
      <c r="E350" s="233"/>
      <c r="F350" s="233"/>
      <c r="G350" s="233"/>
      <c r="H350" s="657"/>
      <c r="I350" s="234"/>
      <c r="J350" s="235"/>
      <c r="K350" s="409"/>
    </row>
    <row r="351" spans="2:11" ht="20.25" customHeight="1" outlineLevel="1">
      <c r="B351" s="232"/>
      <c r="C351" s="659"/>
      <c r="D351" s="658"/>
      <c r="E351" s="233"/>
      <c r="F351" s="233"/>
      <c r="G351" s="233"/>
      <c r="H351" s="657"/>
      <c r="I351" s="234"/>
      <c r="J351" s="235"/>
      <c r="K351" s="409"/>
    </row>
    <row r="352" spans="2:11" ht="20.25" customHeight="1" outlineLevel="1">
      <c r="B352" s="232"/>
      <c r="C352" s="659"/>
      <c r="D352" s="658"/>
      <c r="E352" s="233"/>
      <c r="F352" s="233"/>
      <c r="G352" s="233"/>
      <c r="H352" s="657"/>
      <c r="I352" s="234"/>
      <c r="J352" s="235"/>
      <c r="K352" s="409"/>
    </row>
    <row r="353" spans="2:11" ht="20.25" customHeight="1" outlineLevel="1">
      <c r="B353" s="232"/>
      <c r="C353" s="659"/>
      <c r="D353" s="658"/>
      <c r="E353" s="233"/>
      <c r="F353" s="233"/>
      <c r="G353" s="233"/>
      <c r="H353" s="657"/>
      <c r="I353" s="234"/>
      <c r="J353" s="235"/>
      <c r="K353" s="409"/>
    </row>
    <row r="354" spans="2:11" ht="20.25" customHeight="1" outlineLevel="1">
      <c r="B354" s="232"/>
      <c r="C354" s="659"/>
      <c r="D354" s="658"/>
      <c r="E354" s="233"/>
      <c r="F354" s="233"/>
      <c r="G354" s="233"/>
      <c r="H354" s="657"/>
      <c r="I354" s="234"/>
      <c r="J354" s="235"/>
      <c r="K354" s="409"/>
    </row>
    <row r="355" spans="2:11" ht="20.25" customHeight="1" outlineLevel="1">
      <c r="B355" s="232"/>
      <c r="C355" s="659"/>
      <c r="D355" s="658"/>
      <c r="E355" s="233"/>
      <c r="F355" s="233"/>
      <c r="G355" s="233"/>
      <c r="H355" s="657"/>
      <c r="I355" s="234"/>
      <c r="J355" s="235"/>
      <c r="K355" s="409"/>
    </row>
    <row r="356" spans="2:11" ht="20.25" customHeight="1" outlineLevel="1">
      <c r="B356" s="232"/>
      <c r="C356" s="659"/>
      <c r="D356" s="658"/>
      <c r="E356" s="233"/>
      <c r="F356" s="233"/>
      <c r="G356" s="233"/>
      <c r="H356" s="657"/>
      <c r="I356" s="234"/>
      <c r="J356" s="235"/>
      <c r="K356" s="409"/>
    </row>
    <row r="357" spans="2:11" ht="20.25" customHeight="1" outlineLevel="1">
      <c r="B357" s="232"/>
      <c r="C357" s="659"/>
      <c r="D357" s="233"/>
      <c r="E357" s="233"/>
      <c r="F357" s="233"/>
      <c r="G357" s="233"/>
      <c r="H357" s="657"/>
      <c r="I357" s="234"/>
      <c r="J357" s="235"/>
      <c r="K357" s="409"/>
    </row>
    <row r="358" spans="2:11" ht="20.25" customHeight="1" outlineLevel="1">
      <c r="B358" s="232"/>
      <c r="C358" s="659"/>
      <c r="D358" s="233"/>
      <c r="E358" s="233"/>
      <c r="F358" s="233"/>
      <c r="G358" s="233"/>
      <c r="H358" s="657"/>
      <c r="I358" s="234"/>
      <c r="J358" s="235"/>
      <c r="K358" s="409"/>
    </row>
    <row r="359" spans="2:11" ht="20.25" customHeight="1" outlineLevel="1">
      <c r="B359" s="232"/>
      <c r="C359" s="659"/>
      <c r="D359" s="233"/>
      <c r="E359" s="233"/>
      <c r="F359" s="233"/>
      <c r="G359" s="233"/>
      <c r="H359" s="657"/>
      <c r="I359" s="234"/>
      <c r="J359" s="235"/>
      <c r="K359" s="409"/>
    </row>
    <row r="360" spans="2:11" ht="20.25" customHeight="1" outlineLevel="1">
      <c r="B360" s="232"/>
      <c r="C360" s="659"/>
      <c r="D360" s="233"/>
      <c r="E360" s="233"/>
      <c r="F360" s="233"/>
      <c r="G360" s="233"/>
      <c r="H360" s="657"/>
      <c r="I360" s="234"/>
      <c r="J360" s="235"/>
      <c r="K360" s="409"/>
    </row>
    <row r="361" spans="2:11" ht="20.25" customHeight="1" outlineLevel="1">
      <c r="B361" s="232"/>
      <c r="C361" s="659"/>
      <c r="D361" s="658"/>
      <c r="E361" s="658"/>
      <c r="F361" s="658"/>
      <c r="G361" s="658"/>
      <c r="H361" s="657"/>
      <c r="I361" s="234"/>
      <c r="J361" s="235"/>
      <c r="K361" s="409"/>
    </row>
    <row r="362" spans="2:11" ht="20.25" customHeight="1" outlineLevel="1">
      <c r="B362" s="232"/>
      <c r="C362" s="659"/>
      <c r="D362" s="658"/>
      <c r="E362" s="658"/>
      <c r="F362" s="658"/>
      <c r="G362" s="658"/>
      <c r="H362" s="657"/>
      <c r="I362" s="234"/>
      <c r="J362" s="235"/>
      <c r="K362" s="409"/>
    </row>
    <row r="363" spans="2:11" ht="20.25" customHeight="1" outlineLevel="1">
      <c r="B363" s="232"/>
      <c r="C363" s="659"/>
      <c r="D363" s="658"/>
      <c r="E363" s="658"/>
      <c r="F363" s="658"/>
      <c r="G363" s="658"/>
      <c r="H363" s="657"/>
      <c r="I363" s="234"/>
      <c r="J363" s="235"/>
      <c r="K363" s="409"/>
    </row>
    <row r="364" spans="2:11" ht="20.25" customHeight="1" outlineLevel="1">
      <c r="B364" s="232"/>
      <c r="C364" s="659"/>
      <c r="D364" s="658"/>
      <c r="E364" s="658"/>
      <c r="F364" s="658"/>
      <c r="G364" s="658"/>
      <c r="H364" s="657"/>
      <c r="I364" s="234"/>
      <c r="J364" s="235"/>
      <c r="K364" s="409"/>
    </row>
    <row r="365" spans="2:11" ht="20.25" customHeight="1" outlineLevel="1">
      <c r="B365" s="232"/>
      <c r="C365" s="659"/>
      <c r="D365" s="658"/>
      <c r="E365" s="658"/>
      <c r="F365" s="658"/>
      <c r="G365" s="658"/>
      <c r="H365" s="657"/>
      <c r="I365" s="234"/>
      <c r="J365" s="235"/>
      <c r="K365" s="409"/>
    </row>
    <row r="366" spans="2:11" ht="20.25" customHeight="1" outlineLevel="1">
      <c r="B366" s="232"/>
      <c r="C366" s="659"/>
      <c r="D366" s="658"/>
      <c r="E366" s="658"/>
      <c r="F366" s="658"/>
      <c r="G366" s="658"/>
      <c r="H366" s="657"/>
      <c r="I366" s="234"/>
      <c r="J366" s="235"/>
      <c r="K366" s="409"/>
    </row>
    <row r="367" spans="2:11" ht="20.25" customHeight="1" outlineLevel="1" thickBot="1">
      <c r="B367" s="239"/>
      <c r="C367" s="659"/>
      <c r="D367" s="658"/>
      <c r="E367" s="658"/>
      <c r="F367" s="658"/>
      <c r="G367" s="658"/>
      <c r="H367" s="657"/>
      <c r="I367" s="234"/>
      <c r="J367" s="235"/>
      <c r="K367" s="409"/>
    </row>
    <row r="368" spans="2:11" ht="20.25" customHeight="1" outlineLevel="1">
      <c r="B368" s="232"/>
      <c r="C368" s="659"/>
      <c r="D368" s="658"/>
      <c r="E368" s="658"/>
      <c r="F368" s="658"/>
      <c r="G368" s="658"/>
      <c r="H368" s="657"/>
      <c r="I368" s="234"/>
      <c r="J368" s="235"/>
      <c r="K368" s="409"/>
    </row>
    <row r="369" spans="2:11" ht="20.25" customHeight="1" outlineLevel="1">
      <c r="B369" s="232"/>
      <c r="C369" s="659"/>
      <c r="D369" s="658"/>
      <c r="E369" s="658"/>
      <c r="F369" s="658"/>
      <c r="G369" s="658"/>
      <c r="H369" s="657"/>
      <c r="I369" s="234"/>
      <c r="J369" s="235"/>
      <c r="K369" s="409"/>
    </row>
    <row r="370" spans="2:11" ht="20.25" customHeight="1" outlineLevel="1">
      <c r="B370" s="232"/>
      <c r="C370" s="659"/>
      <c r="D370" s="658"/>
      <c r="E370" s="658"/>
      <c r="F370" s="658"/>
      <c r="G370" s="658"/>
      <c r="H370" s="657"/>
      <c r="I370" s="234"/>
      <c r="J370" s="235"/>
      <c r="K370" s="409"/>
    </row>
    <row r="371" spans="2:11" ht="20.25" customHeight="1" outlineLevel="1">
      <c r="B371" s="232"/>
      <c r="C371" s="659"/>
      <c r="D371" s="658"/>
      <c r="E371" s="658"/>
      <c r="F371" s="658"/>
      <c r="G371" s="658"/>
      <c r="H371" s="657"/>
      <c r="I371" s="234"/>
      <c r="J371" s="235"/>
      <c r="K371" s="409"/>
    </row>
    <row r="372" spans="2:11" ht="20.25" customHeight="1" outlineLevel="1">
      <c r="B372" s="232"/>
      <c r="C372" s="659"/>
      <c r="D372" s="658"/>
      <c r="E372" s="658"/>
      <c r="F372" s="658"/>
      <c r="G372" s="658"/>
      <c r="H372" s="657"/>
      <c r="I372" s="234"/>
      <c r="J372" s="235"/>
      <c r="K372" s="409"/>
    </row>
    <row r="373" spans="2:11" ht="20.25" customHeight="1" outlineLevel="1">
      <c r="B373" s="232"/>
      <c r="C373" s="659"/>
      <c r="D373" s="658"/>
      <c r="E373" s="658"/>
      <c r="F373" s="658"/>
      <c r="G373" s="658"/>
      <c r="H373" s="657"/>
      <c r="I373" s="234"/>
      <c r="J373" s="235"/>
      <c r="K373" s="409"/>
    </row>
    <row r="374" spans="2:11" ht="20.25" customHeight="1" outlineLevel="1">
      <c r="B374" s="232"/>
      <c r="C374" s="659"/>
      <c r="D374" s="658"/>
      <c r="E374" s="658"/>
      <c r="F374" s="658"/>
      <c r="G374" s="658"/>
      <c r="H374" s="657"/>
      <c r="I374" s="234"/>
      <c r="J374" s="235"/>
      <c r="K374" s="409"/>
    </row>
    <row r="375" spans="2:11" ht="20.25" customHeight="1" outlineLevel="1">
      <c r="B375" s="232"/>
      <c r="C375" s="659"/>
      <c r="D375" s="658"/>
      <c r="E375" s="658"/>
      <c r="F375" s="658"/>
      <c r="G375" s="658"/>
      <c r="H375" s="657"/>
      <c r="I375" s="234"/>
      <c r="J375" s="235"/>
      <c r="K375" s="409"/>
    </row>
    <row r="376" spans="2:11" ht="20.25" customHeight="1" outlineLevel="1">
      <c r="B376" s="232"/>
      <c r="C376" s="659"/>
      <c r="D376" s="658"/>
      <c r="E376" s="658"/>
      <c r="F376" s="658"/>
      <c r="G376" s="658"/>
      <c r="H376" s="657"/>
      <c r="I376" s="234"/>
      <c r="J376" s="235"/>
      <c r="K376" s="409"/>
    </row>
    <row r="377" spans="2:11" ht="20.25" customHeight="1" outlineLevel="1">
      <c r="B377" s="232"/>
      <c r="C377" s="659"/>
      <c r="D377" s="658"/>
      <c r="E377" s="658"/>
      <c r="F377" s="658"/>
      <c r="G377" s="658"/>
      <c r="H377" s="657"/>
      <c r="I377" s="234"/>
      <c r="J377" s="235"/>
      <c r="K377" s="409"/>
    </row>
    <row r="378" spans="2:11" ht="20.25" customHeight="1" outlineLevel="1">
      <c r="B378" s="232"/>
      <c r="C378" s="659"/>
      <c r="D378" s="658"/>
      <c r="E378" s="658"/>
      <c r="F378" s="658"/>
      <c r="G378" s="658"/>
      <c r="H378" s="657"/>
      <c r="I378" s="234"/>
      <c r="J378" s="235"/>
      <c r="K378" s="409"/>
    </row>
    <row r="379" spans="2:11" ht="20.25" customHeight="1" outlineLevel="1">
      <c r="B379" s="232"/>
      <c r="C379" s="659"/>
      <c r="D379" s="658"/>
      <c r="E379" s="658"/>
      <c r="F379" s="658"/>
      <c r="G379" s="658"/>
      <c r="H379" s="657"/>
      <c r="I379" s="234"/>
      <c r="J379" s="235"/>
      <c r="K379" s="409"/>
    </row>
    <row r="380" spans="2:11" ht="20.25" customHeight="1" outlineLevel="1">
      <c r="B380" s="232"/>
      <c r="C380" s="659"/>
      <c r="D380" s="658"/>
      <c r="E380" s="658"/>
      <c r="F380" s="658"/>
      <c r="G380" s="658"/>
      <c r="H380" s="657"/>
      <c r="I380" s="234"/>
      <c r="J380" s="235"/>
      <c r="K380" s="409"/>
    </row>
    <row r="381" spans="2:11" ht="20.25" customHeight="1" outlineLevel="1">
      <c r="B381" s="232"/>
      <c r="C381" s="659"/>
      <c r="D381" s="658"/>
      <c r="E381" s="658"/>
      <c r="F381" s="658"/>
      <c r="G381" s="658"/>
      <c r="H381" s="657"/>
      <c r="I381" s="234"/>
      <c r="J381" s="235"/>
      <c r="K381" s="409"/>
    </row>
    <row r="382" spans="2:11" ht="20.25" customHeight="1" outlineLevel="1">
      <c r="B382" s="232"/>
      <c r="C382" s="659"/>
      <c r="D382" s="658"/>
      <c r="E382" s="658"/>
      <c r="F382" s="658"/>
      <c r="G382" s="658"/>
      <c r="H382" s="657"/>
      <c r="I382" s="234"/>
      <c r="J382" s="235"/>
      <c r="K382" s="409"/>
    </row>
    <row r="383" spans="2:11" ht="20.25" customHeight="1" outlineLevel="1">
      <c r="B383" s="232"/>
      <c r="C383" s="659"/>
      <c r="D383" s="658"/>
      <c r="E383" s="658"/>
      <c r="F383" s="658"/>
      <c r="G383" s="658"/>
      <c r="H383" s="657"/>
      <c r="I383" s="234"/>
      <c r="J383" s="235"/>
      <c r="K383" s="409"/>
    </row>
    <row r="384" spans="2:11" ht="20.25" customHeight="1" outlineLevel="1">
      <c r="B384" s="232"/>
      <c r="C384" s="659"/>
      <c r="D384" s="658"/>
      <c r="E384" s="658"/>
      <c r="F384" s="658"/>
      <c r="G384" s="658"/>
      <c r="H384" s="657"/>
      <c r="I384" s="234"/>
      <c r="J384" s="235"/>
      <c r="K384" s="409"/>
    </row>
    <row r="385" spans="2:11" ht="20.25" customHeight="1" outlineLevel="1">
      <c r="B385" s="232"/>
      <c r="C385" s="659"/>
      <c r="D385" s="658"/>
      <c r="E385" s="658"/>
      <c r="F385" s="658"/>
      <c r="G385" s="658"/>
      <c r="H385" s="657"/>
      <c r="I385" s="234"/>
      <c r="J385" s="235"/>
      <c r="K385" s="409"/>
    </row>
    <row r="386" spans="2:11" ht="20.25" customHeight="1" outlineLevel="1">
      <c r="B386" s="232"/>
      <c r="C386" s="659"/>
      <c r="D386" s="658"/>
      <c r="E386" s="658"/>
      <c r="F386" s="658"/>
      <c r="G386" s="658"/>
      <c r="H386" s="657"/>
      <c r="I386" s="234"/>
      <c r="J386" s="235"/>
      <c r="K386" s="409"/>
    </row>
    <row r="387" spans="2:11" ht="20.25" customHeight="1" outlineLevel="1">
      <c r="B387" s="232"/>
      <c r="C387" s="659"/>
      <c r="D387" s="658"/>
      <c r="E387" s="658"/>
      <c r="F387" s="658"/>
      <c r="G387" s="658"/>
      <c r="H387" s="657"/>
      <c r="I387" s="234"/>
      <c r="J387" s="235"/>
      <c r="K387" s="409"/>
    </row>
    <row r="388" spans="2:11" ht="20.25" customHeight="1" outlineLevel="1">
      <c r="B388" s="232"/>
      <c r="C388" s="659"/>
      <c r="D388" s="658"/>
      <c r="E388" s="658"/>
      <c r="F388" s="658"/>
      <c r="G388" s="658"/>
      <c r="H388" s="657"/>
      <c r="I388" s="234"/>
      <c r="J388" s="235"/>
      <c r="K388" s="409"/>
    </row>
    <row r="389" spans="2:11" ht="20.25" customHeight="1" outlineLevel="1" thickBot="1">
      <c r="B389" s="232"/>
      <c r="C389" s="240"/>
      <c r="D389" s="241"/>
      <c r="E389" s="241"/>
      <c r="F389" s="241"/>
      <c r="G389" s="241"/>
      <c r="H389" s="242"/>
      <c r="I389" s="234"/>
      <c r="J389" s="235"/>
      <c r="K389" s="409"/>
    </row>
    <row r="390" spans="2:11" ht="20.25" customHeight="1" outlineLevel="1">
      <c r="B390" s="232"/>
      <c r="C390" s="659"/>
      <c r="D390" s="658"/>
      <c r="E390" s="658"/>
      <c r="F390" s="658"/>
      <c r="G390" s="658"/>
      <c r="H390" s="657"/>
      <c r="I390" s="234"/>
      <c r="J390" s="235"/>
      <c r="K390" s="409"/>
    </row>
    <row r="391" spans="2:11" ht="20.25" customHeight="1" outlineLevel="1">
      <c r="B391" s="232"/>
      <c r="C391" s="659"/>
      <c r="D391" s="658"/>
      <c r="E391" s="658"/>
      <c r="F391" s="658"/>
      <c r="G391" s="658"/>
      <c r="H391" s="657"/>
      <c r="I391" s="234"/>
      <c r="J391" s="235"/>
      <c r="K391" s="409"/>
    </row>
    <row r="392" spans="2:11" ht="20.25" customHeight="1" outlineLevel="1">
      <c r="B392" s="232"/>
      <c r="C392" s="659"/>
      <c r="D392" s="658"/>
      <c r="E392" s="658"/>
      <c r="F392" s="658"/>
      <c r="G392" s="658"/>
      <c r="H392" s="657"/>
      <c r="I392" s="234"/>
      <c r="J392" s="235"/>
      <c r="K392" s="409"/>
    </row>
    <row r="393" spans="2:11" ht="20.25" customHeight="1" outlineLevel="1">
      <c r="B393" s="232"/>
      <c r="C393" s="659"/>
      <c r="D393" s="658"/>
      <c r="E393" s="658"/>
      <c r="F393" s="658"/>
      <c r="G393" s="658"/>
      <c r="H393" s="657"/>
      <c r="I393" s="234"/>
      <c r="J393" s="235"/>
      <c r="K393" s="409"/>
    </row>
    <row r="394" spans="2:11" ht="20.25" customHeight="1" outlineLevel="1">
      <c r="B394" s="232"/>
      <c r="C394" s="659"/>
      <c r="D394" s="658"/>
      <c r="E394" s="658"/>
      <c r="F394" s="658"/>
      <c r="G394" s="658"/>
      <c r="H394" s="657"/>
      <c r="I394" s="234"/>
      <c r="J394" s="235"/>
      <c r="K394" s="409"/>
    </row>
    <row r="395" spans="2:11" ht="20.25" customHeight="1" outlineLevel="1">
      <c r="B395" s="232"/>
      <c r="C395" s="659"/>
      <c r="D395" s="658"/>
      <c r="E395" s="658"/>
      <c r="F395" s="658"/>
      <c r="G395" s="658"/>
      <c r="H395" s="657"/>
      <c r="I395" s="234"/>
      <c r="J395" s="235"/>
      <c r="K395" s="409"/>
    </row>
    <row r="396" spans="2:11" ht="20.25" customHeight="1" outlineLevel="1">
      <c r="B396" s="232"/>
      <c r="C396" s="659"/>
      <c r="D396" s="658"/>
      <c r="E396" s="658"/>
      <c r="F396" s="658"/>
      <c r="G396" s="658"/>
      <c r="H396" s="657"/>
      <c r="I396" s="234"/>
      <c r="J396" s="235"/>
      <c r="K396" s="409"/>
    </row>
    <row r="397" spans="2:11" ht="20.25" customHeight="1" outlineLevel="1">
      <c r="B397" s="232"/>
      <c r="C397" s="659"/>
      <c r="D397" s="658"/>
      <c r="E397" s="658"/>
      <c r="F397" s="658"/>
      <c r="G397" s="658"/>
      <c r="H397" s="657"/>
      <c r="I397" s="234"/>
      <c r="J397" s="235"/>
      <c r="K397" s="409"/>
    </row>
    <row r="398" spans="2:11" ht="20.25" customHeight="1" outlineLevel="1">
      <c r="B398" s="232"/>
      <c r="C398" s="659"/>
      <c r="D398" s="658"/>
      <c r="E398" s="658"/>
      <c r="F398" s="658"/>
      <c r="G398" s="658"/>
      <c r="H398" s="657"/>
      <c r="I398" s="234"/>
      <c r="J398" s="235"/>
      <c r="K398" s="409"/>
    </row>
    <row r="399" spans="2:11" ht="20.25" customHeight="1" outlineLevel="1">
      <c r="B399" s="232"/>
      <c r="C399" s="659"/>
      <c r="D399" s="658"/>
      <c r="E399" s="658"/>
      <c r="F399" s="658"/>
      <c r="G399" s="658"/>
      <c r="H399" s="657"/>
      <c r="I399" s="234"/>
      <c r="J399" s="235"/>
      <c r="K399" s="409"/>
    </row>
    <row r="400" spans="2:11" ht="20.25" customHeight="1" outlineLevel="1">
      <c r="B400" s="232"/>
      <c r="C400" s="659"/>
      <c r="D400" s="658"/>
      <c r="E400" s="658"/>
      <c r="F400" s="658"/>
      <c r="G400" s="658"/>
      <c r="H400" s="657"/>
      <c r="I400" s="234"/>
      <c r="J400" s="235"/>
      <c r="K400" s="409"/>
    </row>
    <row r="401" spans="2:11" ht="20.25" customHeight="1" outlineLevel="1">
      <c r="B401" s="232"/>
      <c r="C401" s="659"/>
      <c r="D401" s="658"/>
      <c r="E401" s="658"/>
      <c r="F401" s="658"/>
      <c r="G401" s="658"/>
      <c r="H401" s="657"/>
      <c r="I401" s="234"/>
      <c r="J401" s="235"/>
      <c r="K401" s="409"/>
    </row>
    <row r="402" spans="2:11" ht="20.25" customHeight="1" outlineLevel="1">
      <c r="B402" s="232"/>
      <c r="C402" s="659"/>
      <c r="D402" s="658"/>
      <c r="E402" s="658"/>
      <c r="F402" s="658"/>
      <c r="G402" s="658"/>
      <c r="H402" s="657"/>
      <c r="I402" s="234"/>
      <c r="J402" s="235"/>
      <c r="K402" s="409"/>
    </row>
    <row r="403" spans="2:11" ht="20.25" customHeight="1" outlineLevel="1">
      <c r="B403" s="232"/>
      <c r="C403" s="659"/>
      <c r="D403" s="658"/>
      <c r="E403" s="658"/>
      <c r="F403" s="658"/>
      <c r="G403" s="658"/>
      <c r="H403" s="657"/>
      <c r="I403" s="234"/>
      <c r="J403" s="235"/>
      <c r="K403" s="409"/>
    </row>
    <row r="404" spans="2:11" ht="20.25" customHeight="1" outlineLevel="1">
      <c r="B404" s="232"/>
      <c r="C404" s="659"/>
      <c r="D404" s="658"/>
      <c r="E404" s="658"/>
      <c r="F404" s="658"/>
      <c r="G404" s="658"/>
      <c r="H404" s="657"/>
      <c r="I404" s="234"/>
      <c r="J404" s="235"/>
      <c r="K404" s="409"/>
    </row>
    <row r="405" spans="2:11" ht="20.25" customHeight="1" outlineLevel="1">
      <c r="B405" s="232"/>
      <c r="C405" s="659"/>
      <c r="D405" s="658"/>
      <c r="E405" s="658"/>
      <c r="F405" s="658"/>
      <c r="G405" s="658"/>
      <c r="H405" s="657"/>
      <c r="I405" s="234"/>
      <c r="J405" s="235"/>
      <c r="K405" s="409"/>
    </row>
    <row r="406" spans="2:11" ht="20.25" customHeight="1" outlineLevel="1">
      <c r="B406" s="232"/>
      <c r="C406" s="659"/>
      <c r="D406" s="658"/>
      <c r="E406" s="658"/>
      <c r="F406" s="658"/>
      <c r="G406" s="658"/>
      <c r="H406" s="657"/>
      <c r="I406" s="234"/>
      <c r="J406" s="235"/>
      <c r="K406" s="409"/>
    </row>
    <row r="407" spans="2:11" ht="20.25" customHeight="1" outlineLevel="1">
      <c r="B407" s="232"/>
      <c r="C407" s="659"/>
      <c r="D407" s="658"/>
      <c r="E407" s="658"/>
      <c r="F407" s="658"/>
      <c r="G407" s="658"/>
      <c r="H407" s="657"/>
      <c r="I407" s="234"/>
      <c r="J407" s="235"/>
      <c r="K407" s="409"/>
    </row>
    <row r="408" spans="2:11" ht="20.25" customHeight="1" outlineLevel="1">
      <c r="B408" s="232"/>
      <c r="C408" s="659"/>
      <c r="D408" s="658"/>
      <c r="E408" s="658"/>
      <c r="F408" s="658"/>
      <c r="G408" s="658"/>
      <c r="H408" s="657"/>
      <c r="I408" s="234"/>
      <c r="J408" s="235"/>
      <c r="K408" s="409"/>
    </row>
    <row r="409" spans="2:11" ht="20.25" customHeight="1" outlineLevel="1">
      <c r="B409" s="232"/>
      <c r="C409" s="659"/>
      <c r="D409" s="658"/>
      <c r="E409" s="658"/>
      <c r="F409" s="658"/>
      <c r="G409" s="658"/>
      <c r="H409" s="657"/>
      <c r="I409" s="234"/>
      <c r="J409" s="235"/>
      <c r="K409" s="409"/>
    </row>
    <row r="410" spans="2:11" ht="20.25" customHeight="1" outlineLevel="1">
      <c r="B410" s="232"/>
      <c r="C410" s="659"/>
      <c r="D410" s="658"/>
      <c r="E410" s="658"/>
      <c r="F410" s="658"/>
      <c r="G410" s="658"/>
      <c r="H410" s="657"/>
      <c r="I410" s="234"/>
      <c r="J410" s="235"/>
      <c r="K410" s="409"/>
    </row>
    <row r="411" spans="2:11" ht="20.25" customHeight="1" outlineLevel="1">
      <c r="B411" s="232"/>
      <c r="C411" s="659"/>
      <c r="D411" s="658"/>
      <c r="E411" s="658"/>
      <c r="F411" s="658"/>
      <c r="G411" s="658"/>
      <c r="H411" s="657"/>
      <c r="I411" s="234"/>
      <c r="J411" s="235"/>
      <c r="K411" s="409"/>
    </row>
    <row r="412" spans="2:11" ht="20.25" customHeight="1" outlineLevel="1">
      <c r="B412" s="232"/>
      <c r="C412" s="659"/>
      <c r="D412" s="658"/>
      <c r="E412" s="658"/>
      <c r="F412" s="658"/>
      <c r="G412" s="658"/>
      <c r="H412" s="657"/>
      <c r="I412" s="234"/>
      <c r="J412" s="235"/>
      <c r="K412" s="409"/>
    </row>
    <row r="413" spans="2:11" ht="20.25" customHeight="1" outlineLevel="1">
      <c r="B413" s="232"/>
      <c r="C413" s="659"/>
      <c r="D413" s="658"/>
      <c r="E413" s="658"/>
      <c r="F413" s="658"/>
      <c r="G413" s="658"/>
      <c r="H413" s="657"/>
      <c r="I413" s="234"/>
      <c r="J413" s="235"/>
      <c r="K413" s="409"/>
    </row>
    <row r="414" spans="2:11" ht="20.25" customHeight="1" outlineLevel="1">
      <c r="B414" s="232"/>
      <c r="C414" s="659"/>
      <c r="D414" s="658"/>
      <c r="E414" s="658"/>
      <c r="F414" s="658"/>
      <c r="G414" s="658"/>
      <c r="H414" s="657"/>
      <c r="I414" s="234"/>
      <c r="J414" s="235"/>
      <c r="K414" s="409"/>
    </row>
    <row r="415" spans="2:11" ht="20.25" customHeight="1" outlineLevel="1">
      <c r="B415" s="232"/>
      <c r="C415" s="659"/>
      <c r="D415" s="658"/>
      <c r="E415" s="658"/>
      <c r="F415" s="658"/>
      <c r="G415" s="658"/>
      <c r="H415" s="657"/>
      <c r="I415" s="234"/>
      <c r="J415" s="235"/>
      <c r="K415" s="409"/>
    </row>
    <row r="416" spans="2:11" ht="20.25" customHeight="1" outlineLevel="1">
      <c r="B416" s="232"/>
      <c r="C416" s="659"/>
      <c r="D416" s="658"/>
      <c r="E416" s="658"/>
      <c r="F416" s="658"/>
      <c r="G416" s="658"/>
      <c r="H416" s="657"/>
      <c r="I416" s="234"/>
      <c r="J416" s="235"/>
      <c r="K416" s="409"/>
    </row>
    <row r="417" spans="2:11" ht="20.25" customHeight="1" outlineLevel="1">
      <c r="B417" s="232"/>
      <c r="C417" s="659"/>
      <c r="D417" s="658"/>
      <c r="E417" s="658"/>
      <c r="F417" s="658"/>
      <c r="G417" s="658"/>
      <c r="H417" s="657"/>
      <c r="I417" s="234"/>
      <c r="J417" s="235"/>
      <c r="K417" s="409"/>
    </row>
    <row r="418" spans="2:11" ht="20.25" customHeight="1" outlineLevel="1">
      <c r="B418" s="232"/>
      <c r="C418" s="659"/>
      <c r="D418" s="658"/>
      <c r="E418" s="658"/>
      <c r="F418" s="658"/>
      <c r="G418" s="658"/>
      <c r="H418" s="657"/>
      <c r="I418" s="234"/>
      <c r="J418" s="235"/>
      <c r="K418" s="409"/>
    </row>
    <row r="419" spans="2:11" ht="20.25" customHeight="1" outlineLevel="1">
      <c r="B419" s="232"/>
      <c r="C419" s="659"/>
      <c r="D419" s="658"/>
      <c r="E419" s="658"/>
      <c r="F419" s="658"/>
      <c r="G419" s="658"/>
      <c r="H419" s="657"/>
      <c r="I419" s="234"/>
      <c r="J419" s="235"/>
      <c r="K419" s="409"/>
    </row>
    <row r="420" spans="2:11" ht="20.25" customHeight="1" outlineLevel="1">
      <c r="B420" s="232"/>
      <c r="C420" s="659"/>
      <c r="D420" s="658"/>
      <c r="E420" s="658"/>
      <c r="F420" s="658"/>
      <c r="G420" s="658"/>
      <c r="H420" s="657"/>
      <c r="I420" s="234"/>
      <c r="J420" s="235"/>
      <c r="K420" s="409"/>
    </row>
    <row r="421" spans="2:11" ht="20.25" customHeight="1" outlineLevel="1">
      <c r="B421" s="232"/>
      <c r="C421" s="659"/>
      <c r="D421" s="658"/>
      <c r="E421" s="658"/>
      <c r="F421" s="658"/>
      <c r="G421" s="658"/>
      <c r="H421" s="657"/>
      <c r="I421" s="234"/>
      <c r="J421" s="235"/>
      <c r="K421" s="409"/>
    </row>
    <row r="422" spans="2:11" ht="20.25" customHeight="1" outlineLevel="1">
      <c r="B422" s="232"/>
      <c r="C422" s="659"/>
      <c r="D422" s="658"/>
      <c r="E422" s="658"/>
      <c r="F422" s="658"/>
      <c r="G422" s="658"/>
      <c r="H422" s="657"/>
      <c r="I422" s="234"/>
      <c r="J422" s="235"/>
      <c r="K422" s="409"/>
    </row>
    <row r="423" spans="2:11" ht="20.25" customHeight="1" outlineLevel="1">
      <c r="B423" s="232"/>
      <c r="C423" s="659"/>
      <c r="D423" s="658"/>
      <c r="E423" s="658"/>
      <c r="F423" s="658"/>
      <c r="G423" s="658"/>
      <c r="H423" s="657"/>
      <c r="I423" s="234"/>
      <c r="J423" s="235"/>
      <c r="K423" s="409"/>
    </row>
    <row r="424" spans="2:11" ht="20.25" customHeight="1" outlineLevel="1">
      <c r="B424" s="232"/>
      <c r="C424" s="659"/>
      <c r="D424" s="658"/>
      <c r="E424" s="658"/>
      <c r="F424" s="658"/>
      <c r="G424" s="658"/>
      <c r="H424" s="657"/>
      <c r="I424" s="234"/>
      <c r="J424" s="235"/>
      <c r="K424" s="409"/>
    </row>
    <row r="425" spans="2:11" ht="20.25" customHeight="1" outlineLevel="1">
      <c r="B425" s="232"/>
      <c r="C425" s="659"/>
      <c r="D425" s="658"/>
      <c r="E425" s="658"/>
      <c r="F425" s="658"/>
      <c r="G425" s="658"/>
      <c r="H425" s="657"/>
      <c r="I425" s="234"/>
      <c r="J425" s="235"/>
      <c r="K425" s="409"/>
    </row>
    <row r="426" spans="2:11" ht="20.25" customHeight="1" outlineLevel="1">
      <c r="B426" s="232"/>
      <c r="C426" s="659"/>
      <c r="D426" s="658"/>
      <c r="E426" s="658"/>
      <c r="F426" s="658"/>
      <c r="G426" s="658"/>
      <c r="H426" s="657"/>
      <c r="I426" s="234"/>
      <c r="J426" s="235"/>
      <c r="K426" s="409"/>
    </row>
    <row r="427" spans="2:11" ht="20.25" customHeight="1" outlineLevel="1">
      <c r="B427" s="232"/>
      <c r="C427" s="659"/>
      <c r="D427" s="658"/>
      <c r="E427" s="658"/>
      <c r="F427" s="658"/>
      <c r="G427" s="658"/>
      <c r="H427" s="657"/>
      <c r="I427" s="234"/>
      <c r="J427" s="235"/>
      <c r="K427" s="409"/>
    </row>
    <row r="428" spans="2:11" ht="20.25" customHeight="1" outlineLevel="1">
      <c r="B428" s="232"/>
      <c r="C428" s="659"/>
      <c r="D428" s="658"/>
      <c r="E428" s="658"/>
      <c r="F428" s="658"/>
      <c r="G428" s="658"/>
      <c r="H428" s="657"/>
      <c r="I428" s="234"/>
      <c r="J428" s="235"/>
      <c r="K428" s="409"/>
    </row>
    <row r="429" spans="2:11" ht="20.25" customHeight="1" outlineLevel="1">
      <c r="B429" s="232"/>
      <c r="C429" s="659"/>
      <c r="D429" s="658"/>
      <c r="E429" s="658"/>
      <c r="F429" s="658"/>
      <c r="G429" s="658"/>
      <c r="H429" s="657"/>
      <c r="I429" s="234"/>
      <c r="J429" s="235"/>
      <c r="K429" s="409"/>
    </row>
    <row r="430" spans="2:11" ht="20.25" customHeight="1" outlineLevel="1">
      <c r="B430" s="232"/>
      <c r="C430" s="659"/>
      <c r="D430" s="658"/>
      <c r="E430" s="658"/>
      <c r="F430" s="658"/>
      <c r="G430" s="658"/>
      <c r="H430" s="657"/>
      <c r="I430" s="234"/>
      <c r="J430" s="235"/>
      <c r="K430" s="409"/>
    </row>
    <row r="431" spans="2:11" ht="20.25" customHeight="1" outlineLevel="1">
      <c r="B431" s="232"/>
      <c r="C431" s="659"/>
      <c r="D431" s="658"/>
      <c r="E431" s="658"/>
      <c r="F431" s="658"/>
      <c r="G431" s="658"/>
      <c r="H431" s="657"/>
      <c r="I431" s="234"/>
      <c r="J431" s="235"/>
      <c r="K431" s="409"/>
    </row>
    <row r="432" spans="2:11" ht="20.25" customHeight="1" outlineLevel="1">
      <c r="B432" s="232"/>
      <c r="C432" s="659"/>
      <c r="D432" s="658"/>
      <c r="E432" s="658"/>
      <c r="F432" s="658"/>
      <c r="G432" s="658"/>
      <c r="H432" s="657"/>
      <c r="I432" s="234"/>
      <c r="J432" s="235"/>
      <c r="K432" s="409"/>
    </row>
    <row r="433" spans="2:11" ht="20.25" customHeight="1" outlineLevel="1">
      <c r="B433" s="232"/>
      <c r="C433" s="659"/>
      <c r="D433" s="658"/>
      <c r="E433" s="658"/>
      <c r="F433" s="658"/>
      <c r="G433" s="658"/>
      <c r="H433" s="657"/>
      <c r="I433" s="234"/>
      <c r="J433" s="235"/>
      <c r="K433" s="409"/>
    </row>
    <row r="434" spans="2:11">
      <c r="C434" s="659"/>
      <c r="D434" s="658"/>
      <c r="E434" s="658"/>
      <c r="F434" s="658"/>
      <c r="G434" s="658"/>
      <c r="H434" s="657"/>
      <c r="I434" s="234"/>
      <c r="J434" s="235"/>
    </row>
    <row r="435" spans="2:11">
      <c r="C435" s="659"/>
      <c r="D435" s="658"/>
      <c r="E435" s="658"/>
      <c r="F435" s="658"/>
      <c r="G435" s="658"/>
      <c r="H435" s="657"/>
      <c r="I435" s="234"/>
      <c r="J435" s="235"/>
    </row>
    <row r="436" spans="2:11">
      <c r="C436" s="659"/>
      <c r="D436" s="658"/>
      <c r="E436" s="658"/>
      <c r="F436" s="658"/>
      <c r="G436" s="658"/>
      <c r="H436" s="657"/>
      <c r="I436" s="234"/>
      <c r="J436" s="235"/>
    </row>
    <row r="437" spans="2:11">
      <c r="C437" s="659"/>
      <c r="D437" s="658"/>
      <c r="E437" s="658"/>
      <c r="F437" s="658"/>
      <c r="G437" s="658"/>
      <c r="H437" s="657"/>
      <c r="I437" s="234"/>
      <c r="J437" s="235"/>
    </row>
    <row r="438" spans="2:11">
      <c r="C438" s="659"/>
      <c r="D438" s="658"/>
      <c r="E438" s="658"/>
      <c r="F438" s="658"/>
      <c r="G438" s="658"/>
      <c r="H438" s="657"/>
      <c r="I438" s="234"/>
      <c r="J438" s="235"/>
    </row>
    <row r="439" spans="2:11">
      <c r="C439" s="659"/>
      <c r="D439" s="658"/>
      <c r="E439" s="658"/>
      <c r="F439" s="658"/>
      <c r="G439" s="658"/>
      <c r="H439" s="657"/>
      <c r="I439" s="234"/>
      <c r="J439" s="235"/>
    </row>
    <row r="440" spans="2:11">
      <c r="C440" s="659"/>
      <c r="D440" s="658"/>
      <c r="E440" s="658"/>
      <c r="F440" s="658"/>
      <c r="G440" s="658"/>
      <c r="H440" s="657"/>
      <c r="I440" s="234"/>
      <c r="J440" s="235"/>
    </row>
    <row r="441" spans="2:11">
      <c r="C441" s="659"/>
      <c r="D441" s="658"/>
      <c r="E441" s="658"/>
      <c r="F441" s="658"/>
      <c r="G441" s="658"/>
      <c r="H441" s="657"/>
      <c r="I441" s="234"/>
      <c r="J441" s="235"/>
    </row>
    <row r="442" spans="2:11">
      <c r="C442" s="659"/>
      <c r="D442" s="658"/>
      <c r="E442" s="658"/>
      <c r="F442" s="658"/>
      <c r="G442" s="658"/>
      <c r="H442" s="657"/>
      <c r="I442" s="234"/>
      <c r="J442" s="235"/>
    </row>
    <row r="443" spans="2:11">
      <c r="C443" s="659"/>
      <c r="D443" s="658"/>
      <c r="E443" s="658"/>
      <c r="F443" s="658"/>
      <c r="G443" s="658"/>
      <c r="H443" s="657"/>
      <c r="I443" s="234"/>
      <c r="J443" s="235"/>
    </row>
    <row r="444" spans="2:11">
      <c r="C444" s="659"/>
      <c r="D444" s="658"/>
      <c r="E444" s="658"/>
      <c r="F444" s="658"/>
      <c r="G444" s="658"/>
      <c r="H444" s="657"/>
      <c r="I444" s="234"/>
      <c r="J444" s="235"/>
    </row>
    <row r="445" spans="2:11">
      <c r="C445" s="659"/>
      <c r="D445" s="658"/>
      <c r="E445" s="658"/>
      <c r="F445" s="658"/>
      <c r="G445" s="658"/>
      <c r="H445" s="657"/>
      <c r="I445" s="234"/>
      <c r="J445" s="235"/>
    </row>
    <row r="446" spans="2:11">
      <c r="C446" s="659"/>
      <c r="D446" s="658"/>
      <c r="E446" s="658"/>
      <c r="F446" s="658"/>
      <c r="G446" s="658"/>
      <c r="H446" s="657"/>
      <c r="I446" s="234"/>
      <c r="J446" s="235"/>
    </row>
    <row r="447" spans="2:11">
      <c r="C447" s="659"/>
      <c r="D447" s="658"/>
      <c r="E447" s="658"/>
      <c r="F447" s="658"/>
      <c r="G447" s="658"/>
      <c r="H447" s="657"/>
      <c r="I447" s="234"/>
      <c r="J447" s="235"/>
    </row>
    <row r="448" spans="2:11">
      <c r="C448" s="659"/>
      <c r="D448" s="658"/>
      <c r="E448" s="658"/>
      <c r="F448" s="658"/>
      <c r="G448" s="658"/>
      <c r="H448" s="657"/>
      <c r="I448" s="234"/>
      <c r="J448" s="235"/>
    </row>
    <row r="449" spans="3:10">
      <c r="C449" s="659"/>
      <c r="D449" s="658"/>
      <c r="E449" s="658"/>
      <c r="F449" s="658"/>
      <c r="G449" s="658"/>
      <c r="H449" s="657"/>
      <c r="I449" s="234"/>
      <c r="J449" s="235"/>
    </row>
    <row r="450" spans="3:10">
      <c r="C450" s="659"/>
      <c r="D450" s="658"/>
      <c r="E450" s="658"/>
      <c r="F450" s="658"/>
      <c r="G450" s="658"/>
      <c r="H450" s="657"/>
      <c r="I450" s="234"/>
      <c r="J450" s="235"/>
    </row>
    <row r="451" spans="3:10">
      <c r="C451" s="659"/>
      <c r="D451" s="658"/>
      <c r="E451" s="658"/>
      <c r="F451" s="658"/>
      <c r="G451" s="658"/>
      <c r="H451" s="657"/>
      <c r="I451" s="234"/>
      <c r="J451" s="235"/>
    </row>
    <row r="452" spans="3:10">
      <c r="C452" s="659"/>
      <c r="D452" s="658"/>
      <c r="E452" s="658"/>
      <c r="F452" s="658"/>
      <c r="G452" s="658"/>
      <c r="H452" s="657"/>
      <c r="I452" s="234"/>
      <c r="J452" s="235"/>
    </row>
    <row r="453" spans="3:10">
      <c r="C453" s="659"/>
      <c r="D453" s="658"/>
      <c r="E453" s="658"/>
      <c r="F453" s="658"/>
      <c r="G453" s="658"/>
      <c r="H453" s="657"/>
      <c r="I453" s="234"/>
      <c r="J453" s="235"/>
    </row>
    <row r="454" spans="3:10">
      <c r="C454" s="659"/>
      <c r="D454" s="658"/>
      <c r="E454" s="658"/>
      <c r="F454" s="658"/>
      <c r="G454" s="658"/>
      <c r="H454" s="657"/>
      <c r="I454" s="234"/>
      <c r="J454" s="235"/>
    </row>
    <row r="455" spans="3:10">
      <c r="C455" s="659"/>
      <c r="D455" s="658"/>
      <c r="E455" s="658"/>
      <c r="F455" s="658"/>
      <c r="G455" s="658"/>
      <c r="H455" s="657"/>
      <c r="I455" s="234"/>
      <c r="J455" s="235"/>
    </row>
  </sheetData>
  <mergeCells count="1">
    <mergeCell ref="B3:J3"/>
  </mergeCells>
  <pageMargins left="0.75" right="0.75" top="1" bottom="1" header="0.5" footer="0.5"/>
  <pageSetup orientation="portrait" verticalDpi="0" r:id="rId1"/>
  <headerFooter alignWithMargins="0"/>
</worksheet>
</file>

<file path=docMetadata/LabelInfo.xml><?xml version="1.0" encoding="utf-8"?>
<clbl:labelList xmlns:clbl="http://schemas.microsoft.com/office/2020/mipLabelMetadata">
  <clbl:label id="{a9d90964-91d3-4c01-ab00-563f95f00a38}" enabled="0" method="" siteId="{a9d90964-91d3-4c01-ab00-563f95f00a3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Reference</vt:lpstr>
      <vt:lpstr>New WIns</vt:lpstr>
      <vt:lpstr>PRFIIO</vt:lpstr>
      <vt:lpstr>PRFEIO</vt:lpstr>
      <vt:lpstr>Expenses</vt:lpstr>
      <vt:lpstr>PRTM</vt:lpstr>
      <vt:lpstr>Billing</vt:lpstr>
      <vt:lpstr>MainSheet</vt:lpstr>
      <vt:lpstr>SA</vt:lpstr>
      <vt:lpstr>Billing!Print_Area</vt:lpstr>
      <vt:lpstr>Expenses!Print_Area</vt:lpstr>
      <vt:lpstr>'New WIns'!Print_Area</vt:lpstr>
      <vt:lpstr>PRFIIO!Print_Area</vt:lpstr>
      <vt:lpstr>PRTM!Print_Area</vt:lpstr>
      <vt:lpstr>SA!Print_Area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Derek Noronha</dc:creator>
  <cp:keywords/>
  <dc:description/>
  <cp:lastModifiedBy>Hariprasath Paranthaman (IND)</cp:lastModifiedBy>
  <cp:revision/>
  <dcterms:created xsi:type="dcterms:W3CDTF">2017-11-07T15:09:23Z</dcterms:created>
  <dcterms:modified xsi:type="dcterms:W3CDTF">2026-06-25T07:30:52Z</dcterms:modified>
  <cp:category/>
  <cp:contentStatus/>
</cp:coreProperties>
</file>