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 &amp; Traceability" sheetId="2" state="visible" r:id="rId2"/>
    <sheet xmlns:r="http://schemas.openxmlformats.org/officeDocument/2006/relationships" name="Unit Test Cases" sheetId="3" state="visible" r:id="rId3"/>
    <sheet xmlns:r="http://schemas.openxmlformats.org/officeDocument/2006/relationships" name="Functional Test Cases" sheetId="4" state="visible" r:id="rId4"/>
  </sheets>
  <definedNames>
    <definedName name="_xlnm._FilterDatabase" localSheetId="2" hidden="1">'Unit Test Cases'!$A$2:$O$145</definedName>
    <definedName name="_xlnm._FilterDatabase" localSheetId="3" hidden="1">'Functional Test Cases'!$A$2:$O$91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Arial"/>
      <b val="1"/>
      <color rgb="001F3864"/>
      <sz val="20"/>
    </font>
    <font>
      <name val="Arial"/>
      <b val="1"/>
      <color rgb="002E5496"/>
      <sz val="14"/>
    </font>
    <font>
      <name val="Arial"/>
      <color rgb="00595959"/>
      <sz val="11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2E5496"/>
      <sz val="10"/>
    </font>
    <font>
      <name val="Arial"/>
      <b val="1"/>
      <color rgb="00FFFFFF"/>
      <sz val="10"/>
    </font>
    <font>
      <name val="Arial"/>
      <b val="1"/>
      <color rgb="00FFFFFF"/>
      <sz val="13"/>
    </font>
    <font>
      <name val="Arial"/>
      <b val="1"/>
      <color rgb="001F3864"/>
      <sz val="9"/>
    </font>
    <font>
      <name val="Arial"/>
      <color rgb="00000000"/>
      <sz val="9"/>
    </font>
    <font>
      <name val="Arial"/>
      <b val="1"/>
      <color rgb="001F3864"/>
      <sz val="15"/>
    </font>
    <font>
      <name val="Arial"/>
      <color rgb="00595959"/>
      <sz val="9"/>
    </font>
    <font>
      <name val="Arial"/>
      <b val="1"/>
      <color rgb="00000000"/>
      <sz val="9"/>
    </font>
    <font>
      <name val="Arial"/>
      <color rgb="00375623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2E5496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/>
    </xf>
    <xf numFmtId="0" fontId="4" fillId="2" borderId="1" applyAlignment="1" pivotButton="0" quotePrefix="0" xfId="0">
      <alignment horizontal="left" vertical="top"/>
    </xf>
    <xf numFmtId="0" fontId="5" fillId="2" borderId="1" applyAlignment="1" pivotButton="0" quotePrefix="0" xfId="0">
      <alignment horizontal="left" vertical="top"/>
    </xf>
    <xf numFmtId="0" fontId="6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/>
    </xf>
    <xf numFmtId="0" fontId="5" fillId="4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/>
    </xf>
    <xf numFmtId="0" fontId="12" fillId="0" borderId="0" applyAlignment="1" pivotButton="0" quotePrefix="0" xfId="0">
      <alignment horizontal="left" vertical="top"/>
    </xf>
    <xf numFmtId="0" fontId="13" fillId="0" borderId="0" applyAlignment="1" pivotButton="0" quotePrefix="0" xfId="0">
      <alignment horizontal="left" vertical="top"/>
    </xf>
    <xf numFmtId="0" fontId="8" fillId="6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6" fillId="4" borderId="1" applyAlignment="1" pivotButton="0" quotePrefix="0" xfId="0">
      <alignment horizontal="left" vertical="top"/>
    </xf>
    <xf numFmtId="164" fontId="6" fillId="4" borderId="1" applyAlignment="1" pivotButton="0" quotePrefix="0" xfId="0">
      <alignment horizontal="center"/>
    </xf>
    <xf numFmtId="0" fontId="14" fillId="8" borderId="1" applyAlignment="1" pivotButton="0" quotePrefix="0" xfId="0">
      <alignment vertical="top" wrapText="1"/>
    </xf>
    <xf numFmtId="0" fontId="11" fillId="8" borderId="1" applyAlignment="1" pivotButton="0" quotePrefix="0" xfId="0">
      <alignment vertical="top" wrapText="1"/>
    </xf>
    <xf numFmtId="0" fontId="14" fillId="7" borderId="1" applyAlignment="1" pivotButton="0" quotePrefix="0" xfId="0">
      <alignment vertical="top" wrapText="1"/>
    </xf>
    <xf numFmtId="0" fontId="11" fillId="7" borderId="1" applyAlignment="1" pivotButton="0" quotePrefix="0" xfId="0">
      <alignment vertical="top" wrapText="1"/>
    </xf>
    <xf numFmtId="0" fontId="15" fillId="4" borderId="0" applyAlignment="1" pivotButton="0" quotePrefix="0" xfId="0">
      <alignment horizontal="left" vertical="top" wrapText="1"/>
    </xf>
    <xf numFmtId="0" fontId="9" fillId="6" borderId="0" applyAlignment="1" pivotButton="0" quotePrefix="0" xfId="0">
      <alignment horizontal="left" vertical="top"/>
    </xf>
    <xf numFmtId="0" fontId="5" fillId="6" borderId="0" applyAlignment="1" pivotButton="0" quotePrefix="0" xfId="0">
      <alignment horizontal="left" vertical="top"/>
    </xf>
    <xf numFmtId="0" fontId="8" fillId="2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top" wrapText="1"/>
    </xf>
    <xf numFmtId="0" fontId="11" fillId="7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center" vertical="top" wrapText="1"/>
    </xf>
    <xf numFmtId="0" fontId="11" fillId="8" borderId="1" applyAlignment="1" pivotButton="0" quotePrefix="0" xfId="0">
      <alignment horizontal="left" vertical="top" wrapText="1"/>
    </xf>
    <xf numFmtId="0" fontId="11" fillId="8" borderId="1" applyAlignment="1" pivotButton="0" quotePrefix="0" xfId="0">
      <alignment horizontal="center" vertical="top" wrapText="1"/>
    </xf>
    <xf numFmtId="0" fontId="9" fillId="5" borderId="0" applyAlignment="1" pivotButton="0" quotePrefix="0" xfId="0">
      <alignment horizontal="left" vertical="top"/>
    </xf>
    <xf numFmtId="0" fontId="5" fillId="5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66" customWidth="1" min="3" max="3"/>
    <col width="3" customWidth="1" min="4" max="4"/>
  </cols>
  <sheetData>
    <row r="2">
      <c r="B2" s="1" t="inlineStr">
        <is>
          <t>TEST CASE SPECIFICATION</t>
        </is>
      </c>
    </row>
    <row r="3">
      <c r="B3" s="2" t="inlineStr">
        <is>
          <t>Name &amp; Forms - OTC Allege Pilot</t>
        </is>
      </c>
    </row>
    <row r="4">
      <c r="B4" s="3" t="inlineStr">
        <is>
          <t>Unit Test Cases &amp; Functional Test Cases</t>
        </is>
      </c>
    </row>
    <row r="6">
      <c r="B6" s="4" t="inlineStr">
        <is>
          <t>DOCUMENT CONTROL</t>
        </is>
      </c>
      <c r="C6" s="5" t="inlineStr"/>
    </row>
    <row r="7">
      <c r="B7" s="6" t="inlineStr">
        <is>
          <t>Document Title</t>
        </is>
      </c>
      <c r="C7" s="7" t="inlineStr">
        <is>
          <t>Test Case Specification - Name &amp; Forms OTC Allege Pilot</t>
        </is>
      </c>
    </row>
    <row r="8">
      <c r="B8" s="6" t="inlineStr">
        <is>
          <t>Test Basis (FSD)</t>
        </is>
      </c>
      <c r="C8" s="7" t="inlineStr">
        <is>
          <t>FSD_Name&amp;Forms_OTC_Pilot_v1.0 (Consolidated)</t>
        </is>
      </c>
    </row>
    <row r="9">
      <c r="B9" s="6" t="inlineStr">
        <is>
          <t>Traces to BRD</t>
        </is>
      </c>
      <c r="C9" s="7" t="inlineStr">
        <is>
          <t>BRD_Name&amp;Forms_Pilot_v0.2</t>
        </is>
      </c>
    </row>
    <row r="10">
      <c r="B10" s="6" t="inlineStr">
        <is>
          <t>Version</t>
        </is>
      </c>
      <c r="C10" s="7" t="inlineStr">
        <is>
          <t>1.0 - Draft for Review</t>
        </is>
      </c>
    </row>
    <row r="11">
      <c r="B11" s="6" t="inlineStr">
        <is>
          <t>Date</t>
        </is>
      </c>
      <c r="C11" s="7" t="inlineStr">
        <is>
          <t>July 2026</t>
        </is>
      </c>
    </row>
    <row r="12">
      <c r="B12" s="6" t="inlineStr">
        <is>
          <t>Classification</t>
        </is>
      </c>
      <c r="C12" s="7" t="inlineStr">
        <is>
          <t>Confidential - Internal Use Only</t>
        </is>
      </c>
    </row>
    <row r="13">
      <c r="B13" s="6" t="inlineStr">
        <is>
          <t>Owner</t>
        </is>
      </c>
      <c r="C13" s="7" t="inlineStr">
        <is>
          <t>SABRE Working Group / QA</t>
        </is>
      </c>
    </row>
    <row r="14">
      <c r="B14" s="6" t="inlineStr">
        <is>
          <t>Scope</t>
        </is>
      </c>
      <c r="C14" s="7" t="inlineStr">
        <is>
          <t>Phase 1a (email-body trades) &amp; Phase 1b (Excel-attachment trades)</t>
        </is>
      </c>
    </row>
    <row r="15">
      <c r="B15" s="6" t="inlineStr">
        <is>
          <t>Test Types</t>
        </is>
      </c>
      <c r="C15" s="7" t="inlineStr">
        <is>
          <t>Unit (component/module level)  +  Functional (end-to-end scenarios)</t>
        </is>
      </c>
    </row>
    <row r="17">
      <c r="B17" s="4" t="inlineStr">
        <is>
          <t>PURPOSE &amp; HOW TO USE</t>
        </is>
      </c>
      <c r="C17" s="5" t="inlineStr"/>
    </row>
    <row r="18" ht="42" customHeight="1">
      <c r="B18" s="8" t="inlineStr">
        <is>
          <t>•</t>
        </is>
      </c>
      <c r="C18" s="7" t="inlineStr">
        <is>
          <t>This workbook operationalises the FSD into an executable test suite. Every test case traces to one or more functional requirements (FR-*) or FSD sections.</t>
        </is>
      </c>
    </row>
    <row r="19" ht="42" customHeight="1">
      <c r="B19" s="8" t="inlineStr">
        <is>
          <t>•</t>
        </is>
      </c>
      <c r="C19" s="7" t="inlineStr">
        <is>
          <t>UNIT TEST CASES verify individual logical components in isolation (Ingestion Agent, Routing Controller, Classifier, Extraction Engine, Matcher tiers, Write-back Service, Config, RBAC, Audit, AI gates) - typically automated / white-box.</t>
        </is>
      </c>
    </row>
    <row r="20" ht="42" customHeight="1">
      <c r="B20" s="8" t="inlineStr">
        <is>
          <t>•</t>
        </is>
      </c>
      <c r="C20" s="7" t="inlineStr">
        <is>
          <t>FUNCTIONAL TEST CASES verify end-to-end business scenarios and capability flows (C1-C7), UI, integrations, error handling and NFRs - typically black-box / UAT.</t>
        </is>
      </c>
    </row>
    <row r="21" ht="42" customHeight="1">
      <c r="B21" s="8" t="inlineStr">
        <is>
          <t>•</t>
        </is>
      </c>
      <c r="C21" s="7" t="inlineStr">
        <is>
          <t>Testers fill the yellow-highlighted columns during execution: Actual Result, Status (Pass/Fail/Blocked), Executed By, Executed On, Defect Ref.</t>
        </is>
      </c>
    </row>
    <row r="22" ht="42" customHeight="1">
      <c r="B22" s="8" t="inlineStr">
        <is>
          <t>•</t>
        </is>
      </c>
      <c r="C22" s="7" t="inlineStr">
        <is>
          <t>The Summary &amp; Traceability tab auto-counts coverage and status via live formulas.</t>
        </is>
      </c>
    </row>
    <row r="24">
      <c r="B24" s="4" t="inlineStr">
        <is>
          <t>LEGEND</t>
        </is>
      </c>
      <c r="C24" s="5" t="inlineStr"/>
    </row>
    <row r="25">
      <c r="B25" s="6" t="inlineStr">
        <is>
          <t>Priority</t>
        </is>
      </c>
      <c r="C25" s="7" t="inlineStr">
        <is>
          <t>P1 = Critical (core flow / financial / security / audit)  |  P2 = High  |  P3 = Medium/Low</t>
        </is>
      </c>
    </row>
    <row r="26">
      <c r="B26" s="6" t="inlineStr">
        <is>
          <t>Test Type (Unit)</t>
        </is>
      </c>
      <c r="C26" s="7" t="inlineStr">
        <is>
          <t>Positive | Negative | Boundary | Config | Security | Data-Validation</t>
        </is>
      </c>
    </row>
    <row r="27">
      <c r="B27" s="6" t="inlineStr">
        <is>
          <t>Test Type (Functional)</t>
        </is>
      </c>
      <c r="C27" s="7" t="inlineStr">
        <is>
          <t>E2E | Positive | Negative | Edge | Integration | Performance | Security</t>
        </is>
      </c>
    </row>
    <row r="28">
      <c r="B28" s="6" t="inlineStr">
        <is>
          <t>Status values</t>
        </is>
      </c>
      <c r="C28" s="7" t="inlineStr">
        <is>
          <t>Not Executed | Pass | Fail | Blocked | Deferred</t>
        </is>
      </c>
    </row>
    <row r="29">
      <c r="B29" s="6" t="inlineStr">
        <is>
          <t>Tester-input cells</t>
        </is>
      </c>
      <c r="C29" s="9" t="inlineStr">
        <is>
          <t>Yellow fill = to be completed during execution</t>
        </is>
      </c>
    </row>
    <row r="30">
      <c r="B30" s="6" t="inlineStr">
        <is>
          <t>Marker tags</t>
        </is>
      </c>
      <c r="C30" s="7" t="inlineStr">
        <is>
          <t>[FSD-ADD] implementation detail | [PHASE-2+]/[PHASE-3] out-of-scope, negative-assertion only</t>
        </is>
      </c>
    </row>
    <row r="32" ht="60" customHeight="1">
      <c r="B32" s="10" t="inlineStr">
        <is>
          <t>NOTE - FSD GAP</t>
        </is>
      </c>
      <c r="C32" s="9" t="inlineStr">
        <is>
          <t>FSD Section 8 (Capability 5: Analyst Extraction Confirmation) was missing from the consolidated source. C5 test cases here (FT-C5-*) are INFERRED from related requirements (FR-EXT-008, FR-TAG-010, FR-UI-006 and the CONFIRMED lifecycle state) and must be re-validated once Section 8 is supplied.</t>
        </is>
      </c>
    </row>
  </sheetData>
  <mergeCells count="3">
    <mergeCell ref="B4:C4"/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11" t="inlineStr">
        <is>
          <t>SUMMARY &amp; TRACEABILITY</t>
        </is>
      </c>
    </row>
    <row r="3">
      <c r="B3" s="12" t="inlineStr">
        <is>
          <t>Live counts (auto-calculated). Update Status columns in the test sheets and these refresh on open.</t>
        </is>
      </c>
    </row>
    <row r="5">
      <c r="B5" s="4" t="inlineStr">
        <is>
          <t>COVERAGE BY TEST SET</t>
        </is>
      </c>
      <c r="C5" s="5" t="inlineStr"/>
      <c r="D5" s="5" t="inlineStr"/>
      <c r="E5" s="5" t="inlineStr"/>
    </row>
    <row r="6">
      <c r="B6" s="13" t="inlineStr">
        <is>
          <t>Test Set</t>
        </is>
      </c>
      <c r="C6" s="13" t="inlineStr">
        <is>
          <t>Total Cases</t>
        </is>
      </c>
      <c r="D6" s="13" t="inlineStr">
        <is>
          <t>P1 (Critical)</t>
        </is>
      </c>
      <c r="E6" s="13" t="inlineStr">
        <is>
          <t>P2 (High)</t>
        </is>
      </c>
      <c r="F6" s="13" t="inlineStr">
        <is>
          <t>P3 (Med/Low)</t>
        </is>
      </c>
    </row>
    <row r="7">
      <c r="B7" s="14" t="inlineStr">
        <is>
          <t>Unit Test Cases</t>
        </is>
      </c>
      <c r="C7" s="15">
        <f>COUNTA('Unit Test Cases'!$A$3:$A$145)</f>
        <v/>
      </c>
      <c r="D7" s="15">
        <f>COUNTIF('Unit Test Cases'!$J$3:$J$145,"P1")</f>
        <v/>
      </c>
      <c r="E7" s="15">
        <f>COUNTIF('Unit Test Cases'!$J$3:$J$145,"P2")</f>
        <v/>
      </c>
      <c r="F7" s="15">
        <f>COUNTIF('Unit Test Cases'!$J$3:$J$145,"P3")</f>
        <v/>
      </c>
    </row>
    <row r="8">
      <c r="B8" s="14" t="inlineStr">
        <is>
          <t>Functional Test Cases</t>
        </is>
      </c>
      <c r="C8" s="15">
        <f>COUNTA('Functional Test Cases'!$A$3:$A$91)</f>
        <v/>
      </c>
      <c r="D8" s="15">
        <f>COUNTIF('Functional Test Cases'!$J$3:$J$91,"P1")</f>
        <v/>
      </c>
      <c r="E8" s="15">
        <f>COUNTIF('Functional Test Cases'!$J$3:$J$91,"P2")</f>
        <v/>
      </c>
      <c r="F8" s="15">
        <f>COUNTIF('Functional Test Cases'!$J$3:$J$91,"P3")</f>
        <v/>
      </c>
    </row>
    <row r="9">
      <c r="B9" s="10" t="inlineStr">
        <is>
          <t>TOTAL</t>
        </is>
      </c>
      <c r="C9" s="16">
        <f>SUM(C7:C8)</f>
        <v/>
      </c>
      <c r="D9" s="16">
        <f>SUM(D7:D8)</f>
        <v/>
      </c>
      <c r="E9" s="16">
        <f>SUM(E7:E8)</f>
        <v/>
      </c>
      <c r="F9" s="16">
        <f>SUM(F7:F8)</f>
        <v/>
      </c>
    </row>
    <row r="11">
      <c r="B11" s="4" t="inlineStr">
        <is>
          <t>EXECUTION STATUS</t>
        </is>
      </c>
      <c r="C11" s="5" t="inlineStr"/>
      <c r="D11" s="5" t="inlineStr"/>
      <c r="E11" s="5" t="inlineStr"/>
    </row>
    <row r="12">
      <c r="B12" s="13" t="inlineStr">
        <is>
          <t>Status</t>
        </is>
      </c>
      <c r="C12" s="13" t="inlineStr">
        <is>
          <t>Unit</t>
        </is>
      </c>
      <c r="D12" s="13" t="inlineStr">
        <is>
          <t>Functional</t>
        </is>
      </c>
      <c r="E12" s="13" t="inlineStr">
        <is>
          <t>Total</t>
        </is>
      </c>
    </row>
    <row r="13">
      <c r="B13" s="14" t="inlineStr">
        <is>
          <t>Not Executed</t>
        </is>
      </c>
      <c r="C13" s="15">
        <f>COUNTIF('Unit Test Cases'!$K$3:$K$145,"Not Executed")</f>
        <v/>
      </c>
      <c r="D13" s="15">
        <f>COUNTIF('Functional Test Cases'!$K$3:$K$91,"Not Executed")</f>
        <v/>
      </c>
      <c r="E13" s="15">
        <f>C13+D13</f>
        <v/>
      </c>
    </row>
    <row r="14">
      <c r="B14" s="14" t="inlineStr">
        <is>
          <t>Pass</t>
        </is>
      </c>
      <c r="C14" s="15">
        <f>COUNTIF('Unit Test Cases'!$K$3:$K$145,"Pass")</f>
        <v/>
      </c>
      <c r="D14" s="15">
        <f>COUNTIF('Functional Test Cases'!$K$3:$K$91,"Pass")</f>
        <v/>
      </c>
      <c r="E14" s="15">
        <f>C14+D14</f>
        <v/>
      </c>
    </row>
    <row r="15">
      <c r="B15" s="14" t="inlineStr">
        <is>
          <t>Fail</t>
        </is>
      </c>
      <c r="C15" s="15">
        <f>COUNTIF('Unit Test Cases'!$K$3:$K$145,"Fail")</f>
        <v/>
      </c>
      <c r="D15" s="15">
        <f>COUNTIF('Functional Test Cases'!$K$3:$K$91,"Fail")</f>
        <v/>
      </c>
      <c r="E15" s="15">
        <f>C15+D15</f>
        <v/>
      </c>
    </row>
    <row r="16">
      <c r="B16" s="14" t="inlineStr">
        <is>
          <t>Blocked</t>
        </is>
      </c>
      <c r="C16" s="15">
        <f>COUNTIF('Unit Test Cases'!$K$3:$K$145,"Blocked")</f>
        <v/>
      </c>
      <c r="D16" s="15">
        <f>COUNTIF('Functional Test Cases'!$K$3:$K$91,"Blocked")</f>
        <v/>
      </c>
      <c r="E16" s="15">
        <f>C16+D16</f>
        <v/>
      </c>
    </row>
    <row r="17">
      <c r="B17" s="14" t="inlineStr">
        <is>
          <t>Deferred</t>
        </is>
      </c>
      <c r="C17" s="15">
        <f>COUNTIF('Unit Test Cases'!$K$3:$K$145,"Deferred")</f>
        <v/>
      </c>
      <c r="D17" s="15">
        <f>COUNTIF('Functional Test Cases'!$K$3:$K$91,"Deferred")</f>
        <v/>
      </c>
      <c r="E17" s="15">
        <f>C17+D17</f>
        <v/>
      </c>
    </row>
    <row r="18">
      <c r="B18" s="10" t="inlineStr">
        <is>
          <t>TOTAL</t>
        </is>
      </c>
      <c r="C18" s="16">
        <f>SUM(C13:C17)</f>
        <v/>
      </c>
      <c r="D18" s="16">
        <f>SUM(D13:D17)</f>
        <v/>
      </c>
      <c r="E18" s="16">
        <f>SUM(E13:E17)</f>
        <v/>
      </c>
    </row>
    <row r="19">
      <c r="B19" s="17" t="inlineStr">
        <is>
          <t>Pass Rate</t>
        </is>
      </c>
      <c r="E19" s="18">
        <f>IFERROR(E14/E18,0)</f>
        <v/>
      </c>
    </row>
    <row r="22">
      <c r="B22" s="4" t="inlineStr">
        <is>
          <t>REQUIREMENT / CAPABILITY TRACEABILITY</t>
        </is>
      </c>
      <c r="C22" s="5" t="inlineStr"/>
      <c r="D22" s="5" t="inlineStr"/>
      <c r="E22" s="5" t="inlineStr"/>
      <c r="F22" s="5" t="inlineStr"/>
    </row>
    <row r="23">
      <c r="B23" s="13" t="inlineStr">
        <is>
          <t>FSD Capability / Area</t>
        </is>
      </c>
      <c r="C23" s="13" t="inlineStr">
        <is>
          <t>Requirement Range</t>
        </is>
      </c>
      <c r="D23" s="13" t="inlineStr">
        <is>
          <t>Unit TC IDs</t>
        </is>
      </c>
      <c r="E23" s="13" t="inlineStr">
        <is>
          <t>Functional TC IDs</t>
        </is>
      </c>
    </row>
    <row r="24">
      <c r="B24" s="19" t="inlineStr">
        <is>
          <t>C1 Email Ingestion</t>
        </is>
      </c>
      <c r="C24" s="20" t="inlineStr">
        <is>
          <t>FR-ING-001..006, FR-RTE-001..004</t>
        </is>
      </c>
      <c r="D24" s="20" t="inlineStr">
        <is>
          <t>UT-ING-001..008, UT-RTE-001..007</t>
        </is>
      </c>
      <c r="E24" s="20" t="inlineStr">
        <is>
          <t>FT-C1-001..003</t>
        </is>
      </c>
    </row>
    <row r="25">
      <c r="B25" s="21" t="inlineStr">
        <is>
          <t>C2 Email Identification</t>
        </is>
      </c>
      <c r="C25" s="22" t="inlineStr">
        <is>
          <t>FR-ID-001..017</t>
        </is>
      </c>
      <c r="D25" s="22" t="inlineStr">
        <is>
          <t>UT-IDS-001..010, UT-IDC-001..009</t>
        </is>
      </c>
      <c r="E25" s="22" t="inlineStr">
        <is>
          <t>FT-C2-001..007</t>
        </is>
      </c>
    </row>
    <row r="26">
      <c r="B26" s="19" t="inlineStr">
        <is>
          <t>C3 Outlook Tagging</t>
        </is>
      </c>
      <c r="C26" s="20" t="inlineStr">
        <is>
          <t>FR-TAG-001..013</t>
        </is>
      </c>
      <c r="D26" s="20" t="inlineStr">
        <is>
          <t>UT-TAG-001..009</t>
        </is>
      </c>
      <c r="E26" s="20" t="inlineStr">
        <is>
          <t>FT-C3-001..003</t>
        </is>
      </c>
    </row>
    <row r="27">
      <c r="B27" s="21" t="inlineStr">
        <is>
          <t>C4 Field Extraction</t>
        </is>
      </c>
      <c r="C27" s="22" t="inlineStr">
        <is>
          <t>FR-EXT-001..033</t>
        </is>
      </c>
      <c r="D27" s="22" t="inlineStr">
        <is>
          <t>UT-EXB-001..018, UT-EXX-001..012, UT-EXM-001..004</t>
        </is>
      </c>
      <c r="E27" s="22" t="inlineStr">
        <is>
          <t>FT-C4-001..009</t>
        </is>
      </c>
    </row>
    <row r="28">
      <c r="B28" s="19" t="inlineStr">
        <is>
          <t>C5 Analyst Confirmation</t>
        </is>
      </c>
      <c r="C28" s="20" t="inlineStr">
        <is>
          <t>FSD §8 (missing) - inferred</t>
        </is>
      </c>
      <c r="D28" s="20" t="inlineStr">
        <is>
          <t>(covered via UT-EXB-015, UT-AUD-004)</t>
        </is>
      </c>
      <c r="E28" s="20" t="inlineStr">
        <is>
          <t>FT-C5-001..003 (inferred)</t>
        </is>
      </c>
    </row>
    <row r="29">
      <c r="B29" s="21" t="inlineStr">
        <is>
          <t>C6 Compare &amp; Match</t>
        </is>
      </c>
      <c r="C29" s="22" t="inlineStr">
        <is>
          <t>FR-MTH-001..023</t>
        </is>
      </c>
      <c r="D29" s="22" t="inlineStr">
        <is>
          <t>UT-MT1-001..006, UT-MT2-001..013, UT-MT3-001..005</t>
        </is>
      </c>
      <c r="E29" s="22" t="inlineStr">
        <is>
          <t>FT-C6-001..010</t>
        </is>
      </c>
    </row>
    <row r="30">
      <c r="B30" s="19" t="inlineStr">
        <is>
          <t>C7 Action &amp; Write-back</t>
        </is>
      </c>
      <c r="C30" s="20" t="inlineStr">
        <is>
          <t>FR-WRB-001..008</t>
        </is>
      </c>
      <c r="D30" s="20" t="inlineStr">
        <is>
          <t>UT-WRB-001..009</t>
        </is>
      </c>
      <c r="E30" s="20" t="inlineStr">
        <is>
          <t>FT-C7-001..008</t>
        </is>
      </c>
    </row>
    <row r="31">
      <c r="B31" s="21" t="inlineStr">
        <is>
          <t>UI / UX</t>
        </is>
      </c>
      <c r="C31" s="22" t="inlineStr">
        <is>
          <t>FR-UI-001..032</t>
        </is>
      </c>
      <c r="D31" s="22" t="inlineStr">
        <is>
          <t>(see Config UT-CFG-*)</t>
        </is>
      </c>
      <c r="E31" s="22" t="inlineStr">
        <is>
          <t>FT-UI-001..013</t>
        </is>
      </c>
    </row>
    <row r="32">
      <c r="B32" s="19" t="inlineStr">
        <is>
          <t>Integration</t>
        </is>
      </c>
      <c r="C32" s="20" t="inlineStr">
        <is>
          <t>INT-001..008</t>
        </is>
      </c>
      <c r="D32" s="20" t="inlineStr">
        <is>
          <t>(see UT-* per component)</t>
        </is>
      </c>
      <c r="E32" s="20" t="inlineStr">
        <is>
          <t>FT-INT-001..007</t>
        </is>
      </c>
    </row>
    <row r="33">
      <c r="B33" s="21" t="inlineStr">
        <is>
          <t>Data Model &amp; Config</t>
        </is>
      </c>
      <c r="C33" s="22" t="inlineStr">
        <is>
          <t>§13, §17</t>
        </is>
      </c>
      <c r="D33" s="22" t="inlineStr">
        <is>
          <t>UT-CFG-001..008</t>
        </is>
      </c>
      <c r="E33" s="22" t="inlineStr">
        <is>
          <t>FT-UI-011..012</t>
        </is>
      </c>
    </row>
    <row r="34">
      <c r="B34" s="19" t="inlineStr">
        <is>
          <t>RBAC</t>
        </is>
      </c>
      <c r="C34" s="20" t="inlineStr">
        <is>
          <t>FR-RBAC-001..005</t>
        </is>
      </c>
      <c r="D34" s="20" t="inlineStr">
        <is>
          <t>UT-RBAC-001..008</t>
        </is>
      </c>
      <c r="E34" s="20" t="inlineStr">
        <is>
          <t>FT-RBAC-001..003</t>
        </is>
      </c>
    </row>
    <row r="35">
      <c r="B35" s="21" t="inlineStr">
        <is>
          <t>Audit Trail</t>
        </is>
      </c>
      <c r="C35" s="22" t="inlineStr">
        <is>
          <t>FR-AUD-001..009</t>
        </is>
      </c>
      <c r="D35" s="22" t="inlineStr">
        <is>
          <t>UT-AUD-001..009</t>
        </is>
      </c>
      <c r="E35" s="22" t="inlineStr">
        <is>
          <t>FT-AUD-001..003</t>
        </is>
      </c>
    </row>
    <row r="36">
      <c r="B36" s="19" t="inlineStr">
        <is>
          <t>AI Quality &amp; Gates</t>
        </is>
      </c>
      <c r="C36" s="20" t="inlineStr">
        <is>
          <t>FR-AIQ-001..011</t>
        </is>
      </c>
      <c r="D36" s="20" t="inlineStr">
        <is>
          <t>UT-AIQ-001..008</t>
        </is>
      </c>
      <c r="E36" s="20" t="inlineStr">
        <is>
          <t>FT-AIQ-001..002</t>
        </is>
      </c>
    </row>
    <row r="37">
      <c r="B37" s="21" t="inlineStr">
        <is>
          <t>Error Handling</t>
        </is>
      </c>
      <c r="C37" s="22" t="inlineStr">
        <is>
          <t>ERR-001..010</t>
        </is>
      </c>
      <c r="D37" s="22" t="inlineStr">
        <is>
          <t>(component negatives above)</t>
        </is>
      </c>
      <c r="E37" s="22" t="inlineStr">
        <is>
          <t>FT-ERR-001..010</t>
        </is>
      </c>
    </row>
    <row r="38">
      <c r="B38" s="19" t="inlineStr">
        <is>
          <t>Non-Functional</t>
        </is>
      </c>
      <c r="C38" s="20" t="inlineStr">
        <is>
          <t>NFR-001..009</t>
        </is>
      </c>
      <c r="D38" s="20" t="inlineStr">
        <is>
          <t>(design-level)</t>
        </is>
      </c>
      <c r="E38" s="20" t="inlineStr">
        <is>
          <t>FT-NFR-001..008</t>
        </is>
      </c>
    </row>
    <row r="40" ht="40" customHeight="1">
      <c r="B40" s="23" t="inlineStr">
        <is>
          <t>Note: FSD §8 (Capability 5) was absent from the consolidated source; FT-C5-* are inferred from FR-EXT-008, FR-TAG-010, FR-UI-006 and the CONFIRMED lifecycle state - re-validate on receipt of §8.</t>
        </is>
      </c>
    </row>
  </sheetData>
  <mergeCells count="3">
    <mergeCell ref="B3:H3"/>
    <mergeCell ref="B2:H2"/>
    <mergeCell ref="B40:F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40" customWidth="1" min="4" max="4"/>
    <col width="34" customWidth="1" min="5" max="5"/>
    <col width="52" customWidth="1" min="6" max="6"/>
    <col width="30" customWidth="1" min="7" max="7"/>
    <col width="48" customWidth="1" min="8" max="8"/>
    <col width="15" customWidth="1" min="9" max="9"/>
    <col width="10" customWidth="1" min="10" max="10"/>
    <col width="14" customWidth="1" min="11" max="11"/>
    <col width="30" customWidth="1" min="12" max="12"/>
    <col width="14" customWidth="1" min="13" max="13"/>
    <col width="14" customWidth="1" min="14" max="14"/>
    <col width="14" customWidth="1" min="15" max="15"/>
  </cols>
  <sheetData>
    <row r="1" ht="22" customHeight="1">
      <c r="A1" s="24" t="inlineStr">
        <is>
          <t>UNIT TEST CASES</t>
        </is>
      </c>
      <c r="B1" s="25" t="inlineStr"/>
      <c r="C1" s="25" t="inlineStr"/>
      <c r="D1" s="25" t="inlineStr"/>
      <c r="E1" s="25" t="inlineStr"/>
      <c r="F1" s="25" t="inlineStr"/>
      <c r="G1" s="25" t="inlineStr"/>
      <c r="H1" s="25" t="inlineStr"/>
      <c r="I1" s="25" t="inlineStr"/>
      <c r="J1" s="25" t="inlineStr"/>
      <c r="K1" s="25" t="inlineStr"/>
      <c r="L1" s="25" t="inlineStr"/>
      <c r="M1" s="25" t="inlineStr"/>
      <c r="N1" s="25" t="inlineStr"/>
      <c r="O1" s="25" t="inlineStr"/>
    </row>
    <row r="2" ht="34" customHeight="1">
      <c r="A2" s="26" t="inlineStr">
        <is>
          <t>Test Case ID</t>
        </is>
      </c>
      <c r="B2" s="26" t="inlineStr">
        <is>
          <t>Component / Module</t>
        </is>
      </c>
      <c r="C2" s="26" t="inlineStr">
        <is>
          <t>Requirement Ref</t>
        </is>
      </c>
      <c r="D2" s="26" t="inlineStr">
        <is>
          <t>Test Objective</t>
        </is>
      </c>
      <c r="E2" s="26" t="inlineStr">
        <is>
          <t>Preconditions</t>
        </is>
      </c>
      <c r="F2" s="26" t="inlineStr">
        <is>
          <t>Test Steps / Input</t>
        </is>
      </c>
      <c r="G2" s="26" t="inlineStr">
        <is>
          <t>Test Data</t>
        </is>
      </c>
      <c r="H2" s="26" t="inlineStr">
        <is>
          <t>Expected Result</t>
        </is>
      </c>
      <c r="I2" s="26" t="inlineStr">
        <is>
          <t>Test Type</t>
        </is>
      </c>
      <c r="J2" s="26" t="inlineStr">
        <is>
          <t>Priority</t>
        </is>
      </c>
      <c r="K2" s="26" t="inlineStr">
        <is>
          <t>Status</t>
        </is>
      </c>
      <c r="L2" s="26" t="inlineStr">
        <is>
          <t>Actual Result</t>
        </is>
      </c>
      <c r="M2" s="26" t="inlineStr">
        <is>
          <t>Executed By</t>
        </is>
      </c>
      <c r="N2" s="26" t="inlineStr">
        <is>
          <t>Executed On</t>
        </is>
      </c>
      <c r="O2" s="26" t="inlineStr">
        <is>
          <t>Defect Ref</t>
        </is>
      </c>
    </row>
    <row r="3">
      <c r="A3" s="27" t="inlineStr">
        <is>
          <t>UT-ING-001</t>
        </is>
      </c>
      <c r="B3" s="28" t="inlineStr">
        <is>
          <t>Ingestion Agent</t>
        </is>
      </c>
      <c r="C3" s="29" t="inlineStr">
        <is>
          <t>FR-ING-001</t>
        </is>
      </c>
      <c r="D3" s="28" t="inlineStr">
        <is>
          <t>Verify the agent monitors the OTC shared mailbox on a configurable polling interval.</t>
        </is>
      </c>
      <c r="E3" s="28" t="inlineStr">
        <is>
          <t>Ingestion service running; mailbox reachable.</t>
        </is>
      </c>
      <c r="F3" s="28" t="inlineStr">
        <is>
          <t>1. Set polling interval in Admin.
2. Start poll scheduler.
3. Observe poll trigger cadence.</t>
        </is>
      </c>
      <c r="G3" s="28" t="inlineStr">
        <is>
          <t>Interval = 60 min</t>
        </is>
      </c>
      <c r="H3" s="28" t="inlineStr">
        <is>
          <t>Agent polls otcsettlements@nomura.com exactly on the configured cadence.</t>
        </is>
      </c>
      <c r="I3" s="29" t="inlineStr">
        <is>
          <t>Positive</t>
        </is>
      </c>
      <c r="J3" s="29" t="inlineStr">
        <is>
          <t>P1</t>
        </is>
      </c>
      <c r="K3" s="30" t="inlineStr">
        <is>
          <t>Not Executed</t>
        </is>
      </c>
      <c r="L3" s="31" t="inlineStr"/>
      <c r="M3" s="31" t="inlineStr"/>
      <c r="N3" s="31" t="inlineStr"/>
      <c r="O3" s="31" t="inlineStr"/>
    </row>
    <row r="4">
      <c r="A4" s="32" t="inlineStr">
        <is>
          <t>UT-ING-002</t>
        </is>
      </c>
      <c r="B4" s="33" t="inlineStr">
        <is>
          <t>Ingestion Agent</t>
        </is>
      </c>
      <c r="C4" s="34" t="inlineStr">
        <is>
          <t>FR-ING-002</t>
        </is>
      </c>
      <c r="D4" s="33" t="inlineStr">
        <is>
          <t>Verify default pilot polling interval is 60 minutes.</t>
        </is>
      </c>
      <c r="E4" s="33" t="inlineStr">
        <is>
          <t>Fresh deployment, no override.</t>
        </is>
      </c>
      <c r="F4" s="33" t="inlineStr">
        <is>
          <t>1. Inspect default config value for polling_interval_mins.</t>
        </is>
      </c>
      <c r="G4" s="33" t="inlineStr">
        <is>
          <t>Default install</t>
        </is>
      </c>
      <c r="H4" s="33" t="inlineStr">
        <is>
          <t>polling_interval_mins defaults to 60.</t>
        </is>
      </c>
      <c r="I4" s="34" t="inlineStr">
        <is>
          <t>Positive</t>
        </is>
      </c>
      <c r="J4" s="34" t="inlineStr">
        <is>
          <t>P2</t>
        </is>
      </c>
      <c r="K4" s="30" t="inlineStr">
        <is>
          <t>Not Executed</t>
        </is>
      </c>
      <c r="L4" s="31" t="inlineStr"/>
      <c r="M4" s="31" t="inlineStr"/>
      <c r="N4" s="31" t="inlineStr"/>
      <c r="O4" s="31" t="inlineStr"/>
    </row>
    <row r="5">
      <c r="A5" s="27" t="inlineStr">
        <is>
          <t>UT-ING-003</t>
        </is>
      </c>
      <c r="B5" s="28" t="inlineStr">
        <is>
          <t>Ingestion Agent</t>
        </is>
      </c>
      <c r="C5" s="29" t="inlineStr">
        <is>
          <t>FR-ING-002</t>
        </is>
      </c>
      <c r="D5" s="28" t="inlineStr">
        <is>
          <t>Verify polling interval is changeable via Admin panel without code deployment.</t>
        </is>
      </c>
      <c r="E5" s="28" t="inlineStr">
        <is>
          <t>Admin session.</t>
        </is>
      </c>
      <c r="F5" s="28" t="inlineStr">
        <is>
          <t>1. Change interval 60-&gt;15 in Admin.
2. Save.
3. Confirm next poll uses new value.</t>
        </is>
      </c>
      <c r="G5" s="28" t="inlineStr">
        <is>
          <t>60 -&gt; 15 min</t>
        </is>
      </c>
      <c r="H5" s="28" t="inlineStr">
        <is>
          <t>New interval applies at next cycle; no redeploy needed.</t>
        </is>
      </c>
      <c r="I5" s="29" t="inlineStr">
        <is>
          <t>Config</t>
        </is>
      </c>
      <c r="J5" s="29" t="inlineStr">
        <is>
          <t>P2</t>
        </is>
      </c>
      <c r="K5" s="30" t="inlineStr">
        <is>
          <t>Not Executed</t>
        </is>
      </c>
      <c r="L5" s="31" t="inlineStr"/>
      <c r="M5" s="31" t="inlineStr"/>
      <c r="N5" s="31" t="inlineStr"/>
      <c r="O5" s="31" t="inlineStr"/>
    </row>
    <row r="6">
      <c r="A6" s="32" t="inlineStr">
        <is>
          <t>UT-ING-004</t>
        </is>
      </c>
      <c r="B6" s="33" t="inlineStr">
        <is>
          <t>Ingestion Agent</t>
        </is>
      </c>
      <c r="C6" s="34" t="inlineStr">
        <is>
          <t>FR-ING-003</t>
        </is>
      </c>
      <c r="D6" s="33" t="inlineStr">
        <is>
          <t>Verify each poll retrieves only emails arrived since last successful poll timestamp.</t>
        </is>
      </c>
      <c r="E6" s="33" t="inlineStr">
        <is>
          <t>Known last-poll timestamp T0.</t>
        </is>
      </c>
      <c r="F6" s="33" t="inlineStr">
        <is>
          <t>1. Inject emails before &amp; after T0.
2. Run poll.</t>
        </is>
      </c>
      <c r="G6" s="33" t="inlineStr">
        <is>
          <t>2 pre-T0, 3 post-T0 mails</t>
        </is>
      </c>
      <c r="H6" s="33" t="inlineStr">
        <is>
          <t>Only the 3 post-T0 emails are retrieved.</t>
        </is>
      </c>
      <c r="I6" s="34" t="inlineStr">
        <is>
          <t>Positive</t>
        </is>
      </c>
      <c r="J6" s="34" t="inlineStr">
        <is>
          <t>P1</t>
        </is>
      </c>
      <c r="K6" s="30" t="inlineStr">
        <is>
          <t>Not Executed</t>
        </is>
      </c>
      <c r="L6" s="31" t="inlineStr"/>
      <c r="M6" s="31" t="inlineStr"/>
      <c r="N6" s="31" t="inlineStr"/>
      <c r="O6" s="31" t="inlineStr"/>
    </row>
    <row r="7">
      <c r="A7" s="27" t="inlineStr">
        <is>
          <t>UT-ING-005</t>
        </is>
      </c>
      <c r="B7" s="28" t="inlineStr">
        <is>
          <t>Ingestion Agent</t>
        </is>
      </c>
      <c r="C7" s="29" t="inlineStr">
        <is>
          <t>FR-ING-004</t>
        </is>
      </c>
      <c r="D7" s="28" t="inlineStr">
        <is>
          <t>Verify polling failure retries with exponential back-off (3 attempts, configurable).</t>
        </is>
      </c>
      <c r="E7" s="28" t="inlineStr">
        <is>
          <t>Mailbox connection forced to fail.</t>
        </is>
      </c>
      <c r="F7" s="28" t="inlineStr">
        <is>
          <t>1. Force connection error.
2. Observe retry attempts &amp; intervals.</t>
        </is>
      </c>
      <c r="G7" s="28" t="inlineStr">
        <is>
          <t>Retries=3</t>
        </is>
      </c>
      <c r="H7" s="28" t="inlineStr">
        <is>
          <t>3 retries with increasing back-off intervals before giving up.</t>
        </is>
      </c>
      <c r="I7" s="29" t="inlineStr">
        <is>
          <t>Negative</t>
        </is>
      </c>
      <c r="J7" s="29" t="inlineStr">
        <is>
          <t>P1</t>
        </is>
      </c>
      <c r="K7" s="30" t="inlineStr">
        <is>
          <t>Not Executed</t>
        </is>
      </c>
      <c r="L7" s="31" t="inlineStr"/>
      <c r="M7" s="31" t="inlineStr"/>
      <c r="N7" s="31" t="inlineStr"/>
      <c r="O7" s="31" t="inlineStr"/>
    </row>
    <row r="8">
      <c r="A8" s="32" t="inlineStr">
        <is>
          <t>UT-ING-006</t>
        </is>
      </c>
      <c r="B8" s="33" t="inlineStr">
        <is>
          <t>Ingestion Agent</t>
        </is>
      </c>
      <c r="C8" s="34" t="inlineStr">
        <is>
          <t>FR-ING-004</t>
        </is>
      </c>
      <c r="D8" s="33" t="inlineStr">
        <is>
          <t>Verify operational alert raised to Settlements Ops after final retry failure.</t>
        </is>
      </c>
      <c r="E8" s="33" t="inlineStr">
        <is>
          <t>As UT-ING-005.</t>
        </is>
      </c>
      <c r="F8" s="33" t="inlineStr">
        <is>
          <t>1. Exhaust all retries.
2. Inspect alert channel.</t>
        </is>
      </c>
      <c r="G8" s="33" t="inlineStr">
        <is>
          <t>Retries exhausted</t>
        </is>
      </c>
      <c r="H8" s="33" t="inlineStr">
        <is>
          <t>One operational alert raised to Settlements Operations.</t>
        </is>
      </c>
      <c r="I8" s="34" t="inlineStr">
        <is>
          <t>Negative</t>
        </is>
      </c>
      <c r="J8" s="34" t="inlineStr">
        <is>
          <t>P1</t>
        </is>
      </c>
      <c r="K8" s="30" t="inlineStr">
        <is>
          <t>Not Executed</t>
        </is>
      </c>
      <c r="L8" s="31" t="inlineStr"/>
      <c r="M8" s="31" t="inlineStr"/>
      <c r="N8" s="31" t="inlineStr"/>
      <c r="O8" s="31" t="inlineStr"/>
    </row>
    <row r="9">
      <c r="A9" s="27" t="inlineStr">
        <is>
          <t>UT-ING-007</t>
        </is>
      </c>
      <c r="B9" s="28" t="inlineStr">
        <is>
          <t>Ingestion Agent</t>
        </is>
      </c>
      <c r="C9" s="29" t="inlineStr">
        <is>
          <t>FR-ING-005</t>
        </is>
      </c>
      <c r="D9" s="28" t="inlineStr">
        <is>
          <t>Verify last-successful-poll timestamp is persisted durably so restart does not re-process.</t>
        </is>
      </c>
      <c r="E9" s="28" t="inlineStr">
        <is>
          <t>Successful poll completed.</t>
        </is>
      </c>
      <c r="F9" s="28" t="inlineStr">
        <is>
          <t>1. Record persisted timestamp.
2. Restart service.
3. Run poll.</t>
        </is>
      </c>
      <c r="G9" s="28" t="inlineStr">
        <is>
          <t>Service restart</t>
        </is>
      </c>
      <c r="H9" s="28" t="inlineStr">
        <is>
          <t>No previously-retrieved email is re-processed after restart.</t>
        </is>
      </c>
      <c r="I9" s="29" t="inlineStr">
        <is>
          <t>Positive</t>
        </is>
      </c>
      <c r="J9" s="29" t="inlineStr">
        <is>
          <t>P1</t>
        </is>
      </c>
      <c r="K9" s="30" t="inlineStr">
        <is>
          <t>Not Executed</t>
        </is>
      </c>
      <c r="L9" s="31" t="inlineStr"/>
      <c r="M9" s="31" t="inlineStr"/>
      <c r="N9" s="31" t="inlineStr"/>
      <c r="O9" s="31" t="inlineStr"/>
    </row>
    <row r="10">
      <c r="A10" s="32" t="inlineStr">
        <is>
          <t>UT-ING-008</t>
        </is>
      </c>
      <c r="B10" s="33" t="inlineStr">
        <is>
          <t>Ingestion Agent</t>
        </is>
      </c>
      <c r="C10" s="34" t="inlineStr">
        <is>
          <t>FR-ING-006</t>
        </is>
      </c>
      <c r="D10" s="33" t="inlineStr">
        <is>
          <t>Verify duplicate detection (same Message-ID) is NOT active in Phase 1.</t>
        </is>
      </c>
      <c r="E10" s="33" t="inlineStr">
        <is>
          <t>Two emails with identical Message-ID.</t>
        </is>
      </c>
      <c r="F10" s="33" t="inlineStr">
        <is>
          <t>1. Ingest both.
2. Observe handling.</t>
        </is>
      </c>
      <c r="G10" s="33" t="inlineStr">
        <is>
          <t>Duplicate Message-ID</t>
        </is>
      </c>
      <c r="H10" s="33" t="inlineStr">
        <is>
          <t>Both processed (no dedup); behaviour deferred to Phase 2. [PHASE-2+]</t>
        </is>
      </c>
      <c r="I10" s="34" t="inlineStr">
        <is>
          <t>Negative</t>
        </is>
      </c>
      <c r="J10" s="34" t="inlineStr">
        <is>
          <t>P3</t>
        </is>
      </c>
      <c r="K10" s="30" t="inlineStr">
        <is>
          <t>Not Executed</t>
        </is>
      </c>
      <c r="L10" s="31" t="inlineStr"/>
      <c r="M10" s="31" t="inlineStr"/>
      <c r="N10" s="31" t="inlineStr"/>
      <c r="O10" s="31" t="inlineStr"/>
    </row>
    <row r="11">
      <c r="A11" s="27" t="inlineStr">
        <is>
          <t>UT-RTE-001</t>
        </is>
      </c>
      <c r="B11" s="28" t="inlineStr">
        <is>
          <t>Routing Controller</t>
        </is>
      </c>
      <c r="C11" s="29" t="inlineStr">
        <is>
          <t>FR-RTE-001</t>
        </is>
      </c>
      <c r="D11" s="28" t="inlineStr">
        <is>
          <t>Verify routing percentage accepts any integer 0-100.</t>
        </is>
      </c>
      <c r="E11" s="28" t="inlineStr">
        <is>
          <t>Admin session.</t>
        </is>
      </c>
      <c r="F11" s="28" t="inlineStr">
        <is>
          <t>1. Set routing_pct to 0,50,100 in turn.</t>
        </is>
      </c>
      <c r="G11" s="28" t="inlineStr">
        <is>
          <t>0 / 50 / 100</t>
        </is>
      </c>
      <c r="H11" s="28" t="inlineStr">
        <is>
          <t>All values accepted and applied.</t>
        </is>
      </c>
      <c r="I11" s="29" t="inlineStr">
        <is>
          <t>Positive</t>
        </is>
      </c>
      <c r="J11" s="29" t="inlineStr">
        <is>
          <t>P1</t>
        </is>
      </c>
      <c r="K11" s="30" t="inlineStr">
        <is>
          <t>Not Executed</t>
        </is>
      </c>
      <c r="L11" s="31" t="inlineStr"/>
      <c r="M11" s="31" t="inlineStr"/>
      <c r="N11" s="31" t="inlineStr"/>
      <c r="O11" s="31" t="inlineStr"/>
    </row>
    <row r="12">
      <c r="A12" s="32" t="inlineStr">
        <is>
          <t>UT-RTE-002</t>
        </is>
      </c>
      <c r="B12" s="33" t="inlineStr">
        <is>
          <t>Routing Controller</t>
        </is>
      </c>
      <c r="C12" s="34" t="inlineStr">
        <is>
          <t>FR-RTE-001</t>
        </is>
      </c>
      <c r="D12" s="33" t="inlineStr">
        <is>
          <t>Verify routing percentage rejects out-of-range values.</t>
        </is>
      </c>
      <c r="E12" s="33" t="inlineStr">
        <is>
          <t>Admin session.</t>
        </is>
      </c>
      <c r="F12" s="33" t="inlineStr">
        <is>
          <t>1. Attempt routing_pct = -5 and 150.</t>
        </is>
      </c>
      <c r="G12" s="33" t="inlineStr">
        <is>
          <t>-5 / 150</t>
        </is>
      </c>
      <c r="H12" s="33" t="inlineStr">
        <is>
          <t>Validation error; value not saved.</t>
        </is>
      </c>
      <c r="I12" s="34" t="inlineStr">
        <is>
          <t>Negative</t>
        </is>
      </c>
      <c r="J12" s="34" t="inlineStr">
        <is>
          <t>P2</t>
        </is>
      </c>
      <c r="K12" s="30" t="inlineStr">
        <is>
          <t>Not Executed</t>
        </is>
      </c>
      <c r="L12" s="31" t="inlineStr"/>
      <c r="M12" s="31" t="inlineStr"/>
      <c r="N12" s="31" t="inlineStr"/>
      <c r="O12" s="31" t="inlineStr"/>
    </row>
    <row r="13">
      <c r="A13" s="27" t="inlineStr">
        <is>
          <t>UT-RTE-003</t>
        </is>
      </c>
      <c r="B13" s="28" t="inlineStr">
        <is>
          <t>Routing Controller</t>
        </is>
      </c>
      <c r="C13" s="29" t="inlineStr">
        <is>
          <t>FR-RTE-002</t>
        </is>
      </c>
      <c r="D13" s="28" t="inlineStr">
        <is>
          <t>Verify emails allocated to manual workflow are not tagged or modified.</t>
        </is>
      </c>
      <c r="E13" s="28" t="inlineStr">
        <is>
          <t>routing_pct &lt; 100.</t>
        </is>
      </c>
      <c r="F13" s="28" t="inlineStr">
        <is>
          <t>1. Ingest batch.
2. Inspect manual-flow emails.</t>
        </is>
      </c>
      <c r="G13" s="28" t="inlineStr">
        <is>
          <t>routing_pct=50</t>
        </is>
      </c>
      <c r="H13" s="28" t="inlineStr">
        <is>
          <t>Manual-flow emails carry no new tag and are unmodified.</t>
        </is>
      </c>
      <c r="I13" s="29" t="inlineStr">
        <is>
          <t>Positive</t>
        </is>
      </c>
      <c r="J13" s="29" t="inlineStr">
        <is>
          <t>P1</t>
        </is>
      </c>
      <c r="K13" s="30" t="inlineStr">
        <is>
          <t>Not Executed</t>
        </is>
      </c>
      <c r="L13" s="31" t="inlineStr"/>
      <c r="M13" s="31" t="inlineStr"/>
      <c r="N13" s="31" t="inlineStr"/>
      <c r="O13" s="31" t="inlineStr"/>
    </row>
    <row r="14">
      <c r="A14" s="32" t="inlineStr">
        <is>
          <t>UT-RTE-004</t>
        </is>
      </c>
      <c r="B14" s="33" t="inlineStr">
        <is>
          <t>Routing Controller</t>
        </is>
      </c>
      <c r="C14" s="34" t="inlineStr">
        <is>
          <t>FR-RTE-003</t>
        </is>
      </c>
      <c r="D14" s="33" t="inlineStr">
        <is>
          <t>Verify routing % change is logged with effective-from timestamp and admin identity.</t>
        </is>
      </c>
      <c r="E14" s="33" t="inlineStr">
        <is>
          <t>Admin session.</t>
        </is>
      </c>
      <c r="F14" s="33" t="inlineStr">
        <is>
          <t>1. Change routing_pct.
2. Inspect audit trail.</t>
        </is>
      </c>
      <c r="G14" s="33" t="inlineStr">
        <is>
          <t>30 -&gt; 60</t>
        </is>
      </c>
      <c r="H14" s="33" t="inlineStr">
        <is>
          <t>Audit row: old/new value, effective-from, admin id.</t>
        </is>
      </c>
      <c r="I14" s="34" t="inlineStr">
        <is>
          <t>Config</t>
        </is>
      </c>
      <c r="J14" s="34" t="inlineStr">
        <is>
          <t>P1</t>
        </is>
      </c>
      <c r="K14" s="30" t="inlineStr">
        <is>
          <t>Not Executed</t>
        </is>
      </c>
      <c r="L14" s="31" t="inlineStr"/>
      <c r="M14" s="31" t="inlineStr"/>
      <c r="N14" s="31" t="inlineStr"/>
      <c r="O14" s="31" t="inlineStr"/>
    </row>
    <row r="15">
      <c r="A15" s="27" t="inlineStr">
        <is>
          <t>UT-RTE-005</t>
        </is>
      </c>
      <c r="B15" s="28" t="inlineStr">
        <is>
          <t>Routing Controller</t>
        </is>
      </c>
      <c r="C15" s="29" t="inlineStr">
        <is>
          <t>FR-RTE-004</t>
        </is>
      </c>
      <c r="D15" s="28" t="inlineStr">
        <is>
          <t>Verify 0% setting is an instant full rollback (nothing to new solution).</t>
        </is>
      </c>
      <c r="E15" s="28" t="inlineStr">
        <is>
          <t>Some traffic flowing.</t>
        </is>
      </c>
      <c r="F15" s="28" t="inlineStr">
        <is>
          <t>1. Set routing_pct=0.
2. Ingest batch.</t>
        </is>
      </c>
      <c r="G15" s="28" t="inlineStr">
        <is>
          <t>routing_pct=0</t>
        </is>
      </c>
      <c r="H15" s="28" t="inlineStr">
        <is>
          <t>0 emails routed to new solution; all to manual.</t>
        </is>
      </c>
      <c r="I15" s="29" t="inlineStr">
        <is>
          <t>Boundary</t>
        </is>
      </c>
      <c r="J15" s="29" t="inlineStr">
        <is>
          <t>P1</t>
        </is>
      </c>
      <c r="K15" s="30" t="inlineStr">
        <is>
          <t>Not Executed</t>
        </is>
      </c>
      <c r="L15" s="31" t="inlineStr"/>
      <c r="M15" s="31" t="inlineStr"/>
      <c r="N15" s="31" t="inlineStr"/>
      <c r="O15" s="31" t="inlineStr"/>
    </row>
    <row r="16">
      <c r="A16" s="32" t="inlineStr">
        <is>
          <t>UT-RTE-006</t>
        </is>
      </c>
      <c r="B16" s="33" t="inlineStr">
        <is>
          <t>Routing Controller</t>
        </is>
      </c>
      <c r="C16" s="34" t="inlineStr">
        <is>
          <t>FR-RTE-004</t>
        </is>
      </c>
      <c r="D16" s="33" t="inlineStr">
        <is>
          <t>Verify 100% setting is an instant full cut-over.</t>
        </is>
      </c>
      <c r="E16" s="33" t="inlineStr">
        <is>
          <t>Some traffic to manual.</t>
        </is>
      </c>
      <c r="F16" s="33" t="inlineStr">
        <is>
          <t>1. Set routing_pct=100.
2. Ingest batch.</t>
        </is>
      </c>
      <c r="G16" s="33" t="inlineStr">
        <is>
          <t>routing_pct=100</t>
        </is>
      </c>
      <c r="H16" s="33" t="inlineStr">
        <is>
          <t>All in-scope emails routed to new solution.</t>
        </is>
      </c>
      <c r="I16" s="34" t="inlineStr">
        <is>
          <t>Boundary</t>
        </is>
      </c>
      <c r="J16" s="34" t="inlineStr">
        <is>
          <t>P1</t>
        </is>
      </c>
      <c r="K16" s="30" t="inlineStr">
        <is>
          <t>Not Executed</t>
        </is>
      </c>
      <c r="L16" s="31" t="inlineStr"/>
      <c r="M16" s="31" t="inlineStr"/>
      <c r="N16" s="31" t="inlineStr"/>
      <c r="O16" s="31" t="inlineStr"/>
    </row>
    <row r="17">
      <c r="A17" s="27" t="inlineStr">
        <is>
          <t>UT-RTE-007</t>
        </is>
      </c>
      <c r="B17" s="28" t="inlineStr">
        <is>
          <t>Routing Controller</t>
        </is>
      </c>
      <c r="C17" s="29" t="inlineStr">
        <is>
          <t>FR-RTE-001</t>
        </is>
      </c>
      <c r="D17" s="28" t="inlineStr">
        <is>
          <t>Verify proportional split at 50% over a statistically significant batch.</t>
        </is>
      </c>
      <c r="E17" s="28" t="inlineStr">
        <is>
          <t>routing_pct=50.</t>
        </is>
      </c>
      <c r="F17" s="28" t="inlineStr">
        <is>
          <t>1. Ingest 1000 in-scope mails.
2. Count routed.</t>
        </is>
      </c>
      <c r="G17" s="28" t="inlineStr">
        <is>
          <t>1000 mails</t>
        </is>
      </c>
      <c r="H17" s="28" t="inlineStr">
        <is>
          <t>~50% (within tolerance) routed to new solution.</t>
        </is>
      </c>
      <c r="I17" s="29" t="inlineStr">
        <is>
          <t>Positive</t>
        </is>
      </c>
      <c r="J17" s="29" t="inlineStr">
        <is>
          <t>P2</t>
        </is>
      </c>
      <c r="K17" s="30" t="inlineStr">
        <is>
          <t>Not Executed</t>
        </is>
      </c>
      <c r="L17" s="31" t="inlineStr"/>
      <c r="M17" s="31" t="inlineStr"/>
      <c r="N17" s="31" t="inlineStr"/>
      <c r="O17" s="31" t="inlineStr"/>
    </row>
    <row r="18">
      <c r="A18" s="32" t="inlineStr">
        <is>
          <t>UT-IDS-001</t>
        </is>
      </c>
      <c r="B18" s="33" t="inlineStr">
        <is>
          <t>Identification - Structural</t>
        </is>
      </c>
      <c r="C18" s="34" t="inlineStr">
        <is>
          <t>FR-ID-001</t>
        </is>
      </c>
      <c r="D18" s="33" t="inlineStr">
        <is>
          <t>Verify email from any @nomura.com sender is dropped and drop recorded in audit.</t>
        </is>
      </c>
      <c r="E18" s="33" t="inlineStr">
        <is>
          <t>Stage-1 filter active.</t>
        </is>
      </c>
      <c r="F18" s="33" t="inlineStr">
        <is>
          <t>1. Ingest mail from user@nomura.com.</t>
        </is>
      </c>
      <c r="G18" s="33" t="inlineStr">
        <is>
          <t>Sender @nomura.com</t>
        </is>
      </c>
      <c r="H18" s="33" t="inlineStr">
        <is>
          <t>Email dropped; drop event in audit trail.</t>
        </is>
      </c>
      <c r="I18" s="34" t="inlineStr">
        <is>
          <t>Positive</t>
        </is>
      </c>
      <c r="J18" s="34" t="inlineStr">
        <is>
          <t>P1</t>
        </is>
      </c>
      <c r="K18" s="30" t="inlineStr">
        <is>
          <t>Not Executed</t>
        </is>
      </c>
      <c r="L18" s="31" t="inlineStr"/>
      <c r="M18" s="31" t="inlineStr"/>
      <c r="N18" s="31" t="inlineStr"/>
      <c r="O18" s="31" t="inlineStr"/>
    </row>
    <row r="19">
      <c r="A19" s="27" t="inlineStr">
        <is>
          <t>UT-IDS-002</t>
        </is>
      </c>
      <c r="B19" s="28" t="inlineStr">
        <is>
          <t>Identification - Structural</t>
        </is>
      </c>
      <c r="C19" s="29" t="inlineStr">
        <is>
          <t>FR-ID-002</t>
        </is>
      </c>
      <c r="D19" s="28" t="inlineStr">
        <is>
          <t>Verify newly-initiated detection: no In-Reply-To/References AND subject not Re:/Fwd:.</t>
        </is>
      </c>
      <c r="E19" s="28" t="inlineStr">
        <is>
          <t>Stage-1 filter active.</t>
        </is>
      </c>
      <c r="F19" s="28" t="inlineStr">
        <is>
          <t>1. Ingest fresh external mail w/o reply headers.</t>
        </is>
      </c>
      <c r="G19" s="28" t="inlineStr">
        <is>
          <t>New thread</t>
        </is>
      </c>
      <c r="H19" s="28" t="inlineStr">
        <is>
          <t>Classified newly-initiated; advances.</t>
        </is>
      </c>
      <c r="I19" s="29" t="inlineStr">
        <is>
          <t>Positive</t>
        </is>
      </c>
      <c r="J19" s="29" t="inlineStr">
        <is>
          <t>P1</t>
        </is>
      </c>
      <c r="K19" s="30" t="inlineStr">
        <is>
          <t>Not Executed</t>
        </is>
      </c>
      <c r="L19" s="31" t="inlineStr"/>
      <c r="M19" s="31" t="inlineStr"/>
      <c r="N19" s="31" t="inlineStr"/>
      <c r="O19" s="31" t="inlineStr"/>
    </row>
    <row r="20">
      <c r="A20" s="32" t="inlineStr">
        <is>
          <t>UT-IDS-003</t>
        </is>
      </c>
      <c r="B20" s="33" t="inlineStr">
        <is>
          <t>Identification - Structural</t>
        </is>
      </c>
      <c r="C20" s="34" t="inlineStr">
        <is>
          <t>FR-ID-002</t>
        </is>
      </c>
      <c r="D20" s="33" t="inlineStr">
        <is>
          <t>Verify subject beginning 'Re:' (case-insensitive) is not newly-initiated.</t>
        </is>
      </c>
      <c r="E20" s="33" t="inlineStr">
        <is>
          <t>Stage-1 filter active.</t>
        </is>
      </c>
      <c r="F20" s="33" t="inlineStr">
        <is>
          <t>1. Ingest mail subject 'RE: trade'.</t>
        </is>
      </c>
      <c r="G20" s="33" t="inlineStr">
        <is>
          <t>Subject 'RE:'</t>
        </is>
      </c>
      <c r="H20" s="33" t="inlineStr">
        <is>
          <t>Not newly-initiated (case-insensitive match).</t>
        </is>
      </c>
      <c r="I20" s="34" t="inlineStr">
        <is>
          <t>Boundary</t>
        </is>
      </c>
      <c r="J20" s="34" t="inlineStr">
        <is>
          <t>P2</t>
        </is>
      </c>
      <c r="K20" s="30" t="inlineStr">
        <is>
          <t>Not Executed</t>
        </is>
      </c>
      <c r="L20" s="31" t="inlineStr"/>
      <c r="M20" s="31" t="inlineStr"/>
      <c r="N20" s="31" t="inlineStr"/>
      <c r="O20" s="31" t="inlineStr"/>
    </row>
    <row r="21">
      <c r="A21" s="27" t="inlineStr">
        <is>
          <t>UT-IDS-004</t>
        </is>
      </c>
      <c r="B21" s="28" t="inlineStr">
        <is>
          <t>Identification - Structural</t>
        </is>
      </c>
      <c r="C21" s="29" t="inlineStr">
        <is>
          <t>FR-ID-002</t>
        </is>
      </c>
      <c r="D21" s="28" t="inlineStr">
        <is>
          <t>Verify subject beginning 'Fwd:' is not newly-initiated.</t>
        </is>
      </c>
      <c r="E21" s="28" t="inlineStr">
        <is>
          <t>Stage-1 filter active.</t>
        </is>
      </c>
      <c r="F21" s="28" t="inlineStr">
        <is>
          <t>1. Ingest mail subject 'Fwd: trade'.</t>
        </is>
      </c>
      <c r="G21" s="28" t="inlineStr">
        <is>
          <t>Subject 'Fwd:'</t>
        </is>
      </c>
      <c r="H21" s="28" t="inlineStr">
        <is>
          <t>Not newly-initiated.</t>
        </is>
      </c>
      <c r="I21" s="29" t="inlineStr">
        <is>
          <t>Boundary</t>
        </is>
      </c>
      <c r="J21" s="29" t="inlineStr">
        <is>
          <t>P2</t>
        </is>
      </c>
      <c r="K21" s="30" t="inlineStr">
        <is>
          <t>Not Executed</t>
        </is>
      </c>
      <c r="L21" s="31" t="inlineStr"/>
      <c r="M21" s="31" t="inlineStr"/>
      <c r="N21" s="31" t="inlineStr"/>
      <c r="O21" s="31" t="inlineStr"/>
    </row>
    <row r="22">
      <c r="A22" s="32" t="inlineStr">
        <is>
          <t>UT-IDS-005</t>
        </is>
      </c>
      <c r="B22" s="33" t="inlineStr">
        <is>
          <t>Identification - Structural</t>
        </is>
      </c>
      <c r="C22" s="34" t="inlineStr">
        <is>
          <t>FR-ID-002</t>
        </is>
      </c>
      <c r="D22" s="33" t="inlineStr">
        <is>
          <t>Verify the newly-initiated rule is configurable.</t>
        </is>
      </c>
      <c r="E22" s="33" t="inlineStr">
        <is>
          <t>Admin session.</t>
        </is>
      </c>
      <c r="F22" s="33" t="inlineStr">
        <is>
          <t>1. Adjust rule config.
2. Re-run classification.</t>
        </is>
      </c>
      <c r="G22" s="33" t="inlineStr">
        <is>
          <t>Rule tweak</t>
        </is>
      </c>
      <c r="H22" s="33" t="inlineStr">
        <is>
          <t>Rule change applied without code deploy.</t>
        </is>
      </c>
      <c r="I22" s="34" t="inlineStr">
        <is>
          <t>Config</t>
        </is>
      </c>
      <c r="J22" s="34" t="inlineStr">
        <is>
          <t>P3</t>
        </is>
      </c>
      <c r="K22" s="30" t="inlineStr">
        <is>
          <t>Not Executed</t>
        </is>
      </c>
      <c r="L22" s="31" t="inlineStr"/>
      <c r="M22" s="31" t="inlineStr"/>
      <c r="N22" s="31" t="inlineStr"/>
      <c r="O22" s="31" t="inlineStr"/>
    </row>
    <row r="23">
      <c r="A23" s="27" t="inlineStr">
        <is>
          <t>UT-IDS-006</t>
        </is>
      </c>
      <c r="B23" s="28" t="inlineStr">
        <is>
          <t>Identification - Structural</t>
        </is>
      </c>
      <c r="C23" s="29" t="inlineStr">
        <is>
          <t>FR-ID-003</t>
        </is>
      </c>
      <c r="D23" s="28" t="inlineStr">
        <is>
          <t>Verify a reply on an existing thread is dropped (not tagged) and logged.</t>
        </is>
      </c>
      <c r="E23" s="28" t="inlineStr">
        <is>
          <t>Stage-1 filter active.</t>
        </is>
      </c>
      <c r="F23" s="28" t="inlineStr">
        <is>
          <t>1. Ingest mail with In-Reply-To header.</t>
        </is>
      </c>
      <c r="G23" s="28" t="inlineStr">
        <is>
          <t>Reply mail</t>
        </is>
      </c>
      <c r="H23" s="28" t="inlineStr">
        <is>
          <t>Dropped, not tagged; drop event logged.</t>
        </is>
      </c>
      <c r="I23" s="29" t="inlineStr">
        <is>
          <t>Positive</t>
        </is>
      </c>
      <c r="J23" s="29" t="inlineStr">
        <is>
          <t>P1</t>
        </is>
      </c>
      <c r="K23" s="30" t="inlineStr">
        <is>
          <t>Not Executed</t>
        </is>
      </c>
      <c r="L23" s="31" t="inlineStr"/>
      <c r="M23" s="31" t="inlineStr"/>
      <c r="N23" s="31" t="inlineStr"/>
      <c r="O23" s="31" t="inlineStr"/>
    </row>
    <row r="24">
      <c r="A24" s="32" t="inlineStr">
        <is>
          <t>UT-IDS-007</t>
        </is>
      </c>
      <c r="B24" s="33" t="inlineStr">
        <is>
          <t>Identification - Structural</t>
        </is>
      </c>
      <c r="C24" s="34" t="inlineStr">
        <is>
          <t>FR-ID-004</t>
        </is>
      </c>
      <c r="D24" s="33" t="inlineStr">
        <is>
          <t>Verify bounce-back (MAILER-DAEMON / NDR) is dropped with distinct reason.</t>
        </is>
      </c>
      <c r="E24" s="33" t="inlineStr">
        <is>
          <t>Stage-1 filter active.</t>
        </is>
      </c>
      <c r="F24" s="33" t="inlineStr">
        <is>
          <t>1. Ingest NDR from MAILER-DAEMON.</t>
        </is>
      </c>
      <c r="G24" s="33" t="inlineStr">
        <is>
          <t>MAILER-DAEMON</t>
        </is>
      </c>
      <c r="H24" s="33" t="inlineStr">
        <is>
          <t>Dropped; distinct drop reason 'bounce-back'. [FSD-ADD]</t>
        </is>
      </c>
      <c r="I24" s="34" t="inlineStr">
        <is>
          <t>Negative</t>
        </is>
      </c>
      <c r="J24" s="34" t="inlineStr">
        <is>
          <t>P2</t>
        </is>
      </c>
      <c r="K24" s="30" t="inlineStr">
        <is>
          <t>Not Executed</t>
        </is>
      </c>
      <c r="L24" s="31" t="inlineStr"/>
      <c r="M24" s="31" t="inlineStr"/>
      <c r="N24" s="31" t="inlineStr"/>
      <c r="O24" s="31" t="inlineStr"/>
    </row>
    <row r="25">
      <c r="A25" s="27" t="inlineStr">
        <is>
          <t>UT-IDS-008</t>
        </is>
      </c>
      <c r="B25" s="28" t="inlineStr">
        <is>
          <t>Identification - Structural</t>
        </is>
      </c>
      <c r="C25" s="29" t="inlineStr">
        <is>
          <t>FR-ID-004</t>
        </is>
      </c>
      <c r="D25" s="28" t="inlineStr">
        <is>
          <t>Verify X-Failed-Recipients header triggers bounce-back drop.</t>
        </is>
      </c>
      <c r="E25" s="28" t="inlineStr">
        <is>
          <t>Stage-1 filter active.</t>
        </is>
      </c>
      <c r="F25" s="28" t="inlineStr">
        <is>
          <t>1. Ingest mail with X-Failed-Recipients.</t>
        </is>
      </c>
      <c r="G25" s="28" t="inlineStr">
        <is>
          <t>X-Failed-Recipients</t>
        </is>
      </c>
      <c r="H25" s="28" t="inlineStr">
        <is>
          <t>Dropped with bounce-back reason.</t>
        </is>
      </c>
      <c r="I25" s="29" t="inlineStr">
        <is>
          <t>Negative</t>
        </is>
      </c>
      <c r="J25" s="29" t="inlineStr">
        <is>
          <t>P2</t>
        </is>
      </c>
      <c r="K25" s="30" t="inlineStr">
        <is>
          <t>Not Executed</t>
        </is>
      </c>
      <c r="L25" s="31" t="inlineStr"/>
      <c r="M25" s="31" t="inlineStr"/>
      <c r="N25" s="31" t="inlineStr"/>
      <c r="O25" s="31" t="inlineStr"/>
    </row>
    <row r="26">
      <c r="A26" s="32" t="inlineStr">
        <is>
          <t>UT-IDS-009</t>
        </is>
      </c>
      <c r="B26" s="33" t="inlineStr">
        <is>
          <t>Identification - Structural</t>
        </is>
      </c>
      <c r="C26" s="34" t="inlineStr">
        <is>
          <t>FR-ID-005</t>
        </is>
      </c>
      <c r="D26" s="33" t="inlineStr">
        <is>
          <t>Verify OOO auto-reply (X-Auto-Response-Suppress) dropped with distinct reason.</t>
        </is>
      </c>
      <c r="E26" s="33" t="inlineStr">
        <is>
          <t>Stage-1 filter active.</t>
        </is>
      </c>
      <c r="F26" s="33" t="inlineStr">
        <is>
          <t>1. Ingest mail with X-Auto-Response-Suppress.</t>
        </is>
      </c>
      <c r="G26" s="33" t="inlineStr">
        <is>
          <t>OOO header</t>
        </is>
      </c>
      <c r="H26" s="33" t="inlineStr">
        <is>
          <t>Dropped; distinct reason 'auto-reply'. [FSD-ADD]</t>
        </is>
      </c>
      <c r="I26" s="34" t="inlineStr">
        <is>
          <t>Negative</t>
        </is>
      </c>
      <c r="J26" s="34" t="inlineStr">
        <is>
          <t>P2</t>
        </is>
      </c>
      <c r="K26" s="30" t="inlineStr">
        <is>
          <t>Not Executed</t>
        </is>
      </c>
      <c r="L26" s="31" t="inlineStr"/>
      <c r="M26" s="31" t="inlineStr"/>
      <c r="N26" s="31" t="inlineStr"/>
      <c r="O26" s="31" t="inlineStr"/>
    </row>
    <row r="27">
      <c r="A27" s="27" t="inlineStr">
        <is>
          <t>UT-IDS-010</t>
        </is>
      </c>
      <c r="B27" s="28" t="inlineStr">
        <is>
          <t>Identification - Structural</t>
        </is>
      </c>
      <c r="C27" s="29" t="inlineStr">
        <is>
          <t>FR-ID-005</t>
        </is>
      </c>
      <c r="D27" s="28" t="inlineStr">
        <is>
          <t>Verify 'Out of Office' subject dropped with distinct reason.</t>
        </is>
      </c>
      <c r="E27" s="28" t="inlineStr">
        <is>
          <t>Stage-1 filter active.</t>
        </is>
      </c>
      <c r="F27" s="28" t="inlineStr">
        <is>
          <t>1. Ingest mail subject 'Out of Office'.</t>
        </is>
      </c>
      <c r="G27" s="28" t="inlineStr">
        <is>
          <t>Subject OOO</t>
        </is>
      </c>
      <c r="H27" s="28" t="inlineStr">
        <is>
          <t>Dropped with auto-reply reason.</t>
        </is>
      </c>
      <c r="I27" s="29" t="inlineStr">
        <is>
          <t>Negative</t>
        </is>
      </c>
      <c r="J27" s="29" t="inlineStr">
        <is>
          <t>P2</t>
        </is>
      </c>
      <c r="K27" s="30" t="inlineStr">
        <is>
          <t>Not Executed</t>
        </is>
      </c>
      <c r="L27" s="31" t="inlineStr"/>
      <c r="M27" s="31" t="inlineStr"/>
      <c r="N27" s="31" t="inlineStr"/>
      <c r="O27" s="31" t="inlineStr"/>
    </row>
    <row r="28">
      <c r="A28" s="32" t="inlineStr">
        <is>
          <t>UT-IDC-001</t>
        </is>
      </c>
      <c r="B28" s="33" t="inlineStr">
        <is>
          <t>Identification - Classifier</t>
        </is>
      </c>
      <c r="C28" s="34" t="inlineStr">
        <is>
          <t>FR-ID-010</t>
        </is>
      </c>
      <c r="D28" s="33" t="inlineStr">
        <is>
          <t>Verify Stage-2 evaluates two labels: SSI_VERIFICATION and CONFIRMATION_REAFFIRMATION.</t>
        </is>
      </c>
      <c r="E28" s="33" t="inlineStr">
        <is>
          <t>Email passed Stage 1.</t>
        </is>
      </c>
      <c r="F28" s="33" t="inlineStr">
        <is>
          <t>1. Submit email to classifier.</t>
        </is>
      </c>
      <c r="G28" s="33" t="inlineStr">
        <is>
          <t>Passing email</t>
        </is>
      </c>
      <c r="H28" s="33" t="inlineStr">
        <is>
          <t>Classifier returns evaluation for both labels.</t>
        </is>
      </c>
      <c r="I28" s="34" t="inlineStr">
        <is>
          <t>Positive</t>
        </is>
      </c>
      <c r="J28" s="34" t="inlineStr">
        <is>
          <t>P1</t>
        </is>
      </c>
      <c r="K28" s="30" t="inlineStr">
        <is>
          <t>Not Executed</t>
        </is>
      </c>
      <c r="L28" s="31" t="inlineStr"/>
      <c r="M28" s="31" t="inlineStr"/>
      <c r="N28" s="31" t="inlineStr"/>
      <c r="O28" s="31" t="inlineStr"/>
    </row>
    <row r="29">
      <c r="A29" s="27" t="inlineStr">
        <is>
          <t>UT-IDC-002</t>
        </is>
      </c>
      <c r="B29" s="28" t="inlineStr">
        <is>
          <t>Identification - Classifier</t>
        </is>
      </c>
      <c r="C29" s="29" t="inlineStr">
        <is>
          <t>FR-ID-011</t>
        </is>
      </c>
      <c r="D29" s="28" t="inlineStr">
        <is>
          <t>Verify classifier returns a label and a confidence score in [0,1].</t>
        </is>
      </c>
      <c r="E29" s="28" t="inlineStr">
        <is>
          <t>Email passed Stage 1.</t>
        </is>
      </c>
      <c r="F29" s="28" t="inlineStr">
        <is>
          <t>1. Classify email.
2. Inspect output.</t>
        </is>
      </c>
      <c r="G29" s="28" t="inlineStr">
        <is>
          <t>Sample email</t>
        </is>
      </c>
      <c r="H29" s="28" t="inlineStr">
        <is>
          <t>Output has label + numeric confidence 0-1.</t>
        </is>
      </c>
      <c r="I29" s="29" t="inlineStr">
        <is>
          <t>Positive</t>
        </is>
      </c>
      <c r="J29" s="29" t="inlineStr">
        <is>
          <t>P1</t>
        </is>
      </c>
      <c r="K29" s="30" t="inlineStr">
        <is>
          <t>Not Executed</t>
        </is>
      </c>
      <c r="L29" s="31" t="inlineStr"/>
      <c r="M29" s="31" t="inlineStr"/>
      <c r="N29" s="31" t="inlineStr"/>
      <c r="O29" s="31" t="inlineStr"/>
    </row>
    <row r="30">
      <c r="A30" s="32" t="inlineStr">
        <is>
          <t>UT-IDC-003</t>
        </is>
      </c>
      <c r="B30" s="33" t="inlineStr">
        <is>
          <t>Identification - Classifier</t>
        </is>
      </c>
      <c r="C30" s="34" t="inlineStr">
        <is>
          <t>FR-ID-012</t>
        </is>
      </c>
      <c r="D30" s="33" t="inlineStr">
        <is>
          <t>Verify SSI confidence &gt;= threshold tags SSI_VERIFICATION and does NOT advance to extraction.</t>
        </is>
      </c>
      <c r="E30" s="33" t="inlineStr">
        <is>
          <t>id_ssi_threshold set.</t>
        </is>
      </c>
      <c r="F30" s="33" t="inlineStr">
        <is>
          <t>1. Classify SSI email above threshold.</t>
        </is>
      </c>
      <c r="G30" s="33" t="inlineStr">
        <is>
          <t>conf &gt; threshold</t>
        </is>
      </c>
      <c r="H30" s="33" t="inlineStr">
        <is>
          <t>Tagged SSI_VERIFICATION; not advanced.</t>
        </is>
      </c>
      <c r="I30" s="34" t="inlineStr">
        <is>
          <t>Positive</t>
        </is>
      </c>
      <c r="J30" s="34" t="inlineStr">
        <is>
          <t>P1</t>
        </is>
      </c>
      <c r="K30" s="30" t="inlineStr">
        <is>
          <t>Not Executed</t>
        </is>
      </c>
      <c r="L30" s="31" t="inlineStr"/>
      <c r="M30" s="31" t="inlineStr"/>
      <c r="N30" s="31" t="inlineStr"/>
      <c r="O30" s="31" t="inlineStr"/>
    </row>
    <row r="31">
      <c r="A31" s="27" t="inlineStr">
        <is>
          <t>UT-IDC-004</t>
        </is>
      </c>
      <c r="B31" s="28" t="inlineStr">
        <is>
          <t>Identification - Classifier</t>
        </is>
      </c>
      <c r="C31" s="29" t="inlineStr">
        <is>
          <t>FR-ID-013</t>
        </is>
      </c>
      <c r="D31" s="28" t="inlineStr">
        <is>
          <t>Verify Reaffirmation confidence &gt;= threshold tags label and does NOT advance.</t>
        </is>
      </c>
      <c r="E31" s="28" t="inlineStr">
        <is>
          <t>id_reaffirm_threshold set.</t>
        </is>
      </c>
      <c r="F31" s="28" t="inlineStr">
        <is>
          <t>1. Classify reaffirmation email above threshold.</t>
        </is>
      </c>
      <c r="G31" s="28" t="inlineStr">
        <is>
          <t>conf &gt; threshold</t>
        </is>
      </c>
      <c r="H31" s="28" t="inlineStr">
        <is>
          <t>Tagged CONFIRMATION_REAFFIRMATION; not advanced.</t>
        </is>
      </c>
      <c r="I31" s="29" t="inlineStr">
        <is>
          <t>Positive</t>
        </is>
      </c>
      <c r="J31" s="29" t="inlineStr">
        <is>
          <t>P1</t>
        </is>
      </c>
      <c r="K31" s="30" t="inlineStr">
        <is>
          <t>Not Executed</t>
        </is>
      </c>
      <c r="L31" s="31" t="inlineStr"/>
      <c r="M31" s="31" t="inlineStr"/>
      <c r="N31" s="31" t="inlineStr"/>
      <c r="O31" s="31" t="inlineStr"/>
    </row>
    <row r="32">
      <c r="A32" s="32" t="inlineStr">
        <is>
          <t>UT-IDC-005</t>
        </is>
      </c>
      <c r="B32" s="33" t="inlineStr">
        <is>
          <t>Identification - Classifier</t>
        </is>
      </c>
      <c r="C32" s="34" t="inlineStr">
        <is>
          <t>FR-ID-014</t>
        </is>
      </c>
      <c r="D32" s="33" t="inlineStr">
        <is>
          <t>Verify both label confidences below threshold -&gt; proceed to extraction + audit.</t>
        </is>
      </c>
      <c r="E32" s="33" t="inlineStr">
        <is>
          <t>Thresholds set.</t>
        </is>
      </c>
      <c r="F32" s="33" t="inlineStr">
        <is>
          <t>1. Classify ambiguous email below both.</t>
        </is>
      </c>
      <c r="G32" s="33" t="inlineStr">
        <is>
          <t>both &lt; threshold</t>
        </is>
      </c>
      <c r="H32" s="33" t="inlineStr">
        <is>
          <t>Advances to extraction; below-threshold outcome audited.</t>
        </is>
      </c>
      <c r="I32" s="34" t="inlineStr">
        <is>
          <t>Positive</t>
        </is>
      </c>
      <c r="J32" s="34" t="inlineStr">
        <is>
          <t>P1</t>
        </is>
      </c>
      <c r="K32" s="30" t="inlineStr">
        <is>
          <t>Not Executed</t>
        </is>
      </c>
      <c r="L32" s="31" t="inlineStr"/>
      <c r="M32" s="31" t="inlineStr"/>
      <c r="N32" s="31" t="inlineStr"/>
      <c r="O32" s="31" t="inlineStr"/>
    </row>
    <row r="33">
      <c r="A33" s="27" t="inlineStr">
        <is>
          <t>UT-IDC-006</t>
        </is>
      </c>
      <c r="B33" s="28" t="inlineStr">
        <is>
          <t>Identification - Classifier</t>
        </is>
      </c>
      <c r="C33" s="29" t="inlineStr">
        <is>
          <t>FR-ID-012</t>
        </is>
      </c>
      <c r="D33" s="28" t="inlineStr">
        <is>
          <t>Verify boundary: confidence exactly equal to threshold triggers the tag (meets-or-exceeds).</t>
        </is>
      </c>
      <c r="E33" s="28" t="inlineStr">
        <is>
          <t>Threshold=0.80.</t>
        </is>
      </c>
      <c r="F33" s="28" t="inlineStr">
        <is>
          <t>1. Classify email with conf=0.80.</t>
        </is>
      </c>
      <c r="G33" s="28" t="inlineStr">
        <is>
          <t>conf = 0.80</t>
        </is>
      </c>
      <c r="H33" s="28" t="inlineStr">
        <is>
          <t>Label applied (&gt;= is inclusive).</t>
        </is>
      </c>
      <c r="I33" s="29" t="inlineStr">
        <is>
          <t>Boundary</t>
        </is>
      </c>
      <c r="J33" s="29" t="inlineStr">
        <is>
          <t>P2</t>
        </is>
      </c>
      <c r="K33" s="30" t="inlineStr">
        <is>
          <t>Not Executed</t>
        </is>
      </c>
      <c r="L33" s="31" t="inlineStr"/>
      <c r="M33" s="31" t="inlineStr"/>
      <c r="N33" s="31" t="inlineStr"/>
      <c r="O33" s="31" t="inlineStr"/>
    </row>
    <row r="34">
      <c r="A34" s="32" t="inlineStr">
        <is>
          <t>UT-IDC-007</t>
        </is>
      </c>
      <c r="B34" s="33" t="inlineStr">
        <is>
          <t>Identification - Classifier</t>
        </is>
      </c>
      <c r="C34" s="34" t="inlineStr">
        <is>
          <t>FR-ID-015</t>
        </is>
      </c>
      <c r="D34" s="33" t="inlineStr">
        <is>
          <t>Verify the Allege label is NOT applied at identification.</t>
        </is>
      </c>
      <c r="E34" s="33" t="inlineStr">
        <is>
          <t>Any classification.</t>
        </is>
      </c>
      <c r="F34" s="33" t="inlineStr">
        <is>
          <t>1. Inspect labels available at C2.</t>
        </is>
      </c>
      <c r="G34" s="33" t="inlineStr">
        <is>
          <t>Any email</t>
        </is>
      </c>
      <c r="H34" s="33" t="inlineStr">
        <is>
          <t>No Allege label produced at identification.</t>
        </is>
      </c>
      <c r="I34" s="34" t="inlineStr">
        <is>
          <t>Negative</t>
        </is>
      </c>
      <c r="J34" s="34" t="inlineStr">
        <is>
          <t>P2</t>
        </is>
      </c>
      <c r="K34" s="30" t="inlineStr">
        <is>
          <t>Not Executed</t>
        </is>
      </c>
      <c r="L34" s="31" t="inlineStr"/>
      <c r="M34" s="31" t="inlineStr"/>
      <c r="N34" s="31" t="inlineStr"/>
      <c r="O34" s="31" t="inlineStr"/>
    </row>
    <row r="35">
      <c r="A35" s="27" t="inlineStr">
        <is>
          <t>UT-IDC-008</t>
        </is>
      </c>
      <c r="B35" s="28" t="inlineStr">
        <is>
          <t>Identification - Classifier</t>
        </is>
      </c>
      <c r="C35" s="29" t="inlineStr">
        <is>
          <t>FR-ID-016</t>
        </is>
      </c>
      <c r="D35" s="28" t="inlineStr">
        <is>
          <t>Verify audit captures model version, prompt ref, input hash, label, confidence per classification.</t>
        </is>
      </c>
      <c r="E35" s="28" t="inlineStr">
        <is>
          <t>Audit store reachable.</t>
        </is>
      </c>
      <c r="F35" s="28" t="inlineStr">
        <is>
          <t>1. Classify.
2. Inspect audit event.</t>
        </is>
      </c>
      <c r="G35" s="28" t="inlineStr">
        <is>
          <t>Sample email</t>
        </is>
      </c>
      <c r="H35" s="28" t="inlineStr">
        <is>
          <t>All five attributes captured.</t>
        </is>
      </c>
      <c r="I35" s="29" t="inlineStr">
        <is>
          <t>Positive</t>
        </is>
      </c>
      <c r="J35" s="29" t="inlineStr">
        <is>
          <t>P1</t>
        </is>
      </c>
      <c r="K35" s="30" t="inlineStr">
        <is>
          <t>Not Executed</t>
        </is>
      </c>
      <c r="L35" s="31" t="inlineStr"/>
      <c r="M35" s="31" t="inlineStr"/>
      <c r="N35" s="31" t="inlineStr"/>
      <c r="O35" s="31" t="inlineStr"/>
    </row>
    <row r="36">
      <c r="A36" s="32" t="inlineStr">
        <is>
          <t>UT-IDC-009</t>
        </is>
      </c>
      <c r="B36" s="33" t="inlineStr">
        <is>
          <t>Identification - Classifier</t>
        </is>
      </c>
      <c r="C36" s="34" t="inlineStr">
        <is>
          <t>FR-ID-017</t>
        </is>
      </c>
      <c r="D36" s="33" t="inlineStr">
        <is>
          <t>Verify classifier thresholds per label are configurable via Admin without code deploy.</t>
        </is>
      </c>
      <c r="E36" s="33" t="inlineStr">
        <is>
          <t>Admin session.</t>
        </is>
      </c>
      <c r="F36" s="33" t="inlineStr">
        <is>
          <t>1. Change id_ssi_threshold.
2. Re-classify.</t>
        </is>
      </c>
      <c r="G36" s="33" t="inlineStr">
        <is>
          <t>0.8 -&gt; 0.9</t>
        </is>
      </c>
      <c r="H36" s="33" t="inlineStr">
        <is>
          <t>New threshold effective next cycle; no redeploy.</t>
        </is>
      </c>
      <c r="I36" s="34" t="inlineStr">
        <is>
          <t>Config</t>
        </is>
      </c>
      <c r="J36" s="34" t="inlineStr">
        <is>
          <t>P2</t>
        </is>
      </c>
      <c r="K36" s="30" t="inlineStr">
        <is>
          <t>Not Executed</t>
        </is>
      </c>
      <c r="L36" s="31" t="inlineStr"/>
      <c r="M36" s="31" t="inlineStr"/>
      <c r="N36" s="31" t="inlineStr"/>
      <c r="O36" s="31" t="inlineStr"/>
    </row>
    <row r="37">
      <c r="A37" s="27" t="inlineStr">
        <is>
          <t>UT-TAG-001</t>
        </is>
      </c>
      <c r="B37" s="28" t="inlineStr">
        <is>
          <t>Outlook Tagging</t>
        </is>
      </c>
      <c r="C37" s="29" t="inlineStr">
        <is>
          <t>FR-TAG-001</t>
        </is>
      </c>
      <c r="D37" s="28" t="inlineStr">
        <is>
          <t>Verify only picked emails receive a tag; dropped/unrouted are not tagged.</t>
        </is>
      </c>
      <c r="E37" s="28" t="inlineStr">
        <is>
          <t>Mixed batch.</t>
        </is>
      </c>
      <c r="F37" s="28" t="inlineStr">
        <is>
          <t>1. Ingest picked + dropped mails.
2. Inspect tags.</t>
        </is>
      </c>
      <c r="G37" s="28" t="inlineStr">
        <is>
          <t>Mixed batch</t>
        </is>
      </c>
      <c r="H37" s="28" t="inlineStr">
        <is>
          <t>Only picked emails tagged.</t>
        </is>
      </c>
      <c r="I37" s="29" t="inlineStr">
        <is>
          <t>Positive</t>
        </is>
      </c>
      <c r="J37" s="29" t="inlineStr">
        <is>
          <t>P1</t>
        </is>
      </c>
      <c r="K37" s="30" t="inlineStr">
        <is>
          <t>Not Executed</t>
        </is>
      </c>
      <c r="L37" s="31" t="inlineStr"/>
      <c r="M37" s="31" t="inlineStr"/>
      <c r="N37" s="31" t="inlineStr"/>
      <c r="O37" s="31" t="inlineStr"/>
    </row>
    <row r="38">
      <c r="A38" s="32" t="inlineStr">
        <is>
          <t>UT-TAG-002</t>
        </is>
      </c>
      <c r="B38" s="33" t="inlineStr">
        <is>
          <t>Outlook Tagging</t>
        </is>
      </c>
      <c r="C38" s="34" t="inlineStr">
        <is>
          <t>FR-TAG-002</t>
        </is>
      </c>
      <c r="D38" s="33" t="inlineStr">
        <is>
          <t>Verify tags applied via dedicated service account with category-write permission.</t>
        </is>
      </c>
      <c r="E38" s="33" t="inlineStr">
        <is>
          <t>Service account configured.</t>
        </is>
      </c>
      <c r="F38" s="33" t="inlineStr">
        <is>
          <t>1. Trigger tag write.
2. Inspect actor.</t>
        </is>
      </c>
      <c r="G38" s="33" t="inlineStr">
        <is>
          <t>Service acct</t>
        </is>
      </c>
      <c r="H38" s="33" t="inlineStr">
        <is>
          <t>Tag written by service account identity.</t>
        </is>
      </c>
      <c r="I38" s="34" t="inlineStr">
        <is>
          <t>Security</t>
        </is>
      </c>
      <c r="J38" s="34" t="inlineStr">
        <is>
          <t>P2</t>
        </is>
      </c>
      <c r="K38" s="30" t="inlineStr">
        <is>
          <t>Not Executed</t>
        </is>
      </c>
      <c r="L38" s="31" t="inlineStr"/>
      <c r="M38" s="31" t="inlineStr"/>
      <c r="N38" s="31" t="inlineStr"/>
      <c r="O38" s="31" t="inlineStr"/>
    </row>
    <row r="39">
      <c r="A39" s="27" t="inlineStr">
        <is>
          <t>UT-TAG-003</t>
        </is>
      </c>
      <c r="B39" s="28" t="inlineStr">
        <is>
          <t>Outlook Tagging</t>
        </is>
      </c>
      <c r="C39" s="29" t="inlineStr">
        <is>
          <t>FR-TAG-003</t>
        </is>
      </c>
      <c r="D39" s="28" t="inlineStr">
        <is>
          <t>Verify tag composed as &lt;analyst-id&gt;, &lt;state-label&gt;.</t>
        </is>
      </c>
      <c r="E39" s="28" t="inlineStr">
        <is>
          <t>Email picked.</t>
        </is>
      </c>
      <c r="F39" s="28" t="inlineStr">
        <is>
          <t>1. Inspect applied tag string.</t>
        </is>
      </c>
      <c r="G39" s="28" t="inlineStr">
        <is>
          <t>Picked email</t>
        </is>
      </c>
      <c r="H39" s="28" t="inlineStr">
        <is>
          <t>Tag format '&lt;analyst-id&gt;, &lt;state-label&gt;'.</t>
        </is>
      </c>
      <c r="I39" s="29" t="inlineStr">
        <is>
          <t>Positive</t>
        </is>
      </c>
      <c r="J39" s="29" t="inlineStr">
        <is>
          <t>P2</t>
        </is>
      </c>
      <c r="K39" s="30" t="inlineStr">
        <is>
          <t>Not Executed</t>
        </is>
      </c>
      <c r="L39" s="31" t="inlineStr"/>
      <c r="M39" s="31" t="inlineStr"/>
      <c r="N39" s="31" t="inlineStr"/>
      <c r="O39" s="31" t="inlineStr"/>
    </row>
    <row r="40">
      <c r="A40" s="32" t="inlineStr">
        <is>
          <t>UT-TAG-004</t>
        </is>
      </c>
      <c r="B40" s="33" t="inlineStr">
        <is>
          <t>Outlook Tagging</t>
        </is>
      </c>
      <c r="C40" s="34" t="inlineStr">
        <is>
          <t>FR-TAG-004</t>
        </is>
      </c>
      <c r="D40" s="33" t="inlineStr">
        <is>
          <t>Verify analyst assignment at first pickup via alphabet-wise counterparty-to-analyst map.</t>
        </is>
      </c>
      <c r="E40" s="33" t="inlineStr">
        <is>
          <t>analyst_client_map configured.</t>
        </is>
      </c>
      <c r="F40" s="33" t="inlineStr">
        <is>
          <t>1. Ingest CP 'Barclays'.
2. Inspect assigned analyst.</t>
        </is>
      </c>
      <c r="G40" s="33" t="inlineStr">
        <is>
          <t>CP=Barclays</t>
        </is>
      </c>
      <c r="H40" s="33" t="inlineStr">
        <is>
          <t>Analyst per alphabet mapping assigned.</t>
        </is>
      </c>
      <c r="I40" s="34" t="inlineStr">
        <is>
          <t>Positive</t>
        </is>
      </c>
      <c r="J40" s="34" t="inlineStr">
        <is>
          <t>P1</t>
        </is>
      </c>
      <c r="K40" s="30" t="inlineStr">
        <is>
          <t>Not Executed</t>
        </is>
      </c>
      <c r="L40" s="31" t="inlineStr"/>
      <c r="M40" s="31" t="inlineStr"/>
      <c r="N40" s="31" t="inlineStr"/>
      <c r="O40" s="31" t="inlineStr"/>
    </row>
    <row r="41">
      <c r="A41" s="27" t="inlineStr">
        <is>
          <t>UT-TAG-005</t>
        </is>
      </c>
      <c r="B41" s="28" t="inlineStr">
        <is>
          <t>Outlook Tagging</t>
        </is>
      </c>
      <c r="C41" s="29" t="inlineStr">
        <is>
          <t>FR-TAG-005</t>
        </is>
      </c>
      <c r="D41" s="28" t="inlineStr">
        <is>
          <t>Verify analyst-id component does not change as email moves through states.</t>
        </is>
      </c>
      <c r="E41" s="28" t="inlineStr">
        <is>
          <t>Assigned email.</t>
        </is>
      </c>
      <c r="F41" s="28" t="inlineStr">
        <is>
          <t>1. Progress through states.
2. Inspect analyst-id each state.</t>
        </is>
      </c>
      <c r="G41" s="28" t="inlineStr">
        <is>
          <t>State changes</t>
        </is>
      </c>
      <c r="H41" s="28" t="inlineStr">
        <is>
          <t>analyst-id stays constant across transitions.</t>
        </is>
      </c>
      <c r="I41" s="29" t="inlineStr">
        <is>
          <t>Positive</t>
        </is>
      </c>
      <c r="J41" s="29" t="inlineStr">
        <is>
          <t>P2</t>
        </is>
      </c>
      <c r="K41" s="30" t="inlineStr">
        <is>
          <t>Not Executed</t>
        </is>
      </c>
      <c r="L41" s="31" t="inlineStr"/>
      <c r="M41" s="31" t="inlineStr"/>
      <c r="N41" s="31" t="inlineStr"/>
      <c r="O41" s="31" t="inlineStr"/>
    </row>
    <row r="42">
      <c r="A42" s="32" t="inlineStr">
        <is>
          <t>UT-TAG-006</t>
        </is>
      </c>
      <c r="B42" s="33" t="inlineStr">
        <is>
          <t>Outlook Tagging</t>
        </is>
      </c>
      <c r="C42" s="34" t="inlineStr">
        <is>
          <t>FR-TAG-010</t>
        </is>
      </c>
      <c r="D42" s="33" t="inlineStr">
        <is>
          <t>Verify transition AWAITING_CONFIRMATION -&gt; AWAITING_REVIEW on confirmation submit.</t>
        </is>
      </c>
      <c r="E42" s="33" t="inlineStr">
        <is>
          <t>Extraction complete.</t>
        </is>
      </c>
      <c r="F42" s="33" t="inlineStr">
        <is>
          <t>1. Submit analyst confirmation.
2. Inspect tag.</t>
        </is>
      </c>
      <c r="G42" s="33" t="inlineStr">
        <is>
          <t>Confirm submit</t>
        </is>
      </c>
      <c r="H42" s="33" t="inlineStr">
        <is>
          <t>State label updates to AWAITING_REVIEW.</t>
        </is>
      </c>
      <c r="I42" s="34" t="inlineStr">
        <is>
          <t>Positive</t>
        </is>
      </c>
      <c r="J42" s="34" t="inlineStr">
        <is>
          <t>P1</t>
        </is>
      </c>
      <c r="K42" s="30" t="inlineStr">
        <is>
          <t>Not Executed</t>
        </is>
      </c>
      <c r="L42" s="31" t="inlineStr"/>
      <c r="M42" s="31" t="inlineStr"/>
      <c r="N42" s="31" t="inlineStr"/>
      <c r="O42" s="31" t="inlineStr"/>
    </row>
    <row r="43">
      <c r="A43" s="27" t="inlineStr">
        <is>
          <t>UT-TAG-007</t>
        </is>
      </c>
      <c r="B43" s="28" t="inlineStr">
        <is>
          <t>Outlook Tagging</t>
        </is>
      </c>
      <c r="C43" s="29" t="inlineStr">
        <is>
          <t>FR-TAG-011</t>
        </is>
      </c>
      <c r="D43" s="28" t="inlineStr">
        <is>
          <t>Verify transition to RESOLVED_MATCHED on confirmed match + write-back trigger.</t>
        </is>
      </c>
      <c r="E43" s="28" t="inlineStr">
        <is>
          <t>Match confirmed.</t>
        </is>
      </c>
      <c r="F43" s="28" t="inlineStr">
        <is>
          <t>1. Confirm match.
2. Inspect tag.</t>
        </is>
      </c>
      <c r="G43" s="28" t="inlineStr">
        <is>
          <t>Confirm match</t>
        </is>
      </c>
      <c r="H43" s="28" t="inlineStr">
        <is>
          <t>State label RESOLVED_MATCHED.</t>
        </is>
      </c>
      <c r="I43" s="29" t="inlineStr">
        <is>
          <t>Positive</t>
        </is>
      </c>
      <c r="J43" s="29" t="inlineStr">
        <is>
          <t>P1</t>
        </is>
      </c>
      <c r="K43" s="30" t="inlineStr">
        <is>
          <t>Not Executed</t>
        </is>
      </c>
      <c r="L43" s="31" t="inlineStr"/>
      <c r="M43" s="31" t="inlineStr"/>
      <c r="N43" s="31" t="inlineStr"/>
      <c r="O43" s="31" t="inlineStr"/>
    </row>
    <row r="44">
      <c r="A44" s="32" t="inlineStr">
        <is>
          <t>UT-TAG-008</t>
        </is>
      </c>
      <c r="B44" s="33" t="inlineStr">
        <is>
          <t>Outlook Tagging</t>
        </is>
      </c>
      <c r="C44" s="34" t="inlineStr">
        <is>
          <t>FR-TAG-012</t>
        </is>
      </c>
      <c r="D44" s="33" t="inlineStr">
        <is>
          <t>Verify transition to RESOLVED_UNMATCHED when analyst rejects all candidates.</t>
        </is>
      </c>
      <c r="E44" s="33" t="inlineStr">
        <is>
          <t>Candidates surfaced.</t>
        </is>
      </c>
      <c r="F44" s="33" t="inlineStr">
        <is>
          <t>1. Reject all candidates.
2. Inspect tag.</t>
        </is>
      </c>
      <c r="G44" s="33" t="inlineStr">
        <is>
          <t>Reject all</t>
        </is>
      </c>
      <c r="H44" s="33" t="inlineStr">
        <is>
          <t>State label RESOLVED_UNMATCHED.</t>
        </is>
      </c>
      <c r="I44" s="34" t="inlineStr">
        <is>
          <t>Positive</t>
        </is>
      </c>
      <c r="J44" s="34" t="inlineStr">
        <is>
          <t>P1</t>
        </is>
      </c>
      <c r="K44" s="30" t="inlineStr">
        <is>
          <t>Not Executed</t>
        </is>
      </c>
      <c r="L44" s="31" t="inlineStr"/>
      <c r="M44" s="31" t="inlineStr"/>
      <c r="N44" s="31" t="inlineStr"/>
      <c r="O44" s="31" t="inlineStr"/>
    </row>
    <row r="45">
      <c r="A45" s="27" t="inlineStr">
        <is>
          <t>UT-TAG-009</t>
        </is>
      </c>
      <c r="B45" s="28" t="inlineStr">
        <is>
          <t>Outlook Tagging</t>
        </is>
      </c>
      <c r="C45" s="29" t="inlineStr">
        <is>
          <t>FR-TAG-013</t>
        </is>
      </c>
      <c r="D45" s="28" t="inlineStr">
        <is>
          <t>Verify tag-update failure is logged and pipeline does NOT block.</t>
        </is>
      </c>
      <c r="E45" s="28" t="inlineStr">
        <is>
          <t>Force Outlook tag write to fail.</t>
        </is>
      </c>
      <c r="F45" s="28" t="inlineStr">
        <is>
          <t>1. Trigger tag update failure.
2. Observe pipeline.</t>
        </is>
      </c>
      <c r="G45" s="28" t="inlineStr">
        <is>
          <t>Tag write error</t>
        </is>
      </c>
      <c r="H45" s="28" t="inlineStr">
        <is>
          <t>Failure logged in audit; processing continues.</t>
        </is>
      </c>
      <c r="I45" s="29" t="inlineStr">
        <is>
          <t>Negative</t>
        </is>
      </c>
      <c r="J45" s="29" t="inlineStr">
        <is>
          <t>P1</t>
        </is>
      </c>
      <c r="K45" s="30" t="inlineStr">
        <is>
          <t>Not Executed</t>
        </is>
      </c>
      <c r="L45" s="31" t="inlineStr"/>
      <c r="M45" s="31" t="inlineStr"/>
      <c r="N45" s="31" t="inlineStr"/>
      <c r="O45" s="31" t="inlineStr"/>
    </row>
    <row r="46">
      <c r="A46" s="32" t="inlineStr">
        <is>
          <t>UT-EXB-001</t>
        </is>
      </c>
      <c r="B46" s="33" t="inlineStr">
        <is>
          <t>Extraction - Body (1a)</t>
        </is>
      </c>
      <c r="C46" s="34" t="inlineStr">
        <is>
          <t>FR-EXT-001</t>
        </is>
      </c>
      <c r="D46" s="33" t="inlineStr">
        <is>
          <t>Verify plain-text body parsed into one structured record per trade.</t>
        </is>
      </c>
      <c r="E46" s="33" t="inlineStr">
        <is>
          <t>Extraction engine ready.</t>
        </is>
      </c>
      <c r="F46" s="33" t="inlineStr">
        <is>
          <t>1. Feed single-trade plain-text body.</t>
        </is>
      </c>
      <c r="G46" s="33" t="inlineStr">
        <is>
          <t>1 trade text</t>
        </is>
      </c>
      <c r="H46" s="33" t="inlineStr">
        <is>
          <t>One structured cashflow record produced.</t>
        </is>
      </c>
      <c r="I46" s="34" t="inlineStr">
        <is>
          <t>Positive</t>
        </is>
      </c>
      <c r="J46" s="34" t="inlineStr">
        <is>
          <t>P1</t>
        </is>
      </c>
      <c r="K46" s="30" t="inlineStr">
        <is>
          <t>Not Executed</t>
        </is>
      </c>
      <c r="L46" s="31" t="inlineStr"/>
      <c r="M46" s="31" t="inlineStr"/>
      <c r="N46" s="31" t="inlineStr"/>
      <c r="O46" s="31" t="inlineStr"/>
    </row>
    <row r="47">
      <c r="A47" s="27" t="inlineStr">
        <is>
          <t>UT-EXB-002</t>
        </is>
      </c>
      <c r="B47" s="28" t="inlineStr">
        <is>
          <t>Extraction - Body (1a)</t>
        </is>
      </c>
      <c r="C47" s="29" t="inlineStr">
        <is>
          <t>FR-EXT-001</t>
        </is>
      </c>
      <c r="D47" s="28" t="inlineStr">
        <is>
          <t>Verify HTML body parsed into a structured record.</t>
        </is>
      </c>
      <c r="E47" s="28" t="inlineStr">
        <is>
          <t>Extraction engine ready.</t>
        </is>
      </c>
      <c r="F47" s="28" t="inlineStr">
        <is>
          <t>1. Feed single-trade HTML body.</t>
        </is>
      </c>
      <c r="G47" s="28" t="inlineStr">
        <is>
          <t>HTML body</t>
        </is>
      </c>
      <c r="H47" s="28" t="inlineStr">
        <is>
          <t>Structured record produced from HTML.</t>
        </is>
      </c>
      <c r="I47" s="29" t="inlineStr">
        <is>
          <t>Positive</t>
        </is>
      </c>
      <c r="J47" s="29" t="inlineStr">
        <is>
          <t>P1</t>
        </is>
      </c>
      <c r="K47" s="30" t="inlineStr">
        <is>
          <t>Not Executed</t>
        </is>
      </c>
      <c r="L47" s="31" t="inlineStr"/>
      <c r="M47" s="31" t="inlineStr"/>
      <c r="N47" s="31" t="inlineStr"/>
      <c r="O47" s="31" t="inlineStr"/>
    </row>
    <row r="48">
      <c r="A48" s="32" t="inlineStr">
        <is>
          <t>UT-EXB-003</t>
        </is>
      </c>
      <c r="B48" s="33" t="inlineStr">
        <is>
          <t>Extraction - Body (1a)</t>
        </is>
      </c>
      <c r="C48" s="34" t="inlineStr">
        <is>
          <t>FR-EXT-001</t>
        </is>
      </c>
      <c r="D48" s="33" t="inlineStr">
        <is>
          <t>Verify multi-trade body yields multiple child records linked to parent email.</t>
        </is>
      </c>
      <c r="E48" s="33" t="inlineStr">
        <is>
          <t>Extraction engine ready.</t>
        </is>
      </c>
      <c r="F48" s="33" t="inlineStr">
        <is>
          <t>1. Feed body with 3 trades.</t>
        </is>
      </c>
      <c r="G48" s="33" t="inlineStr">
        <is>
          <t>3 trades</t>
        </is>
      </c>
      <c r="H48" s="33" t="inlineStr">
        <is>
          <t>3 child records, each referencing parent_email_id.</t>
        </is>
      </c>
      <c r="I48" s="34" t="inlineStr">
        <is>
          <t>Positive</t>
        </is>
      </c>
      <c r="J48" s="34" t="inlineStr">
        <is>
          <t>P1</t>
        </is>
      </c>
      <c r="K48" s="30" t="inlineStr">
        <is>
          <t>Not Executed</t>
        </is>
      </c>
      <c r="L48" s="31" t="inlineStr"/>
      <c r="M48" s="31" t="inlineStr"/>
      <c r="N48" s="31" t="inlineStr"/>
      <c r="O48" s="31" t="inlineStr"/>
    </row>
    <row r="49">
      <c r="A49" s="27" t="inlineStr">
        <is>
          <t>UT-EXB-004</t>
        </is>
      </c>
      <c r="B49" s="28" t="inlineStr">
        <is>
          <t>Extraction - Body (1a)</t>
        </is>
      </c>
      <c r="C49" s="29" t="inlineStr">
        <is>
          <t>FR-EXT-002</t>
        </is>
      </c>
      <c r="D49" s="28" t="inlineStr">
        <is>
          <t>Verify free-form prose body variation handled.</t>
        </is>
      </c>
      <c r="E49" s="28" t="inlineStr">
        <is>
          <t>Engine ready.</t>
        </is>
      </c>
      <c r="F49" s="28" t="inlineStr">
        <is>
          <t>1. Feed prose-only trade description.</t>
        </is>
      </c>
      <c r="G49" s="28" t="inlineStr">
        <is>
          <t>Prose body</t>
        </is>
      </c>
      <c r="H49" s="28" t="inlineStr">
        <is>
          <t>Fields extracted from prose.</t>
        </is>
      </c>
      <c r="I49" s="29" t="inlineStr">
        <is>
          <t>Positive</t>
        </is>
      </c>
      <c r="J49" s="29" t="inlineStr">
        <is>
          <t>P2</t>
        </is>
      </c>
      <c r="K49" s="30" t="inlineStr">
        <is>
          <t>Not Executed</t>
        </is>
      </c>
      <c r="L49" s="31" t="inlineStr"/>
      <c r="M49" s="31" t="inlineStr"/>
      <c r="N49" s="31" t="inlineStr"/>
      <c r="O49" s="31" t="inlineStr"/>
    </row>
    <row r="50">
      <c r="A50" s="32" t="inlineStr">
        <is>
          <t>UT-EXB-005</t>
        </is>
      </c>
      <c r="B50" s="33" t="inlineStr">
        <is>
          <t>Extraction - Body (1a)</t>
        </is>
      </c>
      <c r="C50" s="34" t="inlineStr">
        <is>
          <t>FR-EXT-002</t>
        </is>
      </c>
      <c r="D50" s="33" t="inlineStr">
        <is>
          <t>Verify tabular-block body variation handled.</t>
        </is>
      </c>
      <c r="E50" s="33" t="inlineStr">
        <is>
          <t>Engine ready.</t>
        </is>
      </c>
      <c r="F50" s="33" t="inlineStr">
        <is>
          <t>1. Feed inline table body.</t>
        </is>
      </c>
      <c r="G50" s="33" t="inlineStr">
        <is>
          <t>Table block</t>
        </is>
      </c>
      <c r="H50" s="33" t="inlineStr">
        <is>
          <t>Fields extracted from table block.</t>
        </is>
      </c>
      <c r="I50" s="34" t="inlineStr">
        <is>
          <t>Positive</t>
        </is>
      </c>
      <c r="J50" s="34" t="inlineStr">
        <is>
          <t>P2</t>
        </is>
      </c>
      <c r="K50" s="30" t="inlineStr">
        <is>
          <t>Not Executed</t>
        </is>
      </c>
      <c r="L50" s="31" t="inlineStr"/>
      <c r="M50" s="31" t="inlineStr"/>
      <c r="N50" s="31" t="inlineStr"/>
      <c r="O50" s="31" t="inlineStr"/>
    </row>
    <row r="51">
      <c r="A51" s="27" t="inlineStr">
        <is>
          <t>UT-EXB-006</t>
        </is>
      </c>
      <c r="B51" s="28" t="inlineStr">
        <is>
          <t>Extraction - Body (1a)</t>
        </is>
      </c>
      <c r="C51" s="29" t="inlineStr">
        <is>
          <t>FR-EXT-002</t>
        </is>
      </c>
      <c r="D51" s="28" t="inlineStr">
        <is>
          <t>Verify mixed prose+table body variation handled.</t>
        </is>
      </c>
      <c r="E51" s="28" t="inlineStr">
        <is>
          <t>Engine ready.</t>
        </is>
      </c>
      <c r="F51" s="28" t="inlineStr">
        <is>
          <t>1. Feed mixed body.</t>
        </is>
      </c>
      <c r="G51" s="28" t="inlineStr">
        <is>
          <t>Prose+table</t>
        </is>
      </c>
      <c r="H51" s="28" t="inlineStr">
        <is>
          <t>All trade fields extracted correctly.</t>
        </is>
      </c>
      <c r="I51" s="29" t="inlineStr">
        <is>
          <t>Positive</t>
        </is>
      </c>
      <c r="J51" s="29" t="inlineStr">
        <is>
          <t>P2</t>
        </is>
      </c>
      <c r="K51" s="30" t="inlineStr">
        <is>
          <t>Not Executed</t>
        </is>
      </c>
      <c r="L51" s="31" t="inlineStr"/>
      <c r="M51" s="31" t="inlineStr"/>
      <c r="N51" s="31" t="inlineStr"/>
      <c r="O51" s="31" t="inlineStr"/>
    </row>
    <row r="52">
      <c r="A52" s="32" t="inlineStr">
        <is>
          <t>UT-EXB-007</t>
        </is>
      </c>
      <c r="B52" s="33" t="inlineStr">
        <is>
          <t>Extraction - Body (1a)</t>
        </is>
      </c>
      <c r="C52" s="34" t="inlineStr">
        <is>
          <t>FR-EXT-003</t>
        </is>
      </c>
      <c r="D52" s="33" t="inlineStr">
        <is>
          <t>Verify German-language body extracted without field-fidelity loss.</t>
        </is>
      </c>
      <c r="E52" s="33" t="inlineStr">
        <is>
          <t>Engine ready.</t>
        </is>
      </c>
      <c r="F52" s="33" t="inlineStr">
        <is>
          <t>1. Feed German trade email.</t>
        </is>
      </c>
      <c r="G52" s="33" t="inlineStr">
        <is>
          <t>German text</t>
        </is>
      </c>
      <c r="H52" s="33" t="inlineStr">
        <is>
          <t>All mandatory fields extracted correctly.</t>
        </is>
      </c>
      <c r="I52" s="34" t="inlineStr">
        <is>
          <t>Positive</t>
        </is>
      </c>
      <c r="J52" s="34" t="inlineStr">
        <is>
          <t>P2</t>
        </is>
      </c>
      <c r="K52" s="30" t="inlineStr">
        <is>
          <t>Not Executed</t>
        </is>
      </c>
      <c r="L52" s="31" t="inlineStr"/>
      <c r="M52" s="31" t="inlineStr"/>
      <c r="N52" s="31" t="inlineStr"/>
      <c r="O52" s="31" t="inlineStr"/>
    </row>
    <row r="53">
      <c r="A53" s="27" t="inlineStr">
        <is>
          <t>UT-EXB-008</t>
        </is>
      </c>
      <c r="B53" s="28" t="inlineStr">
        <is>
          <t>Extraction - Body (1a)</t>
        </is>
      </c>
      <c r="C53" s="29" t="inlineStr">
        <is>
          <t>FR-EXT-003</t>
        </is>
      </c>
      <c r="D53" s="28" t="inlineStr">
        <is>
          <t>Verify Japanese-language body extracted without field-fidelity loss.</t>
        </is>
      </c>
      <c r="E53" s="28" t="inlineStr">
        <is>
          <t>Engine ready.</t>
        </is>
      </c>
      <c r="F53" s="28" t="inlineStr">
        <is>
          <t>1. Feed Japanese trade email.</t>
        </is>
      </c>
      <c r="G53" s="28" t="inlineStr">
        <is>
          <t>Japanese text</t>
        </is>
      </c>
      <c r="H53" s="28" t="inlineStr">
        <is>
          <t>All mandatory fields extracted correctly.</t>
        </is>
      </c>
      <c r="I53" s="29" t="inlineStr">
        <is>
          <t>Positive</t>
        </is>
      </c>
      <c r="J53" s="29" t="inlineStr">
        <is>
          <t>P2</t>
        </is>
      </c>
      <c r="K53" s="30" t="inlineStr">
        <is>
          <t>Not Executed</t>
        </is>
      </c>
      <c r="L53" s="31" t="inlineStr"/>
      <c r="M53" s="31" t="inlineStr"/>
      <c r="N53" s="31" t="inlineStr"/>
      <c r="O53" s="31" t="inlineStr"/>
    </row>
    <row r="54">
      <c r="A54" s="32" t="inlineStr">
        <is>
          <t>UT-EXB-009</t>
        </is>
      </c>
      <c r="B54" s="33" t="inlineStr">
        <is>
          <t>Extraction - Body (1a)</t>
        </is>
      </c>
      <c r="C54" s="34" t="inlineStr">
        <is>
          <t>FR-EXT-004</t>
        </is>
      </c>
      <c r="D54" s="33" t="inlineStr">
        <is>
          <t>Verify embedded-image trade details flagged unsupported and surfaced.</t>
        </is>
      </c>
      <c r="E54" s="33" t="inlineStr">
        <is>
          <t>Engine ready.</t>
        </is>
      </c>
      <c r="F54" s="33" t="inlineStr">
        <is>
          <t>1. Feed body with screenshot only.</t>
        </is>
      </c>
      <c r="G54" s="33" t="inlineStr">
        <is>
          <t>Image body</t>
        </is>
      </c>
      <c r="H54" s="33" t="inlineStr">
        <is>
          <t>Flagged unsupported; surfaced to analyst. [PHASE-2+]</t>
        </is>
      </c>
      <c r="I54" s="34" t="inlineStr">
        <is>
          <t>Negative</t>
        </is>
      </c>
      <c r="J54" s="34" t="inlineStr">
        <is>
          <t>P2</t>
        </is>
      </c>
      <c r="K54" s="30" t="inlineStr">
        <is>
          <t>Not Executed</t>
        </is>
      </c>
      <c r="L54" s="31" t="inlineStr"/>
      <c r="M54" s="31" t="inlineStr"/>
      <c r="N54" s="31" t="inlineStr"/>
      <c r="O54" s="31" t="inlineStr"/>
    </row>
    <row r="55">
      <c r="A55" s="27" t="inlineStr">
        <is>
          <t>UT-EXB-010</t>
        </is>
      </c>
      <c r="B55" s="28" t="inlineStr">
        <is>
          <t>Extraction - Body (1a)</t>
        </is>
      </c>
      <c r="C55" s="29" t="inlineStr">
        <is>
          <t>FR-EXT-005</t>
        </is>
      </c>
      <c r="D55" s="28" t="inlineStr">
        <is>
          <t>Verify portal/web-UI link (details behind link) flagged out-of-scope.</t>
        </is>
      </c>
      <c r="E55" s="28" t="inlineStr">
        <is>
          <t>Engine ready.</t>
        </is>
      </c>
      <c r="F55" s="28" t="inlineStr">
        <is>
          <t>1. Feed body with only a portal link.</t>
        </is>
      </c>
      <c r="G55" s="28" t="inlineStr">
        <is>
          <t>Portal link</t>
        </is>
      </c>
      <c r="H55" s="28" t="inlineStr">
        <is>
          <t>Flagged out-of-scope. [PHASE-2+]</t>
        </is>
      </c>
      <c r="I55" s="29" t="inlineStr">
        <is>
          <t>Negative</t>
        </is>
      </c>
      <c r="J55" s="29" t="inlineStr">
        <is>
          <t>P2</t>
        </is>
      </c>
      <c r="K55" s="30" t="inlineStr">
        <is>
          <t>Not Executed</t>
        </is>
      </c>
      <c r="L55" s="31" t="inlineStr"/>
      <c r="M55" s="31" t="inlineStr"/>
      <c r="N55" s="31" t="inlineStr"/>
      <c r="O55" s="31" t="inlineStr"/>
    </row>
    <row r="56">
      <c r="A56" s="32" t="inlineStr">
        <is>
          <t>UT-EXB-011</t>
        </is>
      </c>
      <c r="B56" s="33" t="inlineStr">
        <is>
          <t>Extraction - Body (1a)</t>
        </is>
      </c>
      <c r="C56" s="34" t="inlineStr">
        <is>
          <t>FR-EXT-006</t>
        </is>
      </c>
      <c r="D56" s="33" t="inlineStr">
        <is>
          <t>Verify dates normalised to ISO 8601.</t>
        </is>
      </c>
      <c r="E56" s="33" t="inlineStr">
        <is>
          <t>Engine ready.</t>
        </is>
      </c>
      <c r="F56" s="33" t="inlineStr">
        <is>
          <t>1. Feed '15 Jul 2026'.</t>
        </is>
      </c>
      <c r="G56" s="33" t="inlineStr">
        <is>
          <t>15 Jul 2026</t>
        </is>
      </c>
      <c r="H56" s="33" t="inlineStr">
        <is>
          <t>Stored as 2026-07-15.</t>
        </is>
      </c>
      <c r="I56" s="34" t="inlineStr">
        <is>
          <t>Data-Validation</t>
        </is>
      </c>
      <c r="J56" s="34" t="inlineStr">
        <is>
          <t>P1</t>
        </is>
      </c>
      <c r="K56" s="30" t="inlineStr">
        <is>
          <t>Not Executed</t>
        </is>
      </c>
      <c r="L56" s="31" t="inlineStr"/>
      <c r="M56" s="31" t="inlineStr"/>
      <c r="N56" s="31" t="inlineStr"/>
      <c r="O56" s="31" t="inlineStr"/>
    </row>
    <row r="57">
      <c r="A57" s="27" t="inlineStr">
        <is>
          <t>UT-EXB-012</t>
        </is>
      </c>
      <c r="B57" s="28" t="inlineStr">
        <is>
          <t>Extraction - Body (1a)</t>
        </is>
      </c>
      <c r="C57" s="29" t="inlineStr">
        <is>
          <t>FR-EXT-006</t>
        </is>
      </c>
      <c r="D57" s="28" t="inlineStr">
        <is>
          <t>Verify notional normalised to absolute numeric units.</t>
        </is>
      </c>
      <c r="E57" s="28" t="inlineStr">
        <is>
          <t>Engine ready.</t>
        </is>
      </c>
      <c r="F57" s="28" t="inlineStr">
        <is>
          <t>1. Feed 'USD 5m'.</t>
        </is>
      </c>
      <c r="G57" s="28" t="inlineStr">
        <is>
          <t>USD 5m</t>
        </is>
      </c>
      <c r="H57" s="28" t="inlineStr">
        <is>
          <t>Stored as 5000000 absolute.</t>
        </is>
      </c>
      <c r="I57" s="29" t="inlineStr">
        <is>
          <t>Data-Validation</t>
        </is>
      </c>
      <c r="J57" s="29" t="inlineStr">
        <is>
          <t>P1</t>
        </is>
      </c>
      <c r="K57" s="30" t="inlineStr">
        <is>
          <t>Not Executed</t>
        </is>
      </c>
      <c r="L57" s="31" t="inlineStr"/>
      <c r="M57" s="31" t="inlineStr"/>
      <c r="N57" s="31" t="inlineStr"/>
      <c r="O57" s="31" t="inlineStr"/>
    </row>
    <row r="58">
      <c r="A58" s="32" t="inlineStr">
        <is>
          <t>UT-EXB-013</t>
        </is>
      </c>
      <c r="B58" s="33" t="inlineStr">
        <is>
          <t>Extraction - Body (1a)</t>
        </is>
      </c>
      <c r="C58" s="34" t="inlineStr">
        <is>
          <t>FR-EXT-006</t>
        </is>
      </c>
      <c r="D58" s="33" t="inlineStr">
        <is>
          <t>Verify currency normalised to ISO 4217 code.</t>
        </is>
      </c>
      <c r="E58" s="33" t="inlineStr">
        <is>
          <t>Engine ready.</t>
        </is>
      </c>
      <c r="F58" s="33" t="inlineStr">
        <is>
          <t>1. Feed 'US Dollars'.</t>
        </is>
      </c>
      <c r="G58" s="33" t="inlineStr">
        <is>
          <t>US Dollars</t>
        </is>
      </c>
      <c r="H58" s="33" t="inlineStr">
        <is>
          <t>Stored as USD.</t>
        </is>
      </c>
      <c r="I58" s="34" t="inlineStr">
        <is>
          <t>Data-Validation</t>
        </is>
      </c>
      <c r="J58" s="34" t="inlineStr">
        <is>
          <t>P2</t>
        </is>
      </c>
      <c r="K58" s="30" t="inlineStr">
        <is>
          <t>Not Executed</t>
        </is>
      </c>
      <c r="L58" s="31" t="inlineStr"/>
      <c r="M58" s="31" t="inlineStr"/>
      <c r="N58" s="31" t="inlineStr"/>
      <c r="O58" s="31" t="inlineStr"/>
    </row>
    <row r="59">
      <c r="A59" s="27" t="inlineStr">
        <is>
          <t>UT-EXB-014</t>
        </is>
      </c>
      <c r="B59" s="28" t="inlineStr">
        <is>
          <t>Extraction - Body (1a)</t>
        </is>
      </c>
      <c r="C59" s="29" t="inlineStr">
        <is>
          <t>FR-EXT-007</t>
        </is>
      </c>
      <c r="D59" s="28" t="inlineStr">
        <is>
          <t>Verify each extracted field carries a confidence score in [0,1].</t>
        </is>
      </c>
      <c r="E59" s="28" t="inlineStr">
        <is>
          <t>Engine ready.</t>
        </is>
      </c>
      <c r="F59" s="28" t="inlineStr">
        <is>
          <t>1. Extract record.
2. Inspect per-field confidence.</t>
        </is>
      </c>
      <c r="G59" s="28" t="inlineStr">
        <is>
          <t>Sample record</t>
        </is>
      </c>
      <c r="H59" s="28" t="inlineStr">
        <is>
          <t>Every field has confidence 0-1.</t>
        </is>
      </c>
      <c r="I59" s="29" t="inlineStr">
        <is>
          <t>Positive</t>
        </is>
      </c>
      <c r="J59" s="29" t="inlineStr">
        <is>
          <t>P2</t>
        </is>
      </c>
      <c r="K59" s="30" t="inlineStr">
        <is>
          <t>Not Executed</t>
        </is>
      </c>
      <c r="L59" s="31" t="inlineStr"/>
      <c r="M59" s="31" t="inlineStr"/>
      <c r="N59" s="31" t="inlineStr"/>
      <c r="O59" s="31" t="inlineStr"/>
    </row>
    <row r="60">
      <c r="A60" s="32" t="inlineStr">
        <is>
          <t>UT-EXB-015</t>
        </is>
      </c>
      <c r="B60" s="33" t="inlineStr">
        <is>
          <t>Extraction - Body (1a)</t>
        </is>
      </c>
      <c r="C60" s="34" t="inlineStr">
        <is>
          <t>FR-EXT-008</t>
        </is>
      </c>
      <c r="D60" s="33" t="inlineStr">
        <is>
          <t>Verify field below confidence threshold flagged LOW_CONFIDENCE and is non-blocking.</t>
        </is>
      </c>
      <c r="E60" s="33" t="inlineStr">
        <is>
          <t>ext_confidence_threshold set.</t>
        </is>
      </c>
      <c r="F60" s="33" t="inlineStr">
        <is>
          <t>1. Force a low-confidence field.</t>
        </is>
      </c>
      <c r="G60" s="33" t="inlineStr">
        <is>
          <t>conf &lt; threshold</t>
        </is>
      </c>
      <c r="H60" s="33" t="inlineStr">
        <is>
          <t>Field flagged LOW_CONFIDENCE; workflow continues.</t>
        </is>
      </c>
      <c r="I60" s="34" t="inlineStr">
        <is>
          <t>Boundary</t>
        </is>
      </c>
      <c r="J60" s="34" t="inlineStr">
        <is>
          <t>P1</t>
        </is>
      </c>
      <c r="K60" s="30" t="inlineStr">
        <is>
          <t>Not Executed</t>
        </is>
      </c>
      <c r="L60" s="31" t="inlineStr"/>
      <c r="M60" s="31" t="inlineStr"/>
      <c r="N60" s="31" t="inlineStr"/>
      <c r="O60" s="31" t="inlineStr"/>
    </row>
    <row r="61">
      <c r="A61" s="27" t="inlineStr">
        <is>
          <t>UT-EXB-016</t>
        </is>
      </c>
      <c r="B61" s="28" t="inlineStr">
        <is>
          <t>Extraction - Body (1a)</t>
        </is>
      </c>
      <c r="C61" s="29" t="inlineStr">
        <is>
          <t>FR-EXT-009</t>
        </is>
      </c>
      <c r="D61" s="28" t="inlineStr">
        <is>
          <t>Verify per-field audit (model, prompt, source passage, value, confidence).</t>
        </is>
      </c>
      <c r="E61" s="28" t="inlineStr">
        <is>
          <t>Audit store reachable.</t>
        </is>
      </c>
      <c r="F61" s="28" t="inlineStr">
        <is>
          <t>1. Extract.
2. Inspect audit per field.</t>
        </is>
      </c>
      <c r="G61" s="28" t="inlineStr">
        <is>
          <t>Sample record</t>
        </is>
      </c>
      <c r="H61" s="28" t="inlineStr">
        <is>
          <t>All five per-field attributes captured.</t>
        </is>
      </c>
      <c r="I61" s="29" t="inlineStr">
        <is>
          <t>Positive</t>
        </is>
      </c>
      <c r="J61" s="29" t="inlineStr">
        <is>
          <t>P1</t>
        </is>
      </c>
      <c r="K61" s="30" t="inlineStr">
        <is>
          <t>Not Executed</t>
        </is>
      </c>
      <c r="L61" s="31" t="inlineStr"/>
      <c r="M61" s="31" t="inlineStr"/>
      <c r="N61" s="31" t="inlineStr"/>
      <c r="O61" s="31" t="inlineStr"/>
    </row>
    <row r="62">
      <c r="A62" s="32" t="inlineStr">
        <is>
          <t>UT-EXB-017</t>
        </is>
      </c>
      <c r="B62" s="33" t="inlineStr">
        <is>
          <t>Extraction - Body (1a)</t>
        </is>
      </c>
      <c r="C62" s="34" t="inlineStr">
        <is>
          <t>FSD 7.1</t>
        </is>
      </c>
      <c r="D62" s="33" t="inlineStr">
        <is>
          <t>Verify all mandatory fields captured (name, entity, ccy pair, notional, direction, value_date, SSI bank/acct/beneficiary).</t>
        </is>
      </c>
      <c r="E62" s="33" t="inlineStr">
        <is>
          <t>Engine ready.</t>
        </is>
      </c>
      <c r="F62" s="33" t="inlineStr">
        <is>
          <t>1. Extract complete email.
2. Verify mandatory set.</t>
        </is>
      </c>
      <c r="G62" s="33" t="inlineStr">
        <is>
          <t>Full email</t>
        </is>
      </c>
      <c r="H62" s="33" t="inlineStr">
        <is>
          <t>All mandatory fields populated.</t>
        </is>
      </c>
      <c r="I62" s="34" t="inlineStr">
        <is>
          <t>Positive</t>
        </is>
      </c>
      <c r="J62" s="34" t="inlineStr">
        <is>
          <t>P1</t>
        </is>
      </c>
      <c r="K62" s="30" t="inlineStr">
        <is>
          <t>Not Executed</t>
        </is>
      </c>
      <c r="L62" s="31" t="inlineStr"/>
      <c r="M62" s="31" t="inlineStr"/>
      <c r="N62" s="31" t="inlineStr"/>
      <c r="O62" s="31" t="inlineStr"/>
    </row>
    <row r="63">
      <c r="A63" s="27" t="inlineStr">
        <is>
          <t>UT-EXB-018</t>
        </is>
      </c>
      <c r="B63" s="28" t="inlineStr">
        <is>
          <t>Extraction - Body (1a)</t>
        </is>
      </c>
      <c r="C63" s="29" t="inlineStr">
        <is>
          <t>FSD 7.1</t>
        </is>
      </c>
      <c r="D63" s="28" t="inlineStr">
        <is>
          <t>Verify optional fields handled gracefully when absent (ref, product, trade_date, intermediary).</t>
        </is>
      </c>
      <c r="E63" s="28" t="inlineStr">
        <is>
          <t>Engine ready.</t>
        </is>
      </c>
      <c r="F63" s="28" t="inlineStr">
        <is>
          <t>1. Extract email lacking optionals.</t>
        </is>
      </c>
      <c r="G63" s="28" t="inlineStr">
        <is>
          <t>No optionals</t>
        </is>
      </c>
      <c r="H63" s="28" t="inlineStr">
        <is>
          <t>Record valid with optional fields null; no error.</t>
        </is>
      </c>
      <c r="I63" s="29" t="inlineStr">
        <is>
          <t>Negative</t>
        </is>
      </c>
      <c r="J63" s="29" t="inlineStr">
        <is>
          <t>P3</t>
        </is>
      </c>
      <c r="K63" s="30" t="inlineStr">
        <is>
          <t>Not Executed</t>
        </is>
      </c>
      <c r="L63" s="31" t="inlineStr"/>
      <c r="M63" s="31" t="inlineStr"/>
      <c r="N63" s="31" t="inlineStr"/>
      <c r="O63" s="31" t="inlineStr"/>
    </row>
    <row r="64">
      <c r="A64" s="32" t="inlineStr">
        <is>
          <t>UT-EXX-001</t>
        </is>
      </c>
      <c r="B64" s="33" t="inlineStr">
        <is>
          <t>Extraction - Excel (1b)</t>
        </is>
      </c>
      <c r="C64" s="34" t="inlineStr">
        <is>
          <t>FR-EXT-020</t>
        </is>
      </c>
      <c r="D64" s="33" t="inlineStr">
        <is>
          <t>Verify .xlsx attachment yields one record per trade-data row.</t>
        </is>
      </c>
      <c r="E64" s="33" t="inlineStr">
        <is>
          <t>Engine ready.</t>
        </is>
      </c>
      <c r="F64" s="33" t="inlineStr">
        <is>
          <t>1. Feed 5-row .xlsx.</t>
        </is>
      </c>
      <c r="G64" s="33" t="inlineStr">
        <is>
          <t>5 rows</t>
        </is>
      </c>
      <c r="H64" s="33" t="inlineStr">
        <is>
          <t>5 structured records produced.</t>
        </is>
      </c>
      <c r="I64" s="34" t="inlineStr">
        <is>
          <t>Positive</t>
        </is>
      </c>
      <c r="J64" s="34" t="inlineStr">
        <is>
          <t>P1</t>
        </is>
      </c>
      <c r="K64" s="30" t="inlineStr">
        <is>
          <t>Not Executed</t>
        </is>
      </c>
      <c r="L64" s="31" t="inlineStr"/>
      <c r="M64" s="31" t="inlineStr"/>
      <c r="N64" s="31" t="inlineStr"/>
      <c r="O64" s="31" t="inlineStr"/>
    </row>
    <row r="65">
      <c r="A65" s="27" t="inlineStr">
        <is>
          <t>UT-EXX-002</t>
        </is>
      </c>
      <c r="B65" s="28" t="inlineStr">
        <is>
          <t>Extraction - Excel (1b)</t>
        </is>
      </c>
      <c r="C65" s="29" t="inlineStr">
        <is>
          <t>FR-EXT-020</t>
        </is>
      </c>
      <c r="D65" s="28" t="inlineStr">
        <is>
          <t>Verify legacy .xls attachment processed.</t>
        </is>
      </c>
      <c r="E65" s="28" t="inlineStr">
        <is>
          <t>Engine ready.</t>
        </is>
      </c>
      <c r="F65" s="28" t="inlineStr">
        <is>
          <t>1. Feed .xls file.</t>
        </is>
      </c>
      <c r="G65" s="28" t="inlineStr">
        <is>
          <t>.xls file</t>
        </is>
      </c>
      <c r="H65" s="28" t="inlineStr">
        <is>
          <t>Rows extracted successfully.</t>
        </is>
      </c>
      <c r="I65" s="29" t="inlineStr">
        <is>
          <t>Positive</t>
        </is>
      </c>
      <c r="J65" s="29" t="inlineStr">
        <is>
          <t>P2</t>
        </is>
      </c>
      <c r="K65" s="30" t="inlineStr">
        <is>
          <t>Not Executed</t>
        </is>
      </c>
      <c r="L65" s="31" t="inlineStr"/>
      <c r="M65" s="31" t="inlineStr"/>
      <c r="N65" s="31" t="inlineStr"/>
      <c r="O65" s="31" t="inlineStr"/>
    </row>
    <row r="66">
      <c r="A66" s="32" t="inlineStr">
        <is>
          <t>UT-EXX-003</t>
        </is>
      </c>
      <c r="B66" s="33" t="inlineStr">
        <is>
          <t>Extraction - Excel (1b)</t>
        </is>
      </c>
      <c r="C66" s="34" t="inlineStr">
        <is>
          <t>FR-EXT-021</t>
        </is>
      </c>
      <c r="D66" s="33" t="inlineStr">
        <is>
          <t>Verify column-header variation handled by configurable column-to-field mapping.</t>
        </is>
      </c>
      <c r="E66" s="33" t="inlineStr">
        <is>
          <t>Mapping configured.</t>
        </is>
      </c>
      <c r="F66" s="33" t="inlineStr">
        <is>
          <t>1. Feed non-standard headers.</t>
        </is>
      </c>
      <c r="G66" s="33" t="inlineStr">
        <is>
          <t>Alt headers</t>
        </is>
      </c>
      <c r="H66" s="33" t="inlineStr">
        <is>
          <t>Columns mapped to standard fields.</t>
        </is>
      </c>
      <c r="I66" s="34" t="inlineStr">
        <is>
          <t>Positive</t>
        </is>
      </c>
      <c r="J66" s="34" t="inlineStr">
        <is>
          <t>P1</t>
        </is>
      </c>
      <c r="K66" s="30" t="inlineStr">
        <is>
          <t>Not Executed</t>
        </is>
      </c>
      <c r="L66" s="31" t="inlineStr"/>
      <c r="M66" s="31" t="inlineStr"/>
      <c r="N66" s="31" t="inlineStr"/>
      <c r="O66" s="31" t="inlineStr"/>
    </row>
    <row r="67">
      <c r="A67" s="27" t="inlineStr">
        <is>
          <t>UT-EXX-004</t>
        </is>
      </c>
      <c r="B67" s="28" t="inlineStr">
        <is>
          <t>Extraction - Excel (1b)</t>
        </is>
      </c>
      <c r="C67" s="29" t="inlineStr">
        <is>
          <t>FR-EXT-021</t>
        </is>
      </c>
      <c r="D67" s="28" t="inlineStr">
        <is>
          <t>Verify column mapping extendable without code deployment.</t>
        </is>
      </c>
      <c r="E67" s="28" t="inlineStr">
        <is>
          <t>Admin session.</t>
        </is>
      </c>
      <c r="F67" s="28" t="inlineStr">
        <is>
          <t>1. Add a new header alias.
2. Re-process.</t>
        </is>
      </c>
      <c r="G67" s="28" t="inlineStr">
        <is>
          <t>New alias</t>
        </is>
      </c>
      <c r="H67" s="28" t="inlineStr">
        <is>
          <t>Mapping applied; no redeploy.</t>
        </is>
      </c>
      <c r="I67" s="29" t="inlineStr">
        <is>
          <t>Config</t>
        </is>
      </c>
      <c r="J67" s="29" t="inlineStr">
        <is>
          <t>P2</t>
        </is>
      </c>
      <c r="K67" s="30" t="inlineStr">
        <is>
          <t>Not Executed</t>
        </is>
      </c>
      <c r="L67" s="31" t="inlineStr"/>
      <c r="M67" s="31" t="inlineStr"/>
      <c r="N67" s="31" t="inlineStr"/>
      <c r="O67" s="31" t="inlineStr"/>
    </row>
    <row r="68">
      <c r="A68" s="32" t="inlineStr">
        <is>
          <t>UT-EXX-005</t>
        </is>
      </c>
      <c r="B68" s="33" t="inlineStr">
        <is>
          <t>Extraction - Excel (1b)</t>
        </is>
      </c>
      <c r="C68" s="34" t="inlineStr">
        <is>
          <t>FR-EXT-022</t>
        </is>
      </c>
      <c r="D68" s="33" t="inlineStr">
        <is>
          <t>Verify notional in millions normalised to absolute.</t>
        </is>
      </c>
      <c r="E68" s="33" t="inlineStr">
        <is>
          <t>Engine ready.</t>
        </is>
      </c>
      <c r="F68" s="33" t="inlineStr">
        <is>
          <t>1. Feed cell '5' with unit 'mm'.</t>
        </is>
      </c>
      <c r="G68" s="33" t="inlineStr">
        <is>
          <t>5 mm</t>
        </is>
      </c>
      <c r="H68" s="33" t="inlineStr">
        <is>
          <t>Stored 5000000.</t>
        </is>
      </c>
      <c r="I68" s="34" t="inlineStr">
        <is>
          <t>Data-Validation</t>
        </is>
      </c>
      <c r="J68" s="34" t="inlineStr">
        <is>
          <t>P1</t>
        </is>
      </c>
      <c r="K68" s="30" t="inlineStr">
        <is>
          <t>Not Executed</t>
        </is>
      </c>
      <c r="L68" s="31" t="inlineStr"/>
      <c r="M68" s="31" t="inlineStr"/>
      <c r="N68" s="31" t="inlineStr"/>
      <c r="O68" s="31" t="inlineStr"/>
    </row>
    <row r="69">
      <c r="A69" s="27" t="inlineStr">
        <is>
          <t>UT-EXX-006</t>
        </is>
      </c>
      <c r="B69" s="28" t="inlineStr">
        <is>
          <t>Extraction - Excel (1b)</t>
        </is>
      </c>
      <c r="C69" s="29" t="inlineStr">
        <is>
          <t>FR-EXT-022</t>
        </is>
      </c>
      <c r="D69" s="28" t="inlineStr">
        <is>
          <t>Verify notional in thousands normalised to absolute.</t>
        </is>
      </c>
      <c r="E69" s="28" t="inlineStr">
        <is>
          <t>Engine ready.</t>
        </is>
      </c>
      <c r="F69" s="28" t="inlineStr">
        <is>
          <t>1. Feed cell '250' with unit 'k'.</t>
        </is>
      </c>
      <c r="G69" s="28" t="inlineStr">
        <is>
          <t>250 k</t>
        </is>
      </c>
      <c r="H69" s="28" t="inlineStr">
        <is>
          <t>Stored 250000.</t>
        </is>
      </c>
      <c r="I69" s="29" t="inlineStr">
        <is>
          <t>Data-Validation</t>
        </is>
      </c>
      <c r="J69" s="29" t="inlineStr">
        <is>
          <t>P2</t>
        </is>
      </c>
      <c r="K69" s="30" t="inlineStr">
        <is>
          <t>Not Executed</t>
        </is>
      </c>
      <c r="L69" s="31" t="inlineStr"/>
      <c r="M69" s="31" t="inlineStr"/>
      <c r="N69" s="31" t="inlineStr"/>
      <c r="O69" s="31" t="inlineStr"/>
    </row>
    <row r="70">
      <c r="A70" s="32" t="inlineStr">
        <is>
          <t>UT-EXX-007</t>
        </is>
      </c>
      <c r="B70" s="33" t="inlineStr">
        <is>
          <t>Extraction - Excel (1b)</t>
        </is>
      </c>
      <c r="C70" s="34" t="inlineStr">
        <is>
          <t>FR-EXT-023</t>
        </is>
      </c>
      <c r="D70" s="33" t="inlineStr">
        <is>
          <t>Verify multi-attachment selection prefers attachment whose headers best match standard set.</t>
        </is>
      </c>
      <c r="E70" s="33" t="inlineStr">
        <is>
          <t>Engine ready.</t>
        </is>
      </c>
      <c r="F70" s="33" t="inlineStr">
        <is>
          <t>1. Feed 2 attachments, 1 trade-data.</t>
        </is>
      </c>
      <c r="G70" s="33" t="inlineStr">
        <is>
          <t>2 attachments</t>
        </is>
      </c>
      <c r="H70" s="33" t="inlineStr">
        <is>
          <t>Best-header-match attachment selected; logged.</t>
        </is>
      </c>
      <c r="I70" s="34" t="inlineStr">
        <is>
          <t>Positive</t>
        </is>
      </c>
      <c r="J70" s="34" t="inlineStr">
        <is>
          <t>P1</t>
        </is>
      </c>
      <c r="K70" s="30" t="inlineStr">
        <is>
          <t>Not Executed</t>
        </is>
      </c>
      <c r="L70" s="31" t="inlineStr"/>
      <c r="M70" s="31" t="inlineStr"/>
      <c r="N70" s="31" t="inlineStr"/>
      <c r="O70" s="31" t="inlineStr"/>
    </row>
    <row r="71">
      <c r="A71" s="27" t="inlineStr">
        <is>
          <t>UT-EXX-008</t>
        </is>
      </c>
      <c r="B71" s="28" t="inlineStr">
        <is>
          <t>Extraction - Excel (1b)</t>
        </is>
      </c>
      <c r="C71" s="29" t="inlineStr">
        <is>
          <t>FR-EXT-023</t>
        </is>
      </c>
      <c r="D71" s="28" t="inlineStr">
        <is>
          <t>Verify tie-break selects first attachment and decision is logged.</t>
        </is>
      </c>
      <c r="E71" s="28" t="inlineStr">
        <is>
          <t>Engine ready.</t>
        </is>
      </c>
      <c r="F71" s="28" t="inlineStr">
        <is>
          <t>1. Feed 2 equally-matching attachments.</t>
        </is>
      </c>
      <c r="G71" s="28" t="inlineStr">
        <is>
          <t>Tie</t>
        </is>
      </c>
      <c r="H71" s="28" t="inlineStr">
        <is>
          <t>First attachment chosen; selection logged.</t>
        </is>
      </c>
      <c r="I71" s="29" t="inlineStr">
        <is>
          <t>Boundary</t>
        </is>
      </c>
      <c r="J71" s="29" t="inlineStr">
        <is>
          <t>P2</t>
        </is>
      </c>
      <c r="K71" s="30" t="inlineStr">
        <is>
          <t>Not Executed</t>
        </is>
      </c>
      <c r="L71" s="31" t="inlineStr"/>
      <c r="M71" s="31" t="inlineStr"/>
      <c r="N71" s="31" t="inlineStr"/>
      <c r="O71" s="31" t="inlineStr"/>
    </row>
    <row r="72">
      <c r="A72" s="32" t="inlineStr">
        <is>
          <t>UT-EXX-009</t>
        </is>
      </c>
      <c r="B72" s="33" t="inlineStr">
        <is>
          <t>Extraction - Excel (1b)</t>
        </is>
      </c>
      <c r="C72" s="34" t="inlineStr">
        <is>
          <t>FR-EXT-024</t>
        </is>
      </c>
      <c r="D72" s="33" t="inlineStr">
        <is>
          <t>Verify password-protected attachment flagged unsupported and surfaced.</t>
        </is>
      </c>
      <c r="E72" s="33" t="inlineStr">
        <is>
          <t>Engine ready.</t>
        </is>
      </c>
      <c r="F72" s="33" t="inlineStr">
        <is>
          <t>1. Feed protected .xlsx.</t>
        </is>
      </c>
      <c r="G72" s="33" t="inlineStr">
        <is>
          <t>Protected file</t>
        </is>
      </c>
      <c r="H72" s="33" t="inlineStr">
        <is>
          <t>Flagged unsupported; surfaced. [PHASE-2+]</t>
        </is>
      </c>
      <c r="I72" s="34" t="inlineStr">
        <is>
          <t>Negative</t>
        </is>
      </c>
      <c r="J72" s="34" t="inlineStr">
        <is>
          <t>P2</t>
        </is>
      </c>
      <c r="K72" s="30" t="inlineStr">
        <is>
          <t>Not Executed</t>
        </is>
      </c>
      <c r="L72" s="31" t="inlineStr"/>
      <c r="M72" s="31" t="inlineStr"/>
      <c r="N72" s="31" t="inlineStr"/>
      <c r="O72" s="31" t="inlineStr"/>
    </row>
    <row r="73">
      <c r="A73" s="27" t="inlineStr">
        <is>
          <t>UT-EXX-010</t>
        </is>
      </c>
      <c r="B73" s="28" t="inlineStr">
        <is>
          <t>Extraction - Excel (1b)</t>
        </is>
      </c>
      <c r="C73" s="29" t="inlineStr">
        <is>
          <t>FR-EXT-025</t>
        </is>
      </c>
      <c r="D73" s="28" t="inlineStr">
        <is>
          <t>Verify corrupt attachment flagged and surfaced for analyst.</t>
        </is>
      </c>
      <c r="E73" s="28" t="inlineStr">
        <is>
          <t>Engine ready.</t>
        </is>
      </c>
      <c r="F73" s="28" t="inlineStr">
        <is>
          <t>1. Feed corrupt file.</t>
        </is>
      </c>
      <c r="G73" s="28" t="inlineStr">
        <is>
          <t>Corrupt file</t>
        </is>
      </c>
      <c r="H73" s="28" t="inlineStr">
        <is>
          <t>Flagged; surfaced for handling.</t>
        </is>
      </c>
      <c r="I73" s="29" t="inlineStr">
        <is>
          <t>Negative</t>
        </is>
      </c>
      <c r="J73" s="29" t="inlineStr">
        <is>
          <t>P2</t>
        </is>
      </c>
      <c r="K73" s="30" t="inlineStr">
        <is>
          <t>Not Executed</t>
        </is>
      </c>
      <c r="L73" s="31" t="inlineStr"/>
      <c r="M73" s="31" t="inlineStr"/>
      <c r="N73" s="31" t="inlineStr"/>
      <c r="O73" s="31" t="inlineStr"/>
    </row>
    <row r="74">
      <c r="A74" s="32" t="inlineStr">
        <is>
          <t>UT-EXX-011</t>
        </is>
      </c>
      <c r="B74" s="33" t="inlineStr">
        <is>
          <t>Extraction - Excel (1b)</t>
        </is>
      </c>
      <c r="C74" s="34" t="inlineStr">
        <is>
          <t>FR-EXT-025</t>
        </is>
      </c>
      <c r="D74" s="33" t="inlineStr">
        <is>
          <t>Verify zero-byte attachment flagged.</t>
        </is>
      </c>
      <c r="E74" s="33" t="inlineStr">
        <is>
          <t>Engine ready.</t>
        </is>
      </c>
      <c r="F74" s="33" t="inlineStr">
        <is>
          <t>1. Feed 0-byte file.</t>
        </is>
      </c>
      <c r="G74" s="33" t="inlineStr">
        <is>
          <t>0-byte file</t>
        </is>
      </c>
      <c r="H74" s="33" t="inlineStr">
        <is>
          <t>Flagged; surfaced for handling.</t>
        </is>
      </c>
      <c r="I74" s="34" t="inlineStr">
        <is>
          <t>Negative</t>
        </is>
      </c>
      <c r="J74" s="34" t="inlineStr">
        <is>
          <t>P2</t>
        </is>
      </c>
      <c r="K74" s="30" t="inlineStr">
        <is>
          <t>Not Executed</t>
        </is>
      </c>
      <c r="L74" s="31" t="inlineStr"/>
      <c r="M74" s="31" t="inlineStr"/>
      <c r="N74" s="31" t="inlineStr"/>
      <c r="O74" s="31" t="inlineStr"/>
    </row>
    <row r="75">
      <c r="A75" s="27" t="inlineStr">
        <is>
          <t>UT-EXX-012</t>
        </is>
      </c>
      <c r="B75" s="28" t="inlineStr">
        <is>
          <t>Extraction - Excel (1b)</t>
        </is>
      </c>
      <c r="C75" s="29" t="inlineStr">
        <is>
          <t>FR-EXT-026</t>
        </is>
      </c>
      <c r="D75" s="28" t="inlineStr">
        <is>
          <t>Verify trade-data + SSI attachment each classified by content type and processed accordingly.</t>
        </is>
      </c>
      <c r="E75" s="28" t="inlineStr">
        <is>
          <t>Engine ready.</t>
        </is>
      </c>
      <c r="F75" s="28" t="inlineStr">
        <is>
          <t>1. Feed trade + SSI attachments.</t>
        </is>
      </c>
      <c r="G75" s="28" t="inlineStr">
        <is>
          <t>2 attachments</t>
        </is>
      </c>
      <c r="H75" s="28" t="inlineStr">
        <is>
          <t>Each classified &amp; processed by type.</t>
        </is>
      </c>
      <c r="I75" s="29" t="inlineStr">
        <is>
          <t>Positive</t>
        </is>
      </c>
      <c r="J75" s="29" t="inlineStr">
        <is>
          <t>P2</t>
        </is>
      </c>
      <c r="K75" s="30" t="inlineStr">
        <is>
          <t>Not Executed</t>
        </is>
      </c>
      <c r="L75" s="31" t="inlineStr"/>
      <c r="M75" s="31" t="inlineStr"/>
      <c r="N75" s="31" t="inlineStr"/>
      <c r="O75" s="31" t="inlineStr"/>
    </row>
    <row r="76">
      <c r="A76" s="32" t="inlineStr">
        <is>
          <t>UT-EXM-001</t>
        </is>
      </c>
      <c r="B76" s="33" t="inlineStr">
        <is>
          <t>Extraction - Multi-trade</t>
        </is>
      </c>
      <c r="C76" s="34" t="inlineStr">
        <is>
          <t>FR-EXT-030</t>
        </is>
      </c>
      <c r="D76" s="33" t="inlineStr">
        <is>
          <t>Verify N trades -&gt; N child records with unique child_id, shared parent_email_id.</t>
        </is>
      </c>
      <c r="E76" s="33" t="inlineStr">
        <is>
          <t>Engine ready.</t>
        </is>
      </c>
      <c r="F76" s="33" t="inlineStr">
        <is>
          <t>1. Feed email with N=4 trades.</t>
        </is>
      </c>
      <c r="G76" s="33" t="inlineStr">
        <is>
          <t>4 trades</t>
        </is>
      </c>
      <c r="H76" s="33" t="inlineStr">
        <is>
          <t>4 children, unique child_id, same parent id.</t>
        </is>
      </c>
      <c r="I76" s="34" t="inlineStr">
        <is>
          <t>Positive</t>
        </is>
      </c>
      <c r="J76" s="34" t="inlineStr">
        <is>
          <t>P1</t>
        </is>
      </c>
      <c r="K76" s="30" t="inlineStr">
        <is>
          <t>Not Executed</t>
        </is>
      </c>
      <c r="L76" s="31" t="inlineStr"/>
      <c r="M76" s="31" t="inlineStr"/>
      <c r="N76" s="31" t="inlineStr"/>
      <c r="O76" s="31" t="inlineStr"/>
    </row>
    <row r="77">
      <c r="A77" s="27" t="inlineStr">
        <is>
          <t>UT-EXM-002</t>
        </is>
      </c>
      <c r="B77" s="28" t="inlineStr">
        <is>
          <t>Extraction - Multi-trade</t>
        </is>
      </c>
      <c r="C77" s="29" t="inlineStr">
        <is>
          <t>FR-EXT-031</t>
        </is>
      </c>
      <c r="D77" s="28" t="inlineStr">
        <is>
          <t>Verify each child independently processed through C5, C6, C7.</t>
        </is>
      </c>
      <c r="E77" s="28" t="inlineStr">
        <is>
          <t>Multi-trade record.</t>
        </is>
      </c>
      <c r="F77" s="28" t="inlineStr">
        <is>
          <t>1. Progress children through pipeline.</t>
        </is>
      </c>
      <c r="G77" s="28" t="inlineStr">
        <is>
          <t>4 children</t>
        </is>
      </c>
      <c r="H77" s="28" t="inlineStr">
        <is>
          <t>Each child flows independently.</t>
        </is>
      </c>
      <c r="I77" s="29" t="inlineStr">
        <is>
          <t>Positive</t>
        </is>
      </c>
      <c r="J77" s="29" t="inlineStr">
        <is>
          <t>P1</t>
        </is>
      </c>
      <c r="K77" s="30" t="inlineStr">
        <is>
          <t>Not Executed</t>
        </is>
      </c>
      <c r="L77" s="31" t="inlineStr"/>
      <c r="M77" s="31" t="inlineStr"/>
      <c r="N77" s="31" t="inlineStr"/>
      <c r="O77" s="31" t="inlineStr"/>
    </row>
    <row r="78">
      <c r="A78" s="32" t="inlineStr">
        <is>
          <t>UT-EXM-003</t>
        </is>
      </c>
      <c r="B78" s="33" t="inlineStr">
        <is>
          <t>Extraction - Multi-trade</t>
        </is>
      </c>
      <c r="C78" s="34" t="inlineStr">
        <is>
          <t>FR-EXT-032</t>
        </is>
      </c>
      <c r="D78" s="33" t="inlineStr">
        <is>
          <t>Verify one child's status does not block sibling children.</t>
        </is>
      </c>
      <c r="E78" s="33" t="inlineStr">
        <is>
          <t>Multi-trade record.</t>
        </is>
      </c>
      <c r="F78" s="33" t="inlineStr">
        <is>
          <t>1. Block one child (error).
2. Observe siblings.</t>
        </is>
      </c>
      <c r="G78" s="33" t="inlineStr">
        <is>
          <t>1 child errored</t>
        </is>
      </c>
      <c r="H78" s="33" t="inlineStr">
        <is>
          <t>Siblings continue unaffected.</t>
        </is>
      </c>
      <c r="I78" s="34" t="inlineStr">
        <is>
          <t>Negative</t>
        </is>
      </c>
      <c r="J78" s="34" t="inlineStr">
        <is>
          <t>P1</t>
        </is>
      </c>
      <c r="K78" s="30" t="inlineStr">
        <is>
          <t>Not Executed</t>
        </is>
      </c>
      <c r="L78" s="31" t="inlineStr"/>
      <c r="M78" s="31" t="inlineStr"/>
      <c r="N78" s="31" t="inlineStr"/>
      <c r="O78" s="31" t="inlineStr"/>
    </row>
    <row r="79">
      <c r="A79" s="27" t="inlineStr">
        <is>
          <t>UT-EXM-004</t>
        </is>
      </c>
      <c r="B79" s="28" t="inlineStr">
        <is>
          <t>Extraction - Multi-trade</t>
        </is>
      </c>
      <c r="C79" s="29" t="inlineStr">
        <is>
          <t>FR-EXT-033</t>
        </is>
      </c>
      <c r="D79" s="28" t="inlineStr">
        <is>
          <t>Verify parent resolved only when all children reach terminal state.</t>
        </is>
      </c>
      <c r="E79" s="28" t="inlineStr">
        <is>
          <t>Multi-trade record.</t>
        </is>
      </c>
      <c r="F79" s="28" t="inlineStr">
        <is>
          <t>1. Resolve children one by one.</t>
        </is>
      </c>
      <c r="G79" s="28" t="inlineStr">
        <is>
          <t>Staged resolve</t>
        </is>
      </c>
      <c r="H79" s="28" t="inlineStr">
        <is>
          <t>Parent resolved only after last child terminal.</t>
        </is>
      </c>
      <c r="I79" s="29" t="inlineStr">
        <is>
          <t>Positive</t>
        </is>
      </c>
      <c r="J79" s="29" t="inlineStr">
        <is>
          <t>P2</t>
        </is>
      </c>
      <c r="K79" s="30" t="inlineStr">
        <is>
          <t>Not Executed</t>
        </is>
      </c>
      <c r="L79" s="31" t="inlineStr"/>
      <c r="M79" s="31" t="inlineStr"/>
      <c r="N79" s="31" t="inlineStr"/>
      <c r="O79" s="31" t="inlineStr"/>
    </row>
    <row r="80">
      <c r="A80" s="32" t="inlineStr">
        <is>
          <t>UT-MT1-001</t>
        </is>
      </c>
      <c r="B80" s="33" t="inlineStr">
        <is>
          <t>Matcher - Tier 1</t>
        </is>
      </c>
      <c r="C80" s="34" t="inlineStr">
        <is>
          <t>FR-MTH-001</t>
        </is>
      </c>
      <c r="D80" s="33" t="inlineStr">
        <is>
          <t>Verify Tier-1 query uses all confirmed economic fields with status=not_settled filter.</t>
        </is>
      </c>
      <c r="E80" s="33" t="inlineStr">
        <is>
          <t>Confirmed cashflow.</t>
        </is>
      </c>
      <c r="F80" s="33" t="inlineStr">
        <is>
          <t>1. Trigger match.
2. Inspect query.</t>
        </is>
      </c>
      <c r="G80" s="33" t="inlineStr">
        <is>
          <t>Confirmed record</t>
        </is>
      </c>
      <c r="H80" s="33" t="inlineStr">
        <is>
          <t>Query includes name, entity, ccy pair, notional, direction, value_date; not_settled.</t>
        </is>
      </c>
      <c r="I80" s="34" t="inlineStr">
        <is>
          <t>Positive</t>
        </is>
      </c>
      <c r="J80" s="34" t="inlineStr">
        <is>
          <t>P1</t>
        </is>
      </c>
      <c r="K80" s="30" t="inlineStr">
        <is>
          <t>Not Executed</t>
        </is>
      </c>
      <c r="L80" s="31" t="inlineStr"/>
      <c r="M80" s="31" t="inlineStr"/>
      <c r="N80" s="31" t="inlineStr"/>
      <c r="O80" s="31" t="inlineStr"/>
    </row>
    <row r="81">
      <c r="A81" s="27" t="inlineStr">
        <is>
          <t>UT-MT1-002</t>
        </is>
      </c>
      <c r="B81" s="28" t="inlineStr">
        <is>
          <t>Matcher - Tier 1</t>
        </is>
      </c>
      <c r="C81" s="29" t="inlineStr">
        <is>
          <t>FR-MTH-002</t>
        </is>
      </c>
      <c r="D81" s="28" t="inlineStr">
        <is>
          <t>Verify counterparty_ref added as extra filter when present.</t>
        </is>
      </c>
      <c r="E81" s="28" t="inlineStr">
        <is>
          <t>Record has ref.</t>
        </is>
      </c>
      <c r="F81" s="28" t="inlineStr">
        <is>
          <t>1. Trigger match.
2. Inspect query filters.</t>
        </is>
      </c>
      <c r="G81" s="28" t="inlineStr">
        <is>
          <t>ref present</t>
        </is>
      </c>
      <c r="H81" s="28" t="inlineStr">
        <is>
          <t>counterparty_ref included in query.</t>
        </is>
      </c>
      <c r="I81" s="29" t="inlineStr">
        <is>
          <t>Positive</t>
        </is>
      </c>
      <c r="J81" s="29" t="inlineStr">
        <is>
          <t>P2</t>
        </is>
      </c>
      <c r="K81" s="30" t="inlineStr">
        <is>
          <t>Not Executed</t>
        </is>
      </c>
      <c r="L81" s="31" t="inlineStr"/>
      <c r="M81" s="31" t="inlineStr"/>
      <c r="N81" s="31" t="inlineStr"/>
      <c r="O81" s="31" t="inlineStr"/>
    </row>
    <row r="82">
      <c r="A82" s="32" t="inlineStr">
        <is>
          <t>UT-MT1-003</t>
        </is>
      </c>
      <c r="B82" s="33" t="inlineStr">
        <is>
          <t>Matcher - Tier 1</t>
        </is>
      </c>
      <c r="C82" s="34" t="inlineStr">
        <is>
          <t>FR-MTH-003</t>
        </is>
      </c>
      <c r="D82" s="33" t="inlineStr">
        <is>
          <t>Verify single not_settled candidate -&gt; outcome MATCHED (Tier 1).</t>
        </is>
      </c>
      <c r="E82" s="33" t="inlineStr">
        <is>
          <t>PCM has one not_settled match.</t>
        </is>
      </c>
      <c r="F82" s="33" t="inlineStr">
        <is>
          <t>1. Run match.</t>
        </is>
      </c>
      <c r="G82" s="33" t="inlineStr">
        <is>
          <t>1 not_settled</t>
        </is>
      </c>
      <c r="H82" s="33" t="inlineStr">
        <is>
          <t>Outcome = MATCHED.</t>
        </is>
      </c>
      <c r="I82" s="34" t="inlineStr">
        <is>
          <t>Positive</t>
        </is>
      </c>
      <c r="J82" s="34" t="inlineStr">
        <is>
          <t>P1</t>
        </is>
      </c>
      <c r="K82" s="30" t="inlineStr">
        <is>
          <t>Not Executed</t>
        </is>
      </c>
      <c r="L82" s="31" t="inlineStr"/>
      <c r="M82" s="31" t="inlineStr"/>
      <c r="N82" s="31" t="inlineStr"/>
      <c r="O82" s="31" t="inlineStr"/>
    </row>
    <row r="83">
      <c r="A83" s="27" t="inlineStr">
        <is>
          <t>UT-MT1-004</t>
        </is>
      </c>
      <c r="B83" s="28" t="inlineStr">
        <is>
          <t>Matcher - Tier 1</t>
        </is>
      </c>
      <c r="C83" s="29" t="inlineStr">
        <is>
          <t>FR-MTH-004</t>
        </is>
      </c>
      <c r="D83" s="28" t="inlineStr">
        <is>
          <t>Verify single settled candidate -&gt; MATCHED_BUT_SETTLED (distinct exception).</t>
        </is>
      </c>
      <c r="E83" s="28" t="inlineStr">
        <is>
          <t>PCM has one settled match.</t>
        </is>
      </c>
      <c r="F83" s="28" t="inlineStr">
        <is>
          <t>1. Run match.</t>
        </is>
      </c>
      <c r="G83" s="28" t="inlineStr">
        <is>
          <t>1 settled</t>
        </is>
      </c>
      <c r="H83" s="28" t="inlineStr">
        <is>
          <t>Outcome = MATCHED_BUT_SETTLED.</t>
        </is>
      </c>
      <c r="I83" s="29" t="inlineStr">
        <is>
          <t>Positive</t>
        </is>
      </c>
      <c r="J83" s="29" t="inlineStr">
        <is>
          <t>P1</t>
        </is>
      </c>
      <c r="K83" s="30" t="inlineStr">
        <is>
          <t>Not Executed</t>
        </is>
      </c>
      <c r="L83" s="31" t="inlineStr"/>
      <c r="M83" s="31" t="inlineStr"/>
      <c r="N83" s="31" t="inlineStr"/>
      <c r="O83" s="31" t="inlineStr"/>
    </row>
    <row r="84">
      <c r="A84" s="32" t="inlineStr">
        <is>
          <t>UT-MT1-005</t>
        </is>
      </c>
      <c r="B84" s="33" t="inlineStr">
        <is>
          <t>Matcher - Tier 1</t>
        </is>
      </c>
      <c r="C84" s="34" t="inlineStr">
        <is>
          <t>FR-MTH-005</t>
        </is>
      </c>
      <c r="D84" s="33" t="inlineStr">
        <is>
          <t>Verify multiple candidates -&gt; MULTIPLE_CANDIDATES_T1 surfaced with field-level deltas.</t>
        </is>
      </c>
      <c r="E84" s="33" t="inlineStr">
        <is>
          <t>PCM has &gt;1 candidate.</t>
        </is>
      </c>
      <c r="F84" s="33" t="inlineStr">
        <is>
          <t>1. Run match.</t>
        </is>
      </c>
      <c r="G84" s="33" t="inlineStr">
        <is>
          <t>2 candidates</t>
        </is>
      </c>
      <c r="H84" s="33" t="inlineStr">
        <is>
          <t>All surfaced with per-field deltas.</t>
        </is>
      </c>
      <c r="I84" s="34" t="inlineStr">
        <is>
          <t>Positive</t>
        </is>
      </c>
      <c r="J84" s="34" t="inlineStr">
        <is>
          <t>P1</t>
        </is>
      </c>
      <c r="K84" s="30" t="inlineStr">
        <is>
          <t>Not Executed</t>
        </is>
      </c>
      <c r="L84" s="31" t="inlineStr"/>
      <c r="M84" s="31" t="inlineStr"/>
      <c r="N84" s="31" t="inlineStr"/>
      <c r="O84" s="31" t="inlineStr"/>
    </row>
    <row r="85">
      <c r="A85" s="27" t="inlineStr">
        <is>
          <t>UT-MT1-006</t>
        </is>
      </c>
      <c r="B85" s="28" t="inlineStr">
        <is>
          <t>Matcher - Tier 1</t>
        </is>
      </c>
      <c r="C85" s="29" t="inlineStr">
        <is>
          <t>FR-MTH-006</t>
        </is>
      </c>
      <c r="D85" s="28" t="inlineStr">
        <is>
          <t>Verify no Tier-1 candidate -&gt; proceed to Tier 2.</t>
        </is>
      </c>
      <c r="E85" s="28" t="inlineStr">
        <is>
          <t>PCM has no exact match.</t>
        </is>
      </c>
      <c r="F85" s="28" t="inlineStr">
        <is>
          <t>1. Run match.</t>
        </is>
      </c>
      <c r="G85" s="28" t="inlineStr">
        <is>
          <t>0 candidates</t>
        </is>
      </c>
      <c r="H85" s="28" t="inlineStr">
        <is>
          <t>Matcher proceeds to Tier 2.</t>
        </is>
      </c>
      <c r="I85" s="29" t="inlineStr">
        <is>
          <t>Positive</t>
        </is>
      </c>
      <c r="J85" s="29" t="inlineStr">
        <is>
          <t>P1</t>
        </is>
      </c>
      <c r="K85" s="30" t="inlineStr">
        <is>
          <t>Not Executed</t>
        </is>
      </c>
      <c r="L85" s="31" t="inlineStr"/>
      <c r="M85" s="31" t="inlineStr"/>
      <c r="N85" s="31" t="inlineStr"/>
      <c r="O85" s="31" t="inlineStr"/>
    </row>
    <row r="86">
      <c r="A86" s="32" t="inlineStr">
        <is>
          <t>UT-MT2-001</t>
        </is>
      </c>
      <c r="B86" s="33" t="inlineStr">
        <is>
          <t>Matcher - Tier 2</t>
        </is>
      </c>
      <c r="C86" s="34" t="inlineStr">
        <is>
          <t>FR-MTH-010</t>
        </is>
      </c>
      <c r="D86" s="33" t="inlineStr">
        <is>
          <t>Verify fuzzy name match on counterparty_name and nomura_entity.</t>
        </is>
      </c>
      <c r="E86" s="33" t="inlineStr">
        <is>
          <t>No Tier-1 hit.</t>
        </is>
      </c>
      <c r="F86" s="33" t="inlineStr">
        <is>
          <t>1. Run Tier 2 with near-name.</t>
        </is>
      </c>
      <c r="G86" s="33" t="inlineStr">
        <is>
          <t>'Barclays Bk'</t>
        </is>
      </c>
      <c r="H86" s="33" t="inlineStr">
        <is>
          <t>Fuzzy-matched to 'Barclays Bank'.</t>
        </is>
      </c>
      <c r="I86" s="34" t="inlineStr">
        <is>
          <t>Positive</t>
        </is>
      </c>
      <c r="J86" s="34" t="inlineStr">
        <is>
          <t>P1</t>
        </is>
      </c>
      <c r="K86" s="30" t="inlineStr">
        <is>
          <t>Not Executed</t>
        </is>
      </c>
      <c r="L86" s="31" t="inlineStr"/>
      <c r="M86" s="31" t="inlineStr"/>
      <c r="N86" s="31" t="inlineStr"/>
      <c r="O86" s="31" t="inlineStr"/>
    </row>
    <row r="87">
      <c r="A87" s="27" t="inlineStr">
        <is>
          <t>UT-MT2-002</t>
        </is>
      </c>
      <c r="B87" s="28" t="inlineStr">
        <is>
          <t>Matcher - Tier 2</t>
        </is>
      </c>
      <c r="C87" s="29" t="inlineStr">
        <is>
          <t>FR-MTH-010</t>
        </is>
      </c>
      <c r="D87" s="28" t="inlineStr">
        <is>
          <t>Verify notional tolerance +/-$50 equivalent (configurable) applied.</t>
        </is>
      </c>
      <c r="E87" s="28" t="inlineStr">
        <is>
          <t>t2_notional_tolerance=50.</t>
        </is>
      </c>
      <c r="F87" s="28" t="inlineStr">
        <is>
          <t>1. Candidate notional differs by $40.</t>
        </is>
      </c>
      <c r="G87" s="28" t="inlineStr">
        <is>
          <t>diff $40</t>
        </is>
      </c>
      <c r="H87" s="28" t="inlineStr">
        <is>
          <t>Within tolerance -&gt; candidate returned.</t>
        </is>
      </c>
      <c r="I87" s="29" t="inlineStr">
        <is>
          <t>Boundary</t>
        </is>
      </c>
      <c r="J87" s="29" t="inlineStr">
        <is>
          <t>P1</t>
        </is>
      </c>
      <c r="K87" s="30" t="inlineStr">
        <is>
          <t>Not Executed</t>
        </is>
      </c>
      <c r="L87" s="31" t="inlineStr"/>
      <c r="M87" s="31" t="inlineStr"/>
      <c r="N87" s="31" t="inlineStr"/>
      <c r="O87" s="31" t="inlineStr"/>
    </row>
    <row r="88">
      <c r="A88" s="32" t="inlineStr">
        <is>
          <t>UT-MT2-003</t>
        </is>
      </c>
      <c r="B88" s="33" t="inlineStr">
        <is>
          <t>Matcher - Tier 2</t>
        </is>
      </c>
      <c r="C88" s="34" t="inlineStr">
        <is>
          <t>FR-MTH-010</t>
        </is>
      </c>
      <c r="D88" s="33" t="inlineStr">
        <is>
          <t>Verify value_date tolerance +/-Z business days applied.</t>
        </is>
      </c>
      <c r="E88" s="33" t="inlineStr">
        <is>
          <t>t2_vdate_tolerance=2.</t>
        </is>
      </c>
      <c r="F88" s="33" t="inlineStr">
        <is>
          <t>1. Candidate value_date +2 bdays.</t>
        </is>
      </c>
      <c r="G88" s="33" t="inlineStr">
        <is>
          <t>+2 bdays</t>
        </is>
      </c>
      <c r="H88" s="33" t="inlineStr">
        <is>
          <t>Within tolerance -&gt; candidate returned.</t>
        </is>
      </c>
      <c r="I88" s="34" t="inlineStr">
        <is>
          <t>Boundary</t>
        </is>
      </c>
      <c r="J88" s="34" t="inlineStr">
        <is>
          <t>P1</t>
        </is>
      </c>
      <c r="K88" s="30" t="inlineStr">
        <is>
          <t>Not Executed</t>
        </is>
      </c>
      <c r="L88" s="31" t="inlineStr"/>
      <c r="M88" s="31" t="inlineStr"/>
      <c r="N88" s="31" t="inlineStr"/>
      <c r="O88" s="31" t="inlineStr"/>
    </row>
    <row r="89">
      <c r="A89" s="27" t="inlineStr">
        <is>
          <t>UT-MT2-004</t>
        </is>
      </c>
      <c r="B89" s="28" t="inlineStr">
        <is>
          <t>Matcher - Tier 2</t>
        </is>
      </c>
      <c r="C89" s="29" t="inlineStr">
        <is>
          <t>FR-MTH-010</t>
        </is>
      </c>
      <c r="D89" s="28" t="inlineStr">
        <is>
          <t>Verify all non-tolerance fields remain exact at Tier 2.</t>
        </is>
      </c>
      <c r="E89" s="28" t="inlineStr">
        <is>
          <t>Tier 2 active.</t>
        </is>
      </c>
      <c r="F89" s="28" t="inlineStr">
        <is>
          <t>1. Alter direction on candidate.</t>
        </is>
      </c>
      <c r="G89" s="28" t="inlineStr">
        <is>
          <t>direction differs</t>
        </is>
      </c>
      <c r="H89" s="28" t="inlineStr">
        <is>
          <t>Not matched (non-tolerance field must be exact).</t>
        </is>
      </c>
      <c r="I89" s="29" t="inlineStr">
        <is>
          <t>Negative</t>
        </is>
      </c>
      <c r="J89" s="29" t="inlineStr">
        <is>
          <t>P2</t>
        </is>
      </c>
      <c r="K89" s="30" t="inlineStr">
        <is>
          <t>Not Executed</t>
        </is>
      </c>
      <c r="L89" s="31" t="inlineStr"/>
      <c r="M89" s="31" t="inlineStr"/>
      <c r="N89" s="31" t="inlineStr"/>
      <c r="O89" s="31" t="inlineStr"/>
    </row>
    <row r="90">
      <c r="A90" s="32" t="inlineStr">
        <is>
          <t>UT-MT2-005</t>
        </is>
      </c>
      <c r="B90" s="33" t="inlineStr">
        <is>
          <t>Matcher - Tier 2</t>
        </is>
      </c>
      <c r="C90" s="34" t="inlineStr">
        <is>
          <t>FR-MTH-011</t>
        </is>
      </c>
      <c r="D90" s="33" t="inlineStr">
        <is>
          <t>Verify business-day calc excludes Saturdays and Sundays.</t>
        </is>
      </c>
      <c r="E90" s="33" t="inlineStr">
        <is>
          <t>Tier 2 active.</t>
        </is>
      </c>
      <c r="F90" s="33" t="inlineStr">
        <is>
          <t>1. value_date spans a weekend.</t>
        </is>
      </c>
      <c r="G90" s="33" t="inlineStr">
        <is>
          <t>weekend span</t>
        </is>
      </c>
      <c r="H90" s="33" t="inlineStr">
        <is>
          <t>Weekend days excluded from tolerance count.</t>
        </is>
      </c>
      <c r="I90" s="34" t="inlineStr">
        <is>
          <t>Positive</t>
        </is>
      </c>
      <c r="J90" s="34" t="inlineStr">
        <is>
          <t>P2</t>
        </is>
      </c>
      <c r="K90" s="30" t="inlineStr">
        <is>
          <t>Not Executed</t>
        </is>
      </c>
      <c r="L90" s="31" t="inlineStr"/>
      <c r="M90" s="31" t="inlineStr"/>
      <c r="N90" s="31" t="inlineStr"/>
      <c r="O90" s="31" t="inlineStr"/>
    </row>
    <row r="91">
      <c r="A91" s="27" t="inlineStr">
        <is>
          <t>UT-MT2-006</t>
        </is>
      </c>
      <c r="B91" s="28" t="inlineStr">
        <is>
          <t>Matcher - Tier 2</t>
        </is>
      </c>
      <c r="C91" s="29" t="inlineStr">
        <is>
          <t>FR-MTH-011</t>
        </is>
      </c>
      <c r="D91" s="28" t="inlineStr">
        <is>
          <t>Verify currency holidays (Thomas Murray/Takara) excluded from business days.</t>
        </is>
      </c>
      <c r="E91" s="28" t="inlineStr">
        <is>
          <t>Holiday calendar loaded.</t>
        </is>
      </c>
      <c r="F91" s="28" t="inlineStr">
        <is>
          <t>1. value_date spans a ccy holiday.</t>
        </is>
      </c>
      <c r="G91" s="28" t="inlineStr">
        <is>
          <t>ccy holiday</t>
        </is>
      </c>
      <c r="H91" s="28" t="inlineStr">
        <is>
          <t>Currency-holiday day excluded.</t>
        </is>
      </c>
      <c r="I91" s="29" t="inlineStr">
        <is>
          <t>Positive</t>
        </is>
      </c>
      <c r="J91" s="29" t="inlineStr">
        <is>
          <t>P2</t>
        </is>
      </c>
      <c r="K91" s="30" t="inlineStr">
        <is>
          <t>Not Executed</t>
        </is>
      </c>
      <c r="L91" s="31" t="inlineStr"/>
      <c r="M91" s="31" t="inlineStr"/>
      <c r="N91" s="31" t="inlineStr"/>
      <c r="O91" s="31" t="inlineStr"/>
    </row>
    <row r="92">
      <c r="A92" s="32" t="inlineStr">
        <is>
          <t>UT-MT2-007</t>
        </is>
      </c>
      <c r="B92" s="33" t="inlineStr">
        <is>
          <t>Matcher - Tier 2</t>
        </is>
      </c>
      <c r="C92" s="34" t="inlineStr">
        <is>
          <t>FR-MTH-011</t>
        </is>
      </c>
      <c r="D92" s="33" t="inlineStr">
        <is>
          <t>Verify bank holidays (Takara) excluded from business days.</t>
        </is>
      </c>
      <c r="E92" s="33" t="inlineStr">
        <is>
          <t>Holiday calendar loaded.</t>
        </is>
      </c>
      <c r="F92" s="33" t="inlineStr">
        <is>
          <t>1. value_date spans a bank holiday.</t>
        </is>
      </c>
      <c r="G92" s="33" t="inlineStr">
        <is>
          <t>bank holiday</t>
        </is>
      </c>
      <c r="H92" s="33" t="inlineStr">
        <is>
          <t>Bank-holiday day excluded.</t>
        </is>
      </c>
      <c r="I92" s="34" t="inlineStr">
        <is>
          <t>Positive</t>
        </is>
      </c>
      <c r="J92" s="34" t="inlineStr">
        <is>
          <t>P2</t>
        </is>
      </c>
      <c r="K92" s="30" t="inlineStr">
        <is>
          <t>Not Executed</t>
        </is>
      </c>
      <c r="L92" s="31" t="inlineStr"/>
      <c r="M92" s="31" t="inlineStr"/>
      <c r="N92" s="31" t="inlineStr"/>
      <c r="O92" s="31" t="inlineStr"/>
    </row>
    <row r="93">
      <c r="A93" s="27" t="inlineStr">
        <is>
          <t>UT-MT2-008</t>
        </is>
      </c>
      <c r="B93" s="28" t="inlineStr">
        <is>
          <t>Matcher - Tier 2</t>
        </is>
      </c>
      <c r="C93" s="29" t="inlineStr">
        <is>
          <t>FR-MTH-012</t>
        </is>
      </c>
      <c r="D93" s="28" t="inlineStr">
        <is>
          <t>Verify ranking: smallest absolute difference from extracted value first.</t>
        </is>
      </c>
      <c r="E93" s="28" t="inlineStr">
        <is>
          <t>Multiple Tier-2 candidates.</t>
        </is>
      </c>
      <c r="F93" s="28" t="inlineStr">
        <is>
          <t>1. Candidates diff by 10,20,30.</t>
        </is>
      </c>
      <c r="G93" s="28" t="inlineStr">
        <is>
          <t>diffs 10/20/30</t>
        </is>
      </c>
      <c r="H93" s="28" t="inlineStr">
        <is>
          <t>Ordered 10,20,30 (smallest first).</t>
        </is>
      </c>
      <c r="I93" s="29" t="inlineStr">
        <is>
          <t>Positive</t>
        </is>
      </c>
      <c r="J93" s="29" t="inlineStr">
        <is>
          <t>P1</t>
        </is>
      </c>
      <c r="K93" s="30" t="inlineStr">
        <is>
          <t>Not Executed</t>
        </is>
      </c>
      <c r="L93" s="31" t="inlineStr"/>
      <c r="M93" s="31" t="inlineStr"/>
      <c r="N93" s="31" t="inlineStr"/>
      <c r="O93" s="31" t="inlineStr"/>
    </row>
    <row r="94">
      <c r="A94" s="32" t="inlineStr">
        <is>
          <t>UT-MT2-009</t>
        </is>
      </c>
      <c r="B94" s="33" t="inlineStr">
        <is>
          <t>Matcher - Tier 2</t>
        </is>
      </c>
      <c r="C94" s="34" t="inlineStr">
        <is>
          <t>FR-MTH-012</t>
        </is>
      </c>
      <c r="D94" s="33" t="inlineStr">
        <is>
          <t>Verify positive difference ordered before negative within same absolute magnitude.</t>
        </is>
      </c>
      <c r="E94" s="33" t="inlineStr">
        <is>
          <t>Two candidates +/-20.</t>
        </is>
      </c>
      <c r="F94" s="33" t="inlineStr">
        <is>
          <t>1. Candidates diff +20 and -20.</t>
        </is>
      </c>
      <c r="G94" s="33" t="inlineStr">
        <is>
          <t>+20 / -20</t>
        </is>
      </c>
      <c r="H94" s="33" t="inlineStr">
        <is>
          <t>+20 ranked before -20.</t>
        </is>
      </c>
      <c r="I94" s="34" t="inlineStr">
        <is>
          <t>Boundary</t>
        </is>
      </c>
      <c r="J94" s="34" t="inlineStr">
        <is>
          <t>P2</t>
        </is>
      </c>
      <c r="K94" s="30" t="inlineStr">
        <is>
          <t>Not Executed</t>
        </is>
      </c>
      <c r="L94" s="31" t="inlineStr"/>
      <c r="M94" s="31" t="inlineStr"/>
      <c r="N94" s="31" t="inlineStr"/>
      <c r="O94" s="31" t="inlineStr"/>
    </row>
    <row r="95">
      <c r="A95" s="27" t="inlineStr">
        <is>
          <t>UT-MT2-010</t>
        </is>
      </c>
      <c r="B95" s="28" t="inlineStr">
        <is>
          <t>Matcher - Tier 2</t>
        </is>
      </c>
      <c r="C95" s="29" t="inlineStr">
        <is>
          <t>FR-MTH-013</t>
        </is>
      </c>
      <c r="D95" s="28" t="inlineStr">
        <is>
          <t>Verify Tier-2 results surfaced with producing tier, field-level deltas, confidence indication.</t>
        </is>
      </c>
      <c r="E95" s="28" t="inlineStr">
        <is>
          <t>Tier-2 candidate found.</t>
        </is>
      </c>
      <c r="F95" s="28" t="inlineStr">
        <is>
          <t>1. Inspect surfaced result.</t>
        </is>
      </c>
      <c r="G95" s="28" t="inlineStr">
        <is>
          <t>Tier-2 hit</t>
        </is>
      </c>
      <c r="H95" s="28" t="inlineStr">
        <is>
          <t>Shows tier, deltas, confidence.</t>
        </is>
      </c>
      <c r="I95" s="29" t="inlineStr">
        <is>
          <t>Positive</t>
        </is>
      </c>
      <c r="J95" s="29" t="inlineStr">
        <is>
          <t>P2</t>
        </is>
      </c>
      <c r="K95" s="30" t="inlineStr">
        <is>
          <t>Not Executed</t>
        </is>
      </c>
      <c r="L95" s="31" t="inlineStr"/>
      <c r="M95" s="31" t="inlineStr"/>
      <c r="N95" s="31" t="inlineStr"/>
      <c r="O95" s="31" t="inlineStr"/>
    </row>
    <row r="96">
      <c r="A96" s="32" t="inlineStr">
        <is>
          <t>UT-MT2-011</t>
        </is>
      </c>
      <c r="B96" s="33" t="inlineStr">
        <is>
          <t>Matcher - Tier 2</t>
        </is>
      </c>
      <c r="C96" s="34" t="inlineStr">
        <is>
          <t>FR-MTH-014</t>
        </is>
      </c>
      <c r="D96" s="33" t="inlineStr">
        <is>
          <t>Verify no candidate within tolerance -&gt; proceed to Tier 3.</t>
        </is>
      </c>
      <c r="E96" s="33" t="inlineStr">
        <is>
          <t>No Tier-2 hit.</t>
        </is>
      </c>
      <c r="F96" s="33" t="inlineStr">
        <is>
          <t>1. Run Tier 2.</t>
        </is>
      </c>
      <c r="G96" s="33" t="inlineStr">
        <is>
          <t>out of tolerance</t>
        </is>
      </c>
      <c r="H96" s="33" t="inlineStr">
        <is>
          <t>Matcher proceeds to Tier 3.</t>
        </is>
      </c>
      <c r="I96" s="34" t="inlineStr">
        <is>
          <t>Positive</t>
        </is>
      </c>
      <c r="J96" s="34" t="inlineStr">
        <is>
          <t>P1</t>
        </is>
      </c>
      <c r="K96" s="30" t="inlineStr">
        <is>
          <t>Not Executed</t>
        </is>
      </c>
      <c r="L96" s="31" t="inlineStr"/>
      <c r="M96" s="31" t="inlineStr"/>
      <c r="N96" s="31" t="inlineStr"/>
      <c r="O96" s="31" t="inlineStr"/>
    </row>
    <row r="97">
      <c r="A97" s="27" t="inlineStr">
        <is>
          <t>UT-MT2-012</t>
        </is>
      </c>
      <c r="B97" s="28" t="inlineStr">
        <is>
          <t>Matcher - Tier 2</t>
        </is>
      </c>
      <c r="C97" s="29" t="inlineStr">
        <is>
          <t>FR-MTH-015</t>
        </is>
      </c>
      <c r="D97" s="28" t="inlineStr">
        <is>
          <t>Verify tolerance values configurable per product without code deploy.</t>
        </is>
      </c>
      <c r="E97" s="28" t="inlineStr">
        <is>
          <t>Admin session.</t>
        </is>
      </c>
      <c r="F97" s="28" t="inlineStr">
        <is>
          <t>1. Change tolerance for product X.</t>
        </is>
      </c>
      <c r="G97" s="28" t="inlineStr">
        <is>
          <t>product tol</t>
        </is>
      </c>
      <c r="H97" s="28" t="inlineStr">
        <is>
          <t>Tolerance applied per product; no redeploy.</t>
        </is>
      </c>
      <c r="I97" s="29" t="inlineStr">
        <is>
          <t>Config</t>
        </is>
      </c>
      <c r="J97" s="29" t="inlineStr">
        <is>
          <t>P2</t>
        </is>
      </c>
      <c r="K97" s="30" t="inlineStr">
        <is>
          <t>Not Executed</t>
        </is>
      </c>
      <c r="L97" s="31" t="inlineStr"/>
      <c r="M97" s="31" t="inlineStr"/>
      <c r="N97" s="31" t="inlineStr"/>
      <c r="O97" s="31" t="inlineStr"/>
    </row>
    <row r="98">
      <c r="A98" s="32" t="inlineStr">
        <is>
          <t>UT-MT2-013</t>
        </is>
      </c>
      <c r="B98" s="33" t="inlineStr">
        <is>
          <t>Matcher - Tier 2</t>
        </is>
      </c>
      <c r="C98" s="34" t="inlineStr">
        <is>
          <t>FR-MTH-010</t>
        </is>
      </c>
      <c r="D98" s="33" t="inlineStr">
        <is>
          <t>Verify boundary: notional difference exactly at the +/-$50 edge.</t>
        </is>
      </c>
      <c r="E98" s="33" t="inlineStr">
        <is>
          <t>t2_notional_tolerance=50.</t>
        </is>
      </c>
      <c r="F98" s="33" t="inlineStr">
        <is>
          <t>1. Candidate diff exactly $50.</t>
        </is>
      </c>
      <c r="G98" s="33" t="inlineStr">
        <is>
          <t>diff $50</t>
        </is>
      </c>
      <c r="H98" s="33" t="inlineStr">
        <is>
          <t>Treated as within tolerance (inclusive edge).</t>
        </is>
      </c>
      <c r="I98" s="34" t="inlineStr">
        <is>
          <t>Boundary</t>
        </is>
      </c>
      <c r="J98" s="34" t="inlineStr">
        <is>
          <t>P2</t>
        </is>
      </c>
      <c r="K98" s="30" t="inlineStr">
        <is>
          <t>Not Executed</t>
        </is>
      </c>
      <c r="L98" s="31" t="inlineStr"/>
      <c r="M98" s="31" t="inlineStr"/>
      <c r="N98" s="31" t="inlineStr"/>
      <c r="O98" s="31" t="inlineStr"/>
    </row>
    <row r="99">
      <c r="A99" s="27" t="inlineStr">
        <is>
          <t>UT-MT3-001</t>
        </is>
      </c>
      <c r="B99" s="28" t="inlineStr">
        <is>
          <t>Matcher - Tier 3</t>
        </is>
      </c>
      <c r="C99" s="29" t="inlineStr">
        <is>
          <t>FR-MTH-020</t>
        </is>
      </c>
      <c r="D99" s="28" t="inlineStr">
        <is>
          <t>Verify Tier 3 drops counterparty filter and searches ccy_pair/notional(exact)/direction/value_date(exact)/entity.</t>
        </is>
      </c>
      <c r="E99" s="28" t="inlineStr">
        <is>
          <t>No Tier-2 hit.</t>
        </is>
      </c>
      <c r="F99" s="28" t="inlineStr">
        <is>
          <t>1. Run Tier 3.
2. Inspect query.</t>
        </is>
      </c>
      <c r="G99" s="28" t="inlineStr">
        <is>
          <t>Tier-3 query</t>
        </is>
      </c>
      <c r="H99" s="28" t="inlineStr">
        <is>
          <t>Counterparty dropped; listed fields used.</t>
        </is>
      </c>
      <c r="I99" s="29" t="inlineStr">
        <is>
          <t>Positive</t>
        </is>
      </c>
      <c r="J99" s="29" t="inlineStr">
        <is>
          <t>P1</t>
        </is>
      </c>
      <c r="K99" s="30" t="inlineStr">
        <is>
          <t>Not Executed</t>
        </is>
      </c>
      <c r="L99" s="31" t="inlineStr"/>
      <c r="M99" s="31" t="inlineStr"/>
      <c r="N99" s="31" t="inlineStr"/>
      <c r="O99" s="31" t="inlineStr"/>
    </row>
    <row r="100">
      <c r="A100" s="32" t="inlineStr">
        <is>
          <t>UT-MT3-002</t>
        </is>
      </c>
      <c r="B100" s="33" t="inlineStr">
        <is>
          <t>Matcher - Tier 3</t>
        </is>
      </c>
      <c r="C100" s="34" t="inlineStr">
        <is>
          <t>FR-MTH-021</t>
        </is>
      </c>
      <c r="D100" s="33" t="inlineStr">
        <is>
          <t>Verify Tier-3 candidates always surfaced for manual validation, never auto-resolved.</t>
        </is>
      </c>
      <c r="E100" s="33" t="inlineStr">
        <is>
          <t>Tier-3 candidate found.</t>
        </is>
      </c>
      <c r="F100" s="33" t="inlineStr">
        <is>
          <t>1. Inspect handling.</t>
        </is>
      </c>
      <c r="G100" s="33" t="inlineStr">
        <is>
          <t>Tier-3 hit</t>
        </is>
      </c>
      <c r="H100" s="33" t="inlineStr">
        <is>
          <t>Surfaced to analyst; never auto-resolved.</t>
        </is>
      </c>
      <c r="I100" s="34" t="inlineStr">
        <is>
          <t>Positive</t>
        </is>
      </c>
      <c r="J100" s="34" t="inlineStr">
        <is>
          <t>P1</t>
        </is>
      </c>
      <c r="K100" s="30" t="inlineStr">
        <is>
          <t>Not Executed</t>
        </is>
      </c>
      <c r="L100" s="31" t="inlineStr"/>
      <c r="M100" s="31" t="inlineStr"/>
      <c r="N100" s="31" t="inlineStr"/>
      <c r="O100" s="31" t="inlineStr"/>
    </row>
    <row r="101">
      <c r="A101" s="27" t="inlineStr">
        <is>
          <t>UT-MT3-003</t>
        </is>
      </c>
      <c r="B101" s="28" t="inlineStr">
        <is>
          <t>Matcher - Tier 3</t>
        </is>
      </c>
      <c r="C101" s="29" t="inlineStr">
        <is>
          <t>FR-MTH-022</t>
        </is>
      </c>
      <c r="D101" s="28" t="inlineStr">
        <is>
          <t>Verify no Tier-3 candidate -&gt; UNMATCHED/ALLEGE (sole Allege mechanism).</t>
        </is>
      </c>
      <c r="E101" s="28" t="inlineStr">
        <is>
          <t>No candidate anywhere.</t>
        </is>
      </c>
      <c r="F101" s="28" t="inlineStr">
        <is>
          <t>1. Run all tiers.</t>
        </is>
      </c>
      <c r="G101" s="28" t="inlineStr">
        <is>
          <t>0 candidates</t>
        </is>
      </c>
      <c r="H101" s="28" t="inlineStr">
        <is>
          <t>Marked UNMATCHED/ALLEGE.</t>
        </is>
      </c>
      <c r="I101" s="29" t="inlineStr">
        <is>
          <t>Positive</t>
        </is>
      </c>
      <c r="J101" s="29" t="inlineStr">
        <is>
          <t>P1</t>
        </is>
      </c>
      <c r="K101" s="30" t="inlineStr">
        <is>
          <t>Not Executed</t>
        </is>
      </c>
      <c r="L101" s="31" t="inlineStr"/>
      <c r="M101" s="31" t="inlineStr"/>
      <c r="N101" s="31" t="inlineStr"/>
      <c r="O101" s="31" t="inlineStr"/>
    </row>
    <row r="102">
      <c r="A102" s="32" t="inlineStr">
        <is>
          <t>UT-MT3-004</t>
        </is>
      </c>
      <c r="B102" s="33" t="inlineStr">
        <is>
          <t>Matcher - Tier 3</t>
        </is>
      </c>
      <c r="C102" s="34" t="inlineStr">
        <is>
          <t>FR-MTH-023</t>
        </is>
      </c>
      <c r="D102" s="33" t="inlineStr">
        <is>
          <t>Verify netting entries: each leg processed independently.</t>
        </is>
      </c>
      <c r="E102" s="33" t="inlineStr">
        <is>
          <t>PCM netting record.</t>
        </is>
      </c>
      <c r="F102" s="33" t="inlineStr">
        <is>
          <t>1. Match multi-leg netting entry.</t>
        </is>
      </c>
      <c r="G102" s="33" t="inlineStr">
        <is>
          <t>netting legs</t>
        </is>
      </c>
      <c r="H102" s="33" t="inlineStr">
        <is>
          <t>Each leg processed independently.</t>
        </is>
      </c>
      <c r="I102" s="34" t="inlineStr">
        <is>
          <t>Positive</t>
        </is>
      </c>
      <c r="J102" s="34" t="inlineStr">
        <is>
          <t>P2</t>
        </is>
      </c>
      <c r="K102" s="30" t="inlineStr">
        <is>
          <t>Not Executed</t>
        </is>
      </c>
      <c r="L102" s="31" t="inlineStr"/>
      <c r="M102" s="31" t="inlineStr"/>
      <c r="N102" s="31" t="inlineStr"/>
      <c r="O102" s="31" t="inlineStr"/>
    </row>
    <row r="103">
      <c r="A103" s="27" t="inlineStr">
        <is>
          <t>UT-MT3-005</t>
        </is>
      </c>
      <c r="B103" s="28" t="inlineStr">
        <is>
          <t>Matcher - Tier 3</t>
        </is>
      </c>
      <c r="C103" s="29" t="inlineStr">
        <is>
          <t>FR-MTH-023</t>
        </is>
      </c>
      <c r="D103" s="28" t="inlineStr">
        <is>
          <t>Verify partial match on one leg does not block other legs.</t>
        </is>
      </c>
      <c r="E103" s="28" t="inlineStr">
        <is>
          <t>Netting record.</t>
        </is>
      </c>
      <c r="F103" s="28" t="inlineStr">
        <is>
          <t>1. Match one leg only.</t>
        </is>
      </c>
      <c r="G103" s="28" t="inlineStr">
        <is>
          <t>1 leg matched</t>
        </is>
      </c>
      <c r="H103" s="28" t="inlineStr">
        <is>
          <t>Other legs continue processing.</t>
        </is>
      </c>
      <c r="I103" s="29" t="inlineStr">
        <is>
          <t>Negative</t>
        </is>
      </c>
      <c r="J103" s="29" t="inlineStr">
        <is>
          <t>P2</t>
        </is>
      </c>
      <c r="K103" s="30" t="inlineStr">
        <is>
          <t>Not Executed</t>
        </is>
      </c>
      <c r="L103" s="31" t="inlineStr"/>
      <c r="M103" s="31" t="inlineStr"/>
      <c r="N103" s="31" t="inlineStr"/>
      <c r="O103" s="31" t="inlineStr"/>
    </row>
    <row r="104">
      <c r="A104" s="32" t="inlineStr">
        <is>
          <t>UT-WRB-001</t>
        </is>
      </c>
      <c r="B104" s="33" t="inlineStr">
        <is>
          <t>Write-back Service</t>
        </is>
      </c>
      <c r="C104" s="34" t="inlineStr">
        <is>
          <t>FR-WRB-001</t>
        </is>
      </c>
      <c r="D104" s="33" t="inlineStr">
        <is>
          <t>Verify no cashflow is auto-resolved in Phase 1 (analyst confirmation always required).</t>
        </is>
      </c>
      <c r="E104" s="33" t="inlineStr">
        <is>
          <t>Matched cashflow.</t>
        </is>
      </c>
      <c r="F104" s="33" t="inlineStr">
        <is>
          <t>1. Reach MATCHED without confirming.</t>
        </is>
      </c>
      <c r="G104" s="33" t="inlineStr">
        <is>
          <t>No confirm</t>
        </is>
      </c>
      <c r="H104" s="33" t="inlineStr">
        <is>
          <t>No write-back occurs.</t>
        </is>
      </c>
      <c r="I104" s="34" t="inlineStr">
        <is>
          <t>Negative</t>
        </is>
      </c>
      <c r="J104" s="34" t="inlineStr">
        <is>
          <t>P1</t>
        </is>
      </c>
      <c r="K104" s="30" t="inlineStr">
        <is>
          <t>Not Executed</t>
        </is>
      </c>
      <c r="L104" s="31" t="inlineStr"/>
      <c r="M104" s="31" t="inlineStr"/>
      <c r="N104" s="31" t="inlineStr"/>
      <c r="O104" s="31" t="inlineStr"/>
    </row>
    <row r="105">
      <c r="A105" s="27" t="inlineStr">
        <is>
          <t>UT-WRB-002</t>
        </is>
      </c>
      <c r="B105" s="28" t="inlineStr">
        <is>
          <t>Write-back Service</t>
        </is>
      </c>
      <c r="C105" s="29" t="inlineStr">
        <is>
          <t>FR-WRB-002</t>
        </is>
      </c>
      <c r="D105" s="28" t="inlineStr">
        <is>
          <t>Verify Confirm-Matched triggers write-back to NEWS/PCM under analyst authenticated identity.</t>
        </is>
      </c>
      <c r="E105" s="28" t="inlineStr">
        <is>
          <t>Tier-1 matched, analyst logged in.</t>
        </is>
      </c>
      <c r="F105" s="28" t="inlineStr">
        <is>
          <t>1. Confirm match.
2. Inspect write actor.</t>
        </is>
      </c>
      <c r="G105" s="28" t="inlineStr">
        <is>
          <t>Confirm</t>
        </is>
      </c>
      <c r="H105" s="28" t="inlineStr">
        <is>
          <t>Status updated in NEWS/PCM under analyst identity.</t>
        </is>
      </c>
      <c r="I105" s="29" t="inlineStr">
        <is>
          <t>Positive</t>
        </is>
      </c>
      <c r="J105" s="29" t="inlineStr">
        <is>
          <t>P1</t>
        </is>
      </c>
      <c r="K105" s="30" t="inlineStr">
        <is>
          <t>Not Executed</t>
        </is>
      </c>
      <c r="L105" s="31" t="inlineStr"/>
      <c r="M105" s="31" t="inlineStr"/>
      <c r="N105" s="31" t="inlineStr"/>
      <c r="O105" s="31" t="inlineStr"/>
    </row>
    <row r="106">
      <c r="A106" s="32" t="inlineStr">
        <is>
          <t>UT-WRB-003</t>
        </is>
      </c>
      <c r="B106" s="33" t="inlineStr">
        <is>
          <t>Write-back Service</t>
        </is>
      </c>
      <c r="C106" s="34" t="inlineStr">
        <is>
          <t>FR-WRB-003</t>
        </is>
      </c>
      <c r="D106" s="33" t="inlineStr">
        <is>
          <t>Verify existing post-trade controls (4-eye, maker-checker, value-threshold) fire unchanged.</t>
        </is>
      </c>
      <c r="E106" s="33" t="inlineStr">
        <is>
          <t>Write-back triggered.</t>
        </is>
      </c>
      <c r="F106" s="33" t="inlineStr">
        <is>
          <t>1. Trigger write-back above threshold.</t>
        </is>
      </c>
      <c r="G106" s="33" t="inlineStr">
        <is>
          <t>High value</t>
        </is>
      </c>
      <c r="H106" s="33" t="inlineStr">
        <is>
          <t>Post-trade controls fire; not bypassed.</t>
        </is>
      </c>
      <c r="I106" s="34" t="inlineStr">
        <is>
          <t>Security</t>
        </is>
      </c>
      <c r="J106" s="34" t="inlineStr">
        <is>
          <t>P1</t>
        </is>
      </c>
      <c r="K106" s="30" t="inlineStr">
        <is>
          <t>Not Executed</t>
        </is>
      </c>
      <c r="L106" s="31" t="inlineStr"/>
      <c r="M106" s="31" t="inlineStr"/>
      <c r="N106" s="31" t="inlineStr"/>
      <c r="O106" s="31" t="inlineStr"/>
    </row>
    <row r="107">
      <c r="A107" s="27" t="inlineStr">
        <is>
          <t>UT-WRB-004</t>
        </is>
      </c>
      <c r="B107" s="28" t="inlineStr">
        <is>
          <t>Write-back Service</t>
        </is>
      </c>
      <c r="C107" s="29" t="inlineStr">
        <is>
          <t>FR-WRB-004</t>
        </is>
      </c>
      <c r="D107" s="28" t="inlineStr">
        <is>
          <t>Verify accepting a Tier-2/3 candidate proceeds to write-back.</t>
        </is>
      </c>
      <c r="E107" s="28" t="inlineStr">
        <is>
          <t>Fuzzy candidate surfaced.</t>
        </is>
      </c>
      <c r="F107" s="28" t="inlineStr">
        <is>
          <t>1. Accept candidate.</t>
        </is>
      </c>
      <c r="G107" s="28" t="inlineStr">
        <is>
          <t>Accept</t>
        </is>
      </c>
      <c r="H107" s="28" t="inlineStr">
        <is>
          <t>Write-back proceeds.</t>
        </is>
      </c>
      <c r="I107" s="29" t="inlineStr">
        <is>
          <t>Positive</t>
        </is>
      </c>
      <c r="J107" s="29" t="inlineStr">
        <is>
          <t>P1</t>
        </is>
      </c>
      <c r="K107" s="30" t="inlineStr">
        <is>
          <t>Not Executed</t>
        </is>
      </c>
      <c r="L107" s="31" t="inlineStr"/>
      <c r="M107" s="31" t="inlineStr"/>
      <c r="N107" s="31" t="inlineStr"/>
      <c r="O107" s="31" t="inlineStr"/>
    </row>
    <row r="108">
      <c r="A108" s="32" t="inlineStr">
        <is>
          <t>UT-WRB-005</t>
        </is>
      </c>
      <c r="B108" s="33" t="inlineStr">
        <is>
          <t>Write-back Service</t>
        </is>
      </c>
      <c r="C108" s="34" t="inlineStr">
        <is>
          <t>FR-WRB-004</t>
        </is>
      </c>
      <c r="D108" s="33" t="inlineStr">
        <is>
          <t>Verify rejecting a candidate transitions cashflow to UNMATCHED/ALLEGE.</t>
        </is>
      </c>
      <c r="E108" s="33" t="inlineStr">
        <is>
          <t>Fuzzy candidate surfaced.</t>
        </is>
      </c>
      <c r="F108" s="33" t="inlineStr">
        <is>
          <t>1. Reject candidate.</t>
        </is>
      </c>
      <c r="G108" s="33" t="inlineStr">
        <is>
          <t>Reject</t>
        </is>
      </c>
      <c r="H108" s="33" t="inlineStr">
        <is>
          <t>Cashflow -&gt; UNMATCHED/ALLEGE.</t>
        </is>
      </c>
      <c r="I108" s="34" t="inlineStr">
        <is>
          <t>Positive</t>
        </is>
      </c>
      <c r="J108" s="34" t="inlineStr">
        <is>
          <t>P1</t>
        </is>
      </c>
      <c r="K108" s="30" t="inlineStr">
        <is>
          <t>Not Executed</t>
        </is>
      </c>
      <c r="L108" s="31" t="inlineStr"/>
      <c r="M108" s="31" t="inlineStr"/>
      <c r="N108" s="31" t="inlineStr"/>
      <c r="O108" s="31" t="inlineStr"/>
    </row>
    <row r="109">
      <c r="A109" s="27" t="inlineStr">
        <is>
          <t>UT-WRB-006</t>
        </is>
      </c>
      <c r="B109" s="28" t="inlineStr">
        <is>
          <t>Write-back Service</t>
        </is>
      </c>
      <c r="C109" s="29" t="inlineStr">
        <is>
          <t>FR-WRB-005</t>
        </is>
      </c>
      <c r="D109" s="28" t="inlineStr">
        <is>
          <t>Verify unmatched-action recorded (queried_counterparty/escalated_to_MO/awaiting_response).</t>
        </is>
      </c>
      <c r="E109" s="28" t="inlineStr">
        <is>
          <t>Allege cashflow.</t>
        </is>
      </c>
      <c r="F109" s="28" t="inlineStr">
        <is>
          <t>1. Record each action type.</t>
        </is>
      </c>
      <c r="G109" s="28" t="inlineStr">
        <is>
          <t>3 actions</t>
        </is>
      </c>
      <c r="H109" s="28" t="inlineStr">
        <is>
          <t>Action captured in solution; correspondence manual.</t>
        </is>
      </c>
      <c r="I109" s="29" t="inlineStr">
        <is>
          <t>Positive</t>
        </is>
      </c>
      <c r="J109" s="29" t="inlineStr">
        <is>
          <t>P2</t>
        </is>
      </c>
      <c r="K109" s="30" t="inlineStr">
        <is>
          <t>Not Executed</t>
        </is>
      </c>
      <c r="L109" s="31" t="inlineStr"/>
      <c r="M109" s="31" t="inlineStr"/>
      <c r="N109" s="31" t="inlineStr"/>
      <c r="O109" s="31" t="inlineStr"/>
    </row>
    <row r="110">
      <c r="A110" s="32" t="inlineStr">
        <is>
          <t>UT-WRB-007</t>
        </is>
      </c>
      <c r="B110" s="33" t="inlineStr">
        <is>
          <t>Write-back Service</t>
        </is>
      </c>
      <c r="C110" s="34" t="inlineStr">
        <is>
          <t>FR-WRB-006</t>
        </is>
      </c>
      <c r="D110" s="33" t="inlineStr">
        <is>
          <t>Verify MATCHED_BUT_SETTLED handling action recorded.</t>
        </is>
      </c>
      <c r="E110" s="33" t="inlineStr">
        <is>
          <t>Settled match.</t>
        </is>
      </c>
      <c r="F110" s="33" t="inlineStr">
        <is>
          <t>1. Record reply/escalate action.</t>
        </is>
      </c>
      <c r="G110" s="33" t="inlineStr">
        <is>
          <t>MBS case</t>
        </is>
      </c>
      <c r="H110" s="33" t="inlineStr">
        <is>
          <t>Action recorded in solution.</t>
        </is>
      </c>
      <c r="I110" s="34" t="inlineStr">
        <is>
          <t>Positive</t>
        </is>
      </c>
      <c r="J110" s="34" t="inlineStr">
        <is>
          <t>P2</t>
        </is>
      </c>
      <c r="K110" s="30" t="inlineStr">
        <is>
          <t>Not Executed</t>
        </is>
      </c>
      <c r="L110" s="31" t="inlineStr"/>
      <c r="M110" s="31" t="inlineStr"/>
      <c r="N110" s="31" t="inlineStr"/>
      <c r="O110" s="31" t="inlineStr"/>
    </row>
    <row r="111">
      <c r="A111" s="27" t="inlineStr">
        <is>
          <t>UT-WRB-008</t>
        </is>
      </c>
      <c r="B111" s="28" t="inlineStr">
        <is>
          <t>Write-back Service</t>
        </is>
      </c>
      <c r="C111" s="29" t="inlineStr">
        <is>
          <t>FR-WRB-007</t>
        </is>
      </c>
      <c r="D111" s="28" t="inlineStr">
        <is>
          <t>Verify every write-back attempt audited (timestamp, identity, cashflow ID, target, outcome).</t>
        </is>
      </c>
      <c r="E111" s="28" t="inlineStr">
        <is>
          <t>Audit reachable.</t>
        </is>
      </c>
      <c r="F111" s="28" t="inlineStr">
        <is>
          <t>1. Trigger write-back.
2. Inspect audit.</t>
        </is>
      </c>
      <c r="G111" s="28" t="inlineStr">
        <is>
          <t>Write-back</t>
        </is>
      </c>
      <c r="H111" s="28" t="inlineStr">
        <is>
          <t>All five attributes captured.</t>
        </is>
      </c>
      <c r="I111" s="29" t="inlineStr">
        <is>
          <t>Positive</t>
        </is>
      </c>
      <c r="J111" s="29" t="inlineStr">
        <is>
          <t>P1</t>
        </is>
      </c>
      <c r="K111" s="30" t="inlineStr">
        <is>
          <t>Not Executed</t>
        </is>
      </c>
      <c r="L111" s="31" t="inlineStr"/>
      <c r="M111" s="31" t="inlineStr"/>
      <c r="N111" s="31" t="inlineStr"/>
      <c r="O111" s="31" t="inlineStr"/>
    </row>
    <row r="112">
      <c r="A112" s="32" t="inlineStr">
        <is>
          <t>UT-WRB-009</t>
        </is>
      </c>
      <c r="B112" s="33" t="inlineStr">
        <is>
          <t>Write-back Service</t>
        </is>
      </c>
      <c r="C112" s="34" t="inlineStr">
        <is>
          <t>FR-WRB-008</t>
        </is>
      </c>
      <c r="D112" s="33" t="inlineStr">
        <is>
          <t>Verify write-back failure leaves cashflow in analyst queue with failure detail.</t>
        </is>
      </c>
      <c r="E112" s="33" t="inlineStr">
        <is>
          <t>Force NEWS/PCM write error.</t>
        </is>
      </c>
      <c r="F112" s="33" t="inlineStr">
        <is>
          <t>1. Trigger write-back failure.</t>
        </is>
      </c>
      <c r="G112" s="33" t="inlineStr">
        <is>
          <t>Write error</t>
        </is>
      </c>
      <c r="H112" s="33" t="inlineStr">
        <is>
          <t>Cashflow retained in queue with failure detail.</t>
        </is>
      </c>
      <c r="I112" s="34" t="inlineStr">
        <is>
          <t>Negative</t>
        </is>
      </c>
      <c r="J112" s="34" t="inlineStr">
        <is>
          <t>P1</t>
        </is>
      </c>
      <c r="K112" s="30" t="inlineStr">
        <is>
          <t>Not Executed</t>
        </is>
      </c>
      <c r="L112" s="31" t="inlineStr"/>
      <c r="M112" s="31" t="inlineStr"/>
      <c r="N112" s="31" t="inlineStr"/>
      <c r="O112" s="31" t="inlineStr"/>
    </row>
    <row r="113">
      <c r="A113" s="27" t="inlineStr">
        <is>
          <t>UT-CFG-001</t>
        </is>
      </c>
      <c r="B113" s="28" t="inlineStr">
        <is>
          <t>Configuration Mgmt</t>
        </is>
      </c>
      <c r="C113" s="29" t="inlineStr">
        <is>
          <t>FR-UI-030</t>
        </is>
      </c>
      <c r="D113" s="28" t="inlineStr">
        <is>
          <t>Verify Admin can read/write all listed configuration keys.</t>
        </is>
      </c>
      <c r="E113" s="28" t="inlineStr">
        <is>
          <t>Admin session.</t>
        </is>
      </c>
      <c r="F113" s="28" t="inlineStr">
        <is>
          <t>1. Read &amp; write each config key.</t>
        </is>
      </c>
      <c r="G113" s="28" t="inlineStr">
        <is>
          <t>All keys</t>
        </is>
      </c>
      <c r="H113" s="28" t="inlineStr">
        <is>
          <t>Full read/write available to Admin.</t>
        </is>
      </c>
      <c r="I113" s="29" t="inlineStr">
        <is>
          <t>Config</t>
        </is>
      </c>
      <c r="J113" s="29" t="inlineStr">
        <is>
          <t>P2</t>
        </is>
      </c>
      <c r="K113" s="30" t="inlineStr">
        <is>
          <t>Not Executed</t>
        </is>
      </c>
      <c r="L113" s="31" t="inlineStr"/>
      <c r="M113" s="31" t="inlineStr"/>
      <c r="N113" s="31" t="inlineStr"/>
      <c r="O113" s="31" t="inlineStr"/>
    </row>
    <row r="114">
      <c r="A114" s="32" t="inlineStr">
        <is>
          <t>UT-CFG-002</t>
        </is>
      </c>
      <c r="B114" s="33" t="inlineStr">
        <is>
          <t>Configuration Mgmt</t>
        </is>
      </c>
      <c r="C114" s="34" t="inlineStr">
        <is>
          <t>FR-UI-031</t>
        </is>
      </c>
      <c r="D114" s="33" t="inlineStr">
        <is>
          <t>Verify config changes are timestamped and attributed to admin identity in audit.</t>
        </is>
      </c>
      <c r="E114" s="33" t="inlineStr">
        <is>
          <t>Admin session.</t>
        </is>
      </c>
      <c r="F114" s="33" t="inlineStr">
        <is>
          <t>1. Change a key.
2. Inspect audit.</t>
        </is>
      </c>
      <c r="G114" s="33" t="inlineStr">
        <is>
          <t>Any change</t>
        </is>
      </c>
      <c r="H114" s="33" t="inlineStr">
        <is>
          <t>Timestamp + admin identity recorded.</t>
        </is>
      </c>
      <c r="I114" s="34" t="inlineStr">
        <is>
          <t>Config</t>
        </is>
      </c>
      <c r="J114" s="34" t="inlineStr">
        <is>
          <t>P1</t>
        </is>
      </c>
      <c r="K114" s="30" t="inlineStr">
        <is>
          <t>Not Executed</t>
        </is>
      </c>
      <c r="L114" s="31" t="inlineStr"/>
      <c r="M114" s="31" t="inlineStr"/>
      <c r="N114" s="31" t="inlineStr"/>
      <c r="O114" s="31" t="inlineStr"/>
    </row>
    <row r="115">
      <c r="A115" s="27" t="inlineStr">
        <is>
          <t>UT-CFG-003</t>
        </is>
      </c>
      <c r="B115" s="28" t="inlineStr">
        <is>
          <t>Configuration Mgmt</t>
        </is>
      </c>
      <c r="C115" s="29" t="inlineStr">
        <is>
          <t>FR-UI-032</t>
        </is>
      </c>
      <c r="D115" s="28" t="inlineStr">
        <is>
          <t>Verify config change takes effect next cycle and does NOT retroactively affect in-flight cashflows.</t>
        </is>
      </c>
      <c r="E115" s="28" t="inlineStr">
        <is>
          <t>In-flight cashflows exist.</t>
        </is>
      </c>
      <c r="F115" s="28" t="inlineStr">
        <is>
          <t>1. Change threshold.
2. Inspect in-flight vs new.</t>
        </is>
      </c>
      <c r="G115" s="28" t="inlineStr">
        <is>
          <t>Threshold change</t>
        </is>
      </c>
      <c r="H115" s="28" t="inlineStr">
        <is>
          <t>In-flight unaffected; new cashflows use new value.</t>
        </is>
      </c>
      <c r="I115" s="29" t="inlineStr">
        <is>
          <t>Config</t>
        </is>
      </c>
      <c r="J115" s="29" t="inlineStr">
        <is>
          <t>P1</t>
        </is>
      </c>
      <c r="K115" s="30" t="inlineStr">
        <is>
          <t>Not Executed</t>
        </is>
      </c>
      <c r="L115" s="31" t="inlineStr"/>
      <c r="M115" s="31" t="inlineStr"/>
      <c r="N115" s="31" t="inlineStr"/>
      <c r="O115" s="31" t="inlineStr"/>
    </row>
    <row r="116">
      <c r="A116" s="32" t="inlineStr">
        <is>
          <t>UT-CFG-004</t>
        </is>
      </c>
      <c r="B116" s="33" t="inlineStr">
        <is>
          <t>Configuration Mgmt</t>
        </is>
      </c>
      <c r="C116" s="34" t="inlineStr">
        <is>
          <t>Config Mgmt §17</t>
        </is>
      </c>
      <c r="D116" s="33" t="inlineStr">
        <is>
          <t>Verify routing_pct constraint is 0-100 integer.</t>
        </is>
      </c>
      <c r="E116" s="33" t="inlineStr">
        <is>
          <t>Admin session.</t>
        </is>
      </c>
      <c r="F116" s="33" t="inlineStr">
        <is>
          <t>1. Enter 50.5 and 'abc'.</t>
        </is>
      </c>
      <c r="G116" s="33" t="inlineStr">
        <is>
          <t>invalid input</t>
        </is>
      </c>
      <c r="H116" s="33" t="inlineStr">
        <is>
          <t>Rejected; only 0-100 integer accepted.</t>
        </is>
      </c>
      <c r="I116" s="34" t="inlineStr">
        <is>
          <t>Data-Validation</t>
        </is>
      </c>
      <c r="J116" s="34" t="inlineStr">
        <is>
          <t>P2</t>
        </is>
      </c>
      <c r="K116" s="30" t="inlineStr">
        <is>
          <t>Not Executed</t>
        </is>
      </c>
      <c r="L116" s="31" t="inlineStr"/>
      <c r="M116" s="31" t="inlineStr"/>
      <c r="N116" s="31" t="inlineStr"/>
      <c r="O116" s="31" t="inlineStr"/>
    </row>
    <row r="117">
      <c r="A117" s="27" t="inlineStr">
        <is>
          <t>UT-CFG-005</t>
        </is>
      </c>
      <c r="B117" s="28" t="inlineStr">
        <is>
          <t>Configuration Mgmt</t>
        </is>
      </c>
      <c r="C117" s="29" t="inlineStr">
        <is>
          <t>Config Mgmt §17</t>
        </is>
      </c>
      <c r="D117" s="28" t="inlineStr">
        <is>
          <t>Verify id_ssi_threshold constraint is 0.0-1.0 float.</t>
        </is>
      </c>
      <c r="E117" s="28" t="inlineStr">
        <is>
          <t>Admin session.</t>
        </is>
      </c>
      <c r="F117" s="28" t="inlineStr">
        <is>
          <t>1. Enter 1.5.</t>
        </is>
      </c>
      <c r="G117" s="28" t="inlineStr">
        <is>
          <t>1.5</t>
        </is>
      </c>
      <c r="H117" s="28" t="inlineStr">
        <is>
          <t>Rejected; only 0.0-1.0 accepted.</t>
        </is>
      </c>
      <c r="I117" s="29" t="inlineStr">
        <is>
          <t>Data-Validation</t>
        </is>
      </c>
      <c r="J117" s="29" t="inlineStr">
        <is>
          <t>P2</t>
        </is>
      </c>
      <c r="K117" s="30" t="inlineStr">
        <is>
          <t>Not Executed</t>
        </is>
      </c>
      <c r="L117" s="31" t="inlineStr"/>
      <c r="M117" s="31" t="inlineStr"/>
      <c r="N117" s="31" t="inlineStr"/>
      <c r="O117" s="31" t="inlineStr"/>
    </row>
    <row r="118">
      <c r="A118" s="32" t="inlineStr">
        <is>
          <t>UT-CFG-006</t>
        </is>
      </c>
      <c r="B118" s="33" t="inlineStr">
        <is>
          <t>Configuration Mgmt</t>
        </is>
      </c>
      <c r="C118" s="34" t="inlineStr">
        <is>
          <t>Config Mgmt §17</t>
        </is>
      </c>
      <c r="D118" s="33" t="inlineStr">
        <is>
          <t>Verify t2_notional_tolerance stored as currency amount per product.</t>
        </is>
      </c>
      <c r="E118" s="33" t="inlineStr">
        <is>
          <t>Admin session.</t>
        </is>
      </c>
      <c r="F118" s="33" t="inlineStr">
        <is>
          <t>1. Set per-product tolerance.</t>
        </is>
      </c>
      <c r="G118" s="33" t="inlineStr">
        <is>
          <t>per-product</t>
        </is>
      </c>
      <c r="H118" s="33" t="inlineStr">
        <is>
          <t>Stored &amp; applied per product.</t>
        </is>
      </c>
      <c r="I118" s="34" t="inlineStr">
        <is>
          <t>Config</t>
        </is>
      </c>
      <c r="J118" s="34" t="inlineStr">
        <is>
          <t>P2</t>
        </is>
      </c>
      <c r="K118" s="30" t="inlineStr">
        <is>
          <t>Not Executed</t>
        </is>
      </c>
      <c r="L118" s="31" t="inlineStr"/>
      <c r="M118" s="31" t="inlineStr"/>
      <c r="N118" s="31" t="inlineStr"/>
      <c r="O118" s="31" t="inlineStr"/>
    </row>
    <row r="119">
      <c r="A119" s="27" t="inlineStr">
        <is>
          <t>UT-CFG-007</t>
        </is>
      </c>
      <c r="B119" s="28" t="inlineStr">
        <is>
          <t>Configuration Mgmt</t>
        </is>
      </c>
      <c r="C119" s="29" t="inlineStr">
        <is>
          <t>Config Mgmt §17</t>
        </is>
      </c>
      <c r="D119" s="28" t="inlineStr">
        <is>
          <t>Verify polling_interval_mins stored as integer minutes.</t>
        </is>
      </c>
      <c r="E119" s="28" t="inlineStr">
        <is>
          <t>Admin session.</t>
        </is>
      </c>
      <c r="F119" s="28" t="inlineStr">
        <is>
          <t>1. Set 15.</t>
        </is>
      </c>
      <c r="G119" s="28" t="inlineStr">
        <is>
          <t>15</t>
        </is>
      </c>
      <c r="H119" s="28" t="inlineStr">
        <is>
          <t>Stored as integer minutes.</t>
        </is>
      </c>
      <c r="I119" s="29" t="inlineStr">
        <is>
          <t>Data-Validation</t>
        </is>
      </c>
      <c r="J119" s="29" t="inlineStr">
        <is>
          <t>P3</t>
        </is>
      </c>
      <c r="K119" s="30" t="inlineStr">
        <is>
          <t>Not Executed</t>
        </is>
      </c>
      <c r="L119" s="31" t="inlineStr"/>
      <c r="M119" s="31" t="inlineStr"/>
      <c r="N119" s="31" t="inlineStr"/>
      <c r="O119" s="31" t="inlineStr"/>
    </row>
    <row r="120">
      <c r="A120" s="32" t="inlineStr">
        <is>
          <t>UT-CFG-008</t>
        </is>
      </c>
      <c r="B120" s="33" t="inlineStr">
        <is>
          <t>Configuration Mgmt</t>
        </is>
      </c>
      <c r="C120" s="34" t="inlineStr">
        <is>
          <t>Data Model §13</t>
        </is>
      </c>
      <c r="D120" s="33" t="inlineStr">
        <is>
          <t>Verify ConfigHistory captures config_key, old_value, new_value, changed_by, effective_from.</t>
        </is>
      </c>
      <c r="E120" s="33" t="inlineStr">
        <is>
          <t>Admin session.</t>
        </is>
      </c>
      <c r="F120" s="33" t="inlineStr">
        <is>
          <t>1. Change key.
2. Inspect ConfigHistory.</t>
        </is>
      </c>
      <c r="G120" s="33" t="inlineStr">
        <is>
          <t>Any change</t>
        </is>
      </c>
      <c r="H120" s="33" t="inlineStr">
        <is>
          <t>All five ConfigHistory fields populated.</t>
        </is>
      </c>
      <c r="I120" s="34" t="inlineStr">
        <is>
          <t>Config</t>
        </is>
      </c>
      <c r="J120" s="34" t="inlineStr">
        <is>
          <t>P2</t>
        </is>
      </c>
      <c r="K120" s="30" t="inlineStr">
        <is>
          <t>Not Executed</t>
        </is>
      </c>
      <c r="L120" s="31" t="inlineStr"/>
      <c r="M120" s="31" t="inlineStr"/>
      <c r="N120" s="31" t="inlineStr"/>
      <c r="O120" s="31" t="inlineStr"/>
    </row>
    <row r="121">
      <c r="A121" s="27" t="inlineStr">
        <is>
          <t>UT-RBAC-001</t>
        </is>
      </c>
      <c r="B121" s="28" t="inlineStr">
        <is>
          <t>RBAC</t>
        </is>
      </c>
      <c r="C121" s="29" t="inlineStr">
        <is>
          <t>FR-RBAC-001</t>
        </is>
      </c>
      <c r="D121" s="28" t="inlineStr">
        <is>
          <t>Verify role assignment controlled entirely via existing Nomura RBAC/SSO.</t>
        </is>
      </c>
      <c r="E121" s="28" t="inlineStr">
        <is>
          <t>SSO configured.</t>
        </is>
      </c>
      <c r="F121" s="28" t="inlineStr">
        <is>
          <t>1. Assign role via RBAC.</t>
        </is>
      </c>
      <c r="G121" s="28" t="inlineStr">
        <is>
          <t>Role assign</t>
        </is>
      </c>
      <c r="H121" s="28" t="inlineStr">
        <is>
          <t>No new identity store; SSO governs.</t>
        </is>
      </c>
      <c r="I121" s="29" t="inlineStr">
        <is>
          <t>Security</t>
        </is>
      </c>
      <c r="J121" s="29" t="inlineStr">
        <is>
          <t>P1</t>
        </is>
      </c>
      <c r="K121" s="30" t="inlineStr">
        <is>
          <t>Not Executed</t>
        </is>
      </c>
      <c r="L121" s="31" t="inlineStr"/>
      <c r="M121" s="31" t="inlineStr"/>
      <c r="N121" s="31" t="inlineStr"/>
      <c r="O121" s="31" t="inlineStr"/>
    </row>
    <row r="122">
      <c r="A122" s="32" t="inlineStr">
        <is>
          <t>UT-RBAC-002</t>
        </is>
      </c>
      <c r="B122" s="33" t="inlineStr">
        <is>
          <t>RBAC</t>
        </is>
      </c>
      <c r="C122" s="34" t="inlineStr">
        <is>
          <t>FR-RBAC-002</t>
        </is>
      </c>
      <c r="D122" s="33" t="inlineStr">
        <is>
          <t>Verify a user has exactly one role per session.</t>
        </is>
      </c>
      <c r="E122" s="33" t="inlineStr">
        <is>
          <t>User with multiple roles.</t>
        </is>
      </c>
      <c r="F122" s="33" t="inlineStr">
        <is>
          <t>1. Log in.
2. Inspect active role.</t>
        </is>
      </c>
      <c r="G122" s="33" t="inlineStr">
        <is>
          <t>Multi-role user</t>
        </is>
      </c>
      <c r="H122" s="33" t="inlineStr">
        <is>
          <t>Exactly one active role per session.</t>
        </is>
      </c>
      <c r="I122" s="34" t="inlineStr">
        <is>
          <t>Security</t>
        </is>
      </c>
      <c r="J122" s="34" t="inlineStr">
        <is>
          <t>P1</t>
        </is>
      </c>
      <c r="K122" s="30" t="inlineStr">
        <is>
          <t>Not Executed</t>
        </is>
      </c>
      <c r="L122" s="31" t="inlineStr"/>
      <c r="M122" s="31" t="inlineStr"/>
      <c r="N122" s="31" t="inlineStr"/>
      <c r="O122" s="31" t="inlineStr"/>
    </row>
    <row r="123">
      <c r="A123" s="27" t="inlineStr">
        <is>
          <t>UT-RBAC-003</t>
        </is>
      </c>
      <c r="B123" s="28" t="inlineStr">
        <is>
          <t>RBAC</t>
        </is>
      </c>
      <c r="C123" s="29" t="inlineStr">
        <is>
          <t>FR-RBAC-003</t>
        </is>
      </c>
      <c r="D123" s="28" t="inlineStr">
        <is>
          <t>Verify an analyst sees and actions only own/team-queue cashflows.</t>
        </is>
      </c>
      <c r="E123" s="28" t="inlineStr">
        <is>
          <t>Analyst session.</t>
        </is>
      </c>
      <c r="F123" s="28" t="inlineStr">
        <is>
          <t>1. Query queues.</t>
        </is>
      </c>
      <c r="G123" s="28" t="inlineStr">
        <is>
          <t>Analyst A</t>
        </is>
      </c>
      <c r="H123" s="28" t="inlineStr">
        <is>
          <t>Only assigned/team cashflows visible &amp; actionable.</t>
        </is>
      </c>
      <c r="I123" s="29" t="inlineStr">
        <is>
          <t>Security</t>
        </is>
      </c>
      <c r="J123" s="29" t="inlineStr">
        <is>
          <t>P1</t>
        </is>
      </c>
      <c r="K123" s="30" t="inlineStr">
        <is>
          <t>Not Executed</t>
        </is>
      </c>
      <c r="L123" s="31" t="inlineStr"/>
      <c r="M123" s="31" t="inlineStr"/>
      <c r="N123" s="31" t="inlineStr"/>
      <c r="O123" s="31" t="inlineStr"/>
    </row>
    <row r="124">
      <c r="A124" s="32" t="inlineStr">
        <is>
          <t>UT-RBAC-004</t>
        </is>
      </c>
      <c r="B124" s="33" t="inlineStr">
        <is>
          <t>RBAC</t>
        </is>
      </c>
      <c r="C124" s="34" t="inlineStr">
        <is>
          <t>FR-RBAC-004</t>
        </is>
      </c>
      <c r="D124" s="33" t="inlineStr">
        <is>
          <t>Verify only Admin may modify thresholds/tolerances/routing/config.</t>
        </is>
      </c>
      <c r="E124" s="33" t="inlineStr">
        <is>
          <t>Analyst &amp; Manager sessions.</t>
        </is>
      </c>
      <c r="F124" s="33" t="inlineStr">
        <is>
          <t>1. Attempt config change as non-admin.</t>
        </is>
      </c>
      <c r="G124" s="33" t="inlineStr">
        <is>
          <t>Non-admin</t>
        </is>
      </c>
      <c r="H124" s="33" t="inlineStr">
        <is>
          <t>Denied for non-admin roles.</t>
        </is>
      </c>
      <c r="I124" s="34" t="inlineStr">
        <is>
          <t>Security</t>
        </is>
      </c>
      <c r="J124" s="34" t="inlineStr">
        <is>
          <t>P1</t>
        </is>
      </c>
      <c r="K124" s="30" t="inlineStr">
        <is>
          <t>Not Executed</t>
        </is>
      </c>
      <c r="L124" s="31" t="inlineStr"/>
      <c r="M124" s="31" t="inlineStr"/>
      <c r="N124" s="31" t="inlineStr"/>
      <c r="O124" s="31" t="inlineStr"/>
    </row>
    <row r="125">
      <c r="A125" s="27" t="inlineStr">
        <is>
          <t>UT-RBAC-005</t>
        </is>
      </c>
      <c r="B125" s="28" t="inlineStr">
        <is>
          <t>RBAC</t>
        </is>
      </c>
      <c r="C125" s="29" t="inlineStr">
        <is>
          <t>FR-RBAC-005</t>
        </is>
      </c>
      <c r="D125" s="28" t="inlineStr">
        <is>
          <t>Verify role assignments/changes traceable via existing RBAC audit trail.</t>
        </is>
      </c>
      <c r="E125" s="28" t="inlineStr">
        <is>
          <t>RBAC audit reachable.</t>
        </is>
      </c>
      <c r="F125" s="28" t="inlineStr">
        <is>
          <t>1. Change a role.
2. Inspect audit.</t>
        </is>
      </c>
      <c r="G125" s="28" t="inlineStr">
        <is>
          <t>Role change</t>
        </is>
      </c>
      <c r="H125" s="28" t="inlineStr">
        <is>
          <t>Change traceable in RBAC audit.</t>
        </is>
      </c>
      <c r="I125" s="29" t="inlineStr">
        <is>
          <t>Security</t>
        </is>
      </c>
      <c r="J125" s="29" t="inlineStr">
        <is>
          <t>P2</t>
        </is>
      </c>
      <c r="K125" s="30" t="inlineStr">
        <is>
          <t>Not Executed</t>
        </is>
      </c>
      <c r="L125" s="31" t="inlineStr"/>
      <c r="M125" s="31" t="inlineStr"/>
      <c r="N125" s="31" t="inlineStr"/>
      <c r="O125" s="31" t="inlineStr"/>
    </row>
    <row r="126">
      <c r="A126" s="32" t="inlineStr">
        <is>
          <t>UT-RBAC-006</t>
        </is>
      </c>
      <c r="B126" s="33" t="inlineStr">
        <is>
          <t>RBAC</t>
        </is>
      </c>
      <c r="C126" s="34" t="inlineStr">
        <is>
          <t>RBAC §14</t>
        </is>
      </c>
      <c r="D126" s="33" t="inlineStr">
        <is>
          <t>Verify Manager restricted from confirming matches, write-back, threshold modify.</t>
        </is>
      </c>
      <c r="E126" s="33" t="inlineStr">
        <is>
          <t>Manager session.</t>
        </is>
      </c>
      <c r="F126" s="33" t="inlineStr">
        <is>
          <t>1. Attempt confirm/write-back.</t>
        </is>
      </c>
      <c r="G126" s="33" t="inlineStr">
        <is>
          <t>Manager</t>
        </is>
      </c>
      <c r="H126" s="33" t="inlineStr">
        <is>
          <t>All three actions denied.</t>
        </is>
      </c>
      <c r="I126" s="34" t="inlineStr">
        <is>
          <t>Negative</t>
        </is>
      </c>
      <c r="J126" s="34" t="inlineStr">
        <is>
          <t>P1</t>
        </is>
      </c>
      <c r="K126" s="30" t="inlineStr">
        <is>
          <t>Not Executed</t>
        </is>
      </c>
      <c r="L126" s="31" t="inlineStr"/>
      <c r="M126" s="31" t="inlineStr"/>
      <c r="N126" s="31" t="inlineStr"/>
      <c r="O126" s="31" t="inlineStr"/>
    </row>
    <row r="127">
      <c r="A127" s="27" t="inlineStr">
        <is>
          <t>UT-RBAC-007</t>
        </is>
      </c>
      <c r="B127" s="28" t="inlineStr">
        <is>
          <t>RBAC</t>
        </is>
      </c>
      <c r="C127" s="29" t="inlineStr">
        <is>
          <t>RBAC §14</t>
        </is>
      </c>
      <c r="D127" s="28" t="inlineStr">
        <is>
          <t>Verify Admin restricted from actioning individual cashflows / write-back.</t>
        </is>
      </c>
      <c r="E127" s="28" t="inlineStr">
        <is>
          <t>Admin session.</t>
        </is>
      </c>
      <c r="F127" s="28" t="inlineStr">
        <is>
          <t>1. Attempt cashflow action.</t>
        </is>
      </c>
      <c r="G127" s="28" t="inlineStr">
        <is>
          <t>Admin</t>
        </is>
      </c>
      <c r="H127" s="28" t="inlineStr">
        <is>
          <t>Cashflow action &amp; write-back denied.</t>
        </is>
      </c>
      <c r="I127" s="29" t="inlineStr">
        <is>
          <t>Negative</t>
        </is>
      </c>
      <c r="J127" s="29" t="inlineStr">
        <is>
          <t>P1</t>
        </is>
      </c>
      <c r="K127" s="30" t="inlineStr">
        <is>
          <t>Not Executed</t>
        </is>
      </c>
      <c r="L127" s="31" t="inlineStr"/>
      <c r="M127" s="31" t="inlineStr"/>
      <c r="N127" s="31" t="inlineStr"/>
      <c r="O127" s="31" t="inlineStr"/>
    </row>
    <row r="128">
      <c r="A128" s="32" t="inlineStr">
        <is>
          <t>UT-RBAC-008</t>
        </is>
      </c>
      <c r="B128" s="33" t="inlineStr">
        <is>
          <t>RBAC</t>
        </is>
      </c>
      <c r="C128" s="34" t="inlineStr">
        <is>
          <t>RBAC §14</t>
        </is>
      </c>
      <c r="D128" s="33" t="inlineStr">
        <is>
          <t>Verify Service Account restricted from UI / analyst / admin actions.</t>
        </is>
      </c>
      <c r="E128" s="33" t="inlineStr">
        <is>
          <t>Service account creds.</t>
        </is>
      </c>
      <c r="F128" s="33" t="inlineStr">
        <is>
          <t>1. Attempt UI login.</t>
        </is>
      </c>
      <c r="G128" s="33" t="inlineStr">
        <is>
          <t>Service acct</t>
        </is>
      </c>
      <c r="H128" s="33" t="inlineStr">
        <is>
          <t>UI &amp; human actions denied.</t>
        </is>
      </c>
      <c r="I128" s="34" t="inlineStr">
        <is>
          <t>Security</t>
        </is>
      </c>
      <c r="J128" s="34" t="inlineStr">
        <is>
          <t>P2</t>
        </is>
      </c>
      <c r="K128" s="30" t="inlineStr">
        <is>
          <t>Not Executed</t>
        </is>
      </c>
      <c r="L128" s="31" t="inlineStr"/>
      <c r="M128" s="31" t="inlineStr"/>
      <c r="N128" s="31" t="inlineStr"/>
      <c r="O128" s="31" t="inlineStr"/>
    </row>
    <row r="129">
      <c r="A129" s="27" t="inlineStr">
        <is>
          <t>UT-AUD-001</t>
        </is>
      </c>
      <c r="B129" s="28" t="inlineStr">
        <is>
          <t>Audit Trail</t>
        </is>
      </c>
      <c r="C129" s="29" t="inlineStr">
        <is>
          <t>FR-AUD-001</t>
        </is>
      </c>
      <c r="D129" s="28" t="inlineStr">
        <is>
          <t>Verify every system action and every AI inference is captured.</t>
        </is>
      </c>
      <c r="E129" s="28" t="inlineStr">
        <is>
          <t>Audit reachable.</t>
        </is>
      </c>
      <c r="F129" s="28" t="inlineStr">
        <is>
          <t>1. Run a full cashflow.
2. Count audit events.</t>
        </is>
      </c>
      <c r="G129" s="28" t="inlineStr">
        <is>
          <t>Full run</t>
        </is>
      </c>
      <c r="H129" s="28" t="inlineStr">
        <is>
          <t>All system actions + AI inferences captured.</t>
        </is>
      </c>
      <c r="I129" s="29" t="inlineStr">
        <is>
          <t>Positive</t>
        </is>
      </c>
      <c r="J129" s="29" t="inlineStr">
        <is>
          <t>P1</t>
        </is>
      </c>
      <c r="K129" s="30" t="inlineStr">
        <is>
          <t>Not Executed</t>
        </is>
      </c>
      <c r="L129" s="31" t="inlineStr"/>
      <c r="M129" s="31" t="inlineStr"/>
      <c r="N129" s="31" t="inlineStr"/>
      <c r="O129" s="31" t="inlineStr"/>
    </row>
    <row r="130">
      <c r="A130" s="32" t="inlineStr">
        <is>
          <t>UT-AUD-002</t>
        </is>
      </c>
      <c r="B130" s="33" t="inlineStr">
        <is>
          <t>Audit Trail</t>
        </is>
      </c>
      <c r="C130" s="34" t="inlineStr">
        <is>
          <t>FR-AUD-002</t>
        </is>
      </c>
      <c r="D130" s="33" t="inlineStr">
        <is>
          <t>Verify standard audit attributes present (event_id,type,entity,actor,UTC ts,before/after).</t>
        </is>
      </c>
      <c r="E130" s="33" t="inlineStr">
        <is>
          <t>Audit reachable.</t>
        </is>
      </c>
      <c r="F130" s="33" t="inlineStr">
        <is>
          <t>1. Inspect any event.</t>
        </is>
      </c>
      <c r="G130" s="33" t="inlineStr">
        <is>
          <t>Any event</t>
        </is>
      </c>
      <c r="H130" s="33" t="inlineStr">
        <is>
          <t>All standard attributes present; timestamp in UTC.</t>
        </is>
      </c>
      <c r="I130" s="34" t="inlineStr">
        <is>
          <t>Positive</t>
        </is>
      </c>
      <c r="J130" s="34" t="inlineStr">
        <is>
          <t>P1</t>
        </is>
      </c>
      <c r="K130" s="30" t="inlineStr">
        <is>
          <t>Not Executed</t>
        </is>
      </c>
      <c r="L130" s="31" t="inlineStr"/>
      <c r="M130" s="31" t="inlineStr"/>
      <c r="N130" s="31" t="inlineStr"/>
      <c r="O130" s="31" t="inlineStr"/>
    </row>
    <row r="131">
      <c r="A131" s="27" t="inlineStr">
        <is>
          <t>UT-AUD-003</t>
        </is>
      </c>
      <c r="B131" s="28" t="inlineStr">
        <is>
          <t>Audit Trail</t>
        </is>
      </c>
      <c r="C131" s="29" t="inlineStr">
        <is>
          <t>FR-AUD-003</t>
        </is>
      </c>
      <c r="D131" s="28" t="inlineStr">
        <is>
          <t>Verify AI-specific attributes captured (model,prompt,input_hash,recommendation,confidence,reasoning,confirmation/override).</t>
        </is>
      </c>
      <c r="E131" s="28" t="inlineStr">
        <is>
          <t>Audit reachable.</t>
        </is>
      </c>
      <c r="F131" s="28" t="inlineStr">
        <is>
          <t>1. Inspect an AI event.</t>
        </is>
      </c>
      <c r="G131" s="28" t="inlineStr">
        <is>
          <t>AI event</t>
        </is>
      </c>
      <c r="H131" s="28" t="inlineStr">
        <is>
          <t>All AI-specific attributes present.</t>
        </is>
      </c>
      <c r="I131" s="29" t="inlineStr">
        <is>
          <t>Positive</t>
        </is>
      </c>
      <c r="J131" s="29" t="inlineStr">
        <is>
          <t>P1</t>
        </is>
      </c>
      <c r="K131" s="30" t="inlineStr">
        <is>
          <t>Not Executed</t>
        </is>
      </c>
      <c r="L131" s="31" t="inlineStr"/>
      <c r="M131" s="31" t="inlineStr"/>
      <c r="N131" s="31" t="inlineStr"/>
      <c r="O131" s="31" t="inlineStr"/>
    </row>
    <row r="132">
      <c r="A132" s="32" t="inlineStr">
        <is>
          <t>UT-AUD-004</t>
        </is>
      </c>
      <c r="B132" s="33" t="inlineStr">
        <is>
          <t>Audit Trail</t>
        </is>
      </c>
      <c r="C132" s="34" t="inlineStr">
        <is>
          <t>FR-AUD-004</t>
        </is>
      </c>
      <c r="D132" s="33" t="inlineStr">
        <is>
          <t>Verify analyst override captured (original AI value, corrected value, field, ts, identity).</t>
        </is>
      </c>
      <c r="E132" s="33" t="inlineStr">
        <is>
          <t>Override performed.</t>
        </is>
      </c>
      <c r="F132" s="33" t="inlineStr">
        <is>
          <t>1. Override a field.
2. Inspect audit.</t>
        </is>
      </c>
      <c r="G132" s="33" t="inlineStr">
        <is>
          <t>Override</t>
        </is>
      </c>
      <c r="H132" s="33" t="inlineStr">
        <is>
          <t>All five override attributes captured.</t>
        </is>
      </c>
      <c r="I132" s="34" t="inlineStr">
        <is>
          <t>Positive</t>
        </is>
      </c>
      <c r="J132" s="34" t="inlineStr">
        <is>
          <t>P1</t>
        </is>
      </c>
      <c r="K132" s="30" t="inlineStr">
        <is>
          <t>Not Executed</t>
        </is>
      </c>
      <c r="L132" s="31" t="inlineStr"/>
      <c r="M132" s="31" t="inlineStr"/>
      <c r="N132" s="31" t="inlineStr"/>
      <c r="O132" s="31" t="inlineStr"/>
    </row>
    <row r="133">
      <c r="A133" s="27" t="inlineStr">
        <is>
          <t>UT-AUD-005</t>
        </is>
      </c>
      <c r="B133" s="28" t="inlineStr">
        <is>
          <t>Audit Trail</t>
        </is>
      </c>
      <c r="C133" s="29" t="inlineStr">
        <is>
          <t>FR-AUD-005</t>
        </is>
      </c>
      <c r="D133" s="28" t="inlineStr">
        <is>
          <t>Verify config change captured (key, old/new value, admin identity, effective_from).</t>
        </is>
      </c>
      <c r="E133" s="28" t="inlineStr">
        <is>
          <t>Config changed.</t>
        </is>
      </c>
      <c r="F133" s="28" t="inlineStr">
        <is>
          <t>1. Inspect audit.</t>
        </is>
      </c>
      <c r="G133" s="28" t="inlineStr">
        <is>
          <t>Config change</t>
        </is>
      </c>
      <c r="H133" s="28" t="inlineStr">
        <is>
          <t>All five config-change attributes captured.</t>
        </is>
      </c>
      <c r="I133" s="29" t="inlineStr">
        <is>
          <t>Positive</t>
        </is>
      </c>
      <c r="J133" s="29" t="inlineStr">
        <is>
          <t>P2</t>
        </is>
      </c>
      <c r="K133" s="30" t="inlineStr">
        <is>
          <t>Not Executed</t>
        </is>
      </c>
      <c r="L133" s="31" t="inlineStr"/>
      <c r="M133" s="31" t="inlineStr"/>
      <c r="N133" s="31" t="inlineStr"/>
      <c r="O133" s="31" t="inlineStr"/>
    </row>
    <row r="134">
      <c r="A134" s="32" t="inlineStr">
        <is>
          <t>UT-AUD-006</t>
        </is>
      </c>
      <c r="B134" s="33" t="inlineStr">
        <is>
          <t>Audit Trail</t>
        </is>
      </c>
      <c r="C134" s="34" t="inlineStr">
        <is>
          <t>FR-AUD-006</t>
        </is>
      </c>
      <c r="D134" s="33" t="inlineStr">
        <is>
          <t>Verify audit trail is append-only (no event deleted or modified post-write).</t>
        </is>
      </c>
      <c r="E134" s="33" t="inlineStr">
        <is>
          <t>Audit reachable.</t>
        </is>
      </c>
      <c r="F134" s="33" t="inlineStr">
        <is>
          <t>1. Attempt update/delete of an event.</t>
        </is>
      </c>
      <c r="G134" s="33" t="inlineStr">
        <is>
          <t>Tamper attempt</t>
        </is>
      </c>
      <c r="H134" s="33" t="inlineStr">
        <is>
          <t>Operation rejected; event immutable.</t>
        </is>
      </c>
      <c r="I134" s="34" t="inlineStr">
        <is>
          <t>Security</t>
        </is>
      </c>
      <c r="J134" s="34" t="inlineStr">
        <is>
          <t>P1</t>
        </is>
      </c>
      <c r="K134" s="30" t="inlineStr">
        <is>
          <t>Not Executed</t>
        </is>
      </c>
      <c r="L134" s="31" t="inlineStr"/>
      <c r="M134" s="31" t="inlineStr"/>
      <c r="N134" s="31" t="inlineStr"/>
      <c r="O134" s="31" t="inlineStr"/>
    </row>
    <row r="135">
      <c r="A135" s="27" t="inlineStr">
        <is>
          <t>UT-AUD-007</t>
        </is>
      </c>
      <c r="B135" s="28" t="inlineStr">
        <is>
          <t>Audit Trail</t>
        </is>
      </c>
      <c r="C135" s="29" t="inlineStr">
        <is>
          <t>FR-AUD-007</t>
        </is>
      </c>
      <c r="D135" s="28" t="inlineStr">
        <is>
          <t>Verify AI-specific audit data retained under same schedule as standard audit.</t>
        </is>
      </c>
      <c r="E135" s="28" t="inlineStr">
        <is>
          <t>Retention policy set.</t>
        </is>
      </c>
      <c r="F135" s="28" t="inlineStr">
        <is>
          <t>1. Inspect retention config.</t>
        </is>
      </c>
      <c r="G135" s="28" t="inlineStr">
        <is>
          <t>Retention</t>
        </is>
      </c>
      <c r="H135" s="28" t="inlineStr">
        <is>
          <t>AI audit retained per standard schedule.</t>
        </is>
      </c>
      <c r="I135" s="29" t="inlineStr">
        <is>
          <t>Config</t>
        </is>
      </c>
      <c r="J135" s="29" t="inlineStr">
        <is>
          <t>P3</t>
        </is>
      </c>
      <c r="K135" s="30" t="inlineStr">
        <is>
          <t>Not Executed</t>
        </is>
      </c>
      <c r="L135" s="31" t="inlineStr"/>
      <c r="M135" s="31" t="inlineStr"/>
      <c r="N135" s="31" t="inlineStr"/>
      <c r="O135" s="31" t="inlineStr"/>
    </row>
    <row r="136">
      <c r="A136" s="32" t="inlineStr">
        <is>
          <t>UT-AUD-008</t>
        </is>
      </c>
      <c r="B136" s="33" t="inlineStr">
        <is>
          <t>Audit Trail</t>
        </is>
      </c>
      <c r="C136" s="34" t="inlineStr">
        <is>
          <t>FR-AUD-008</t>
        </is>
      </c>
      <c r="D136" s="33" t="inlineStr">
        <is>
          <t>Verify complete reconstruction of a cashflow from ingestion to resolution.</t>
        </is>
      </c>
      <c r="E136" s="33" t="inlineStr">
        <is>
          <t>Completed cashflow.</t>
        </is>
      </c>
      <c r="F136" s="33" t="inlineStr">
        <is>
          <t>1. Reconstruct history from audit.</t>
        </is>
      </c>
      <c r="G136" s="33" t="inlineStr">
        <is>
          <t>1 cashflow</t>
        </is>
      </c>
      <c r="H136" s="33" t="inlineStr">
        <is>
          <t>Full ingestion-&gt;resolution history reconstructable.</t>
        </is>
      </c>
      <c r="I136" s="34" t="inlineStr">
        <is>
          <t>Positive</t>
        </is>
      </c>
      <c r="J136" s="34" t="inlineStr">
        <is>
          <t>P1</t>
        </is>
      </c>
      <c r="K136" s="30" t="inlineStr">
        <is>
          <t>Not Executed</t>
        </is>
      </c>
      <c r="L136" s="31" t="inlineStr"/>
      <c r="M136" s="31" t="inlineStr"/>
      <c r="N136" s="31" t="inlineStr"/>
      <c r="O136" s="31" t="inlineStr"/>
    </row>
    <row r="137">
      <c r="A137" s="27" t="inlineStr">
        <is>
          <t>UT-AUD-009</t>
        </is>
      </c>
      <c r="B137" s="28" t="inlineStr">
        <is>
          <t>Audit Trail</t>
        </is>
      </c>
      <c r="C137" s="29" t="inlineStr">
        <is>
          <t>FR-AUD-009</t>
        </is>
      </c>
      <c r="D137" s="28" t="inlineStr">
        <is>
          <t>Verify override-rate patterns queryable by component/counterparty/product/analyst/time window.</t>
        </is>
      </c>
      <c r="E137" s="28" t="inlineStr">
        <is>
          <t>Override data present.</t>
        </is>
      </c>
      <c r="F137" s="28" t="inlineStr">
        <is>
          <t>1. Query by each dimension.</t>
        </is>
      </c>
      <c r="G137" s="28" t="inlineStr">
        <is>
          <t>Query dims</t>
        </is>
      </c>
      <c r="H137" s="28" t="inlineStr">
        <is>
          <t>Override rates returned per dimension.</t>
        </is>
      </c>
      <c r="I137" s="29" t="inlineStr">
        <is>
          <t>Positive</t>
        </is>
      </c>
      <c r="J137" s="29" t="inlineStr">
        <is>
          <t>P2</t>
        </is>
      </c>
      <c r="K137" s="30" t="inlineStr">
        <is>
          <t>Not Executed</t>
        </is>
      </c>
      <c r="L137" s="31" t="inlineStr"/>
      <c r="M137" s="31" t="inlineStr"/>
      <c r="N137" s="31" t="inlineStr"/>
      <c r="O137" s="31" t="inlineStr"/>
    </row>
    <row r="138">
      <c r="A138" s="32" t="inlineStr">
        <is>
          <t>UT-AIQ-001</t>
        </is>
      </c>
      <c r="B138" s="33" t="inlineStr">
        <is>
          <t>AI Decision Gates</t>
        </is>
      </c>
      <c r="C138" s="34" t="inlineStr">
        <is>
          <t>Gate 1 / FR-ID-014</t>
        </is>
      </c>
      <c r="D138" s="33" t="inlineStr">
        <is>
          <t>Verify Gate 1 below-threshold routes email to extraction and logs outcome.</t>
        </is>
      </c>
      <c r="E138" s="33" t="inlineStr">
        <is>
          <t>Thresholds set.</t>
        </is>
      </c>
      <c r="F138" s="33" t="inlineStr">
        <is>
          <t>1. Classify below both labels.</t>
        </is>
      </c>
      <c r="G138" s="33" t="inlineStr">
        <is>
          <t>below both</t>
        </is>
      </c>
      <c r="H138" s="33" t="inlineStr">
        <is>
          <t>To extraction; logged.</t>
        </is>
      </c>
      <c r="I138" s="34" t="inlineStr">
        <is>
          <t>Positive</t>
        </is>
      </c>
      <c r="J138" s="34" t="inlineStr">
        <is>
          <t>P1</t>
        </is>
      </c>
      <c r="K138" s="30" t="inlineStr">
        <is>
          <t>Not Executed</t>
        </is>
      </c>
      <c r="L138" s="31" t="inlineStr"/>
      <c r="M138" s="31" t="inlineStr"/>
      <c r="N138" s="31" t="inlineStr"/>
      <c r="O138" s="31" t="inlineStr"/>
    </row>
    <row r="139">
      <c r="A139" s="27" t="inlineStr">
        <is>
          <t>UT-AIQ-002</t>
        </is>
      </c>
      <c r="B139" s="28" t="inlineStr">
        <is>
          <t>AI Decision Gates</t>
        </is>
      </c>
      <c r="C139" s="29" t="inlineStr">
        <is>
          <t>Gate 2 / FR-EXT-008</t>
        </is>
      </c>
      <c r="D139" s="28" t="inlineStr">
        <is>
          <t>Verify Gate 2 below-threshold flags field LOW_CONFIDENCE without blocking.</t>
        </is>
      </c>
      <c r="E139" s="28" t="inlineStr">
        <is>
          <t>Threshold set.</t>
        </is>
      </c>
      <c r="F139" s="28" t="inlineStr">
        <is>
          <t>1. Low-confidence field.</t>
        </is>
      </c>
      <c r="G139" s="28" t="inlineStr">
        <is>
          <t>below thr</t>
        </is>
      </c>
      <c r="H139" s="28" t="inlineStr">
        <is>
          <t>Flagged; not blocked.</t>
        </is>
      </c>
      <c r="I139" s="29" t="inlineStr">
        <is>
          <t>Positive</t>
        </is>
      </c>
      <c r="J139" s="29" t="inlineStr">
        <is>
          <t>P1</t>
        </is>
      </c>
      <c r="K139" s="30" t="inlineStr">
        <is>
          <t>Not Executed</t>
        </is>
      </c>
      <c r="L139" s="31" t="inlineStr"/>
      <c r="M139" s="31" t="inlineStr"/>
      <c r="N139" s="31" t="inlineStr"/>
      <c r="O139" s="31" t="inlineStr"/>
    </row>
    <row r="140">
      <c r="A140" s="32" t="inlineStr">
        <is>
          <t>UT-AIQ-003</t>
        </is>
      </c>
      <c r="B140" s="33" t="inlineStr">
        <is>
          <t>AI Decision Gates</t>
        </is>
      </c>
      <c r="C140" s="34" t="inlineStr">
        <is>
          <t>Gate 3</t>
        </is>
      </c>
      <c r="D140" s="33" t="inlineStr">
        <is>
          <t>Verify Gate 3 below-threshold surfaces candidates without AI order for manual selection.</t>
        </is>
      </c>
      <c r="E140" s="33" t="inlineStr">
        <is>
          <t>Tier 2/3 scoring low.</t>
        </is>
      </c>
      <c r="F140" s="33" t="inlineStr">
        <is>
          <t>1. Low ranking confidence.</t>
        </is>
      </c>
      <c r="G140" s="33" t="inlineStr">
        <is>
          <t>below thr</t>
        </is>
      </c>
      <c r="H140" s="33" t="inlineStr">
        <is>
          <t>Candidates unordered; analyst selects.</t>
        </is>
      </c>
      <c r="I140" s="34" t="inlineStr">
        <is>
          <t>Positive</t>
        </is>
      </c>
      <c r="J140" s="34" t="inlineStr">
        <is>
          <t>P2</t>
        </is>
      </c>
      <c r="K140" s="30" t="inlineStr">
        <is>
          <t>Not Executed</t>
        </is>
      </c>
      <c r="L140" s="31" t="inlineStr"/>
      <c r="M140" s="31" t="inlineStr"/>
      <c r="N140" s="31" t="inlineStr"/>
      <c r="O140" s="31" t="inlineStr"/>
    </row>
    <row r="141">
      <c r="A141" s="27" t="inlineStr">
        <is>
          <t>UT-AIQ-004</t>
        </is>
      </c>
      <c r="B141" s="28" t="inlineStr">
        <is>
          <t>AI Decision Gates</t>
        </is>
      </c>
      <c r="C141" s="29" t="inlineStr">
        <is>
          <t>FR-AIQ-002</t>
        </is>
      </c>
      <c r="D141" s="28" t="inlineStr">
        <is>
          <t>Verify gate thresholds configurable via Admin without code deploy.</t>
        </is>
      </c>
      <c r="E141" s="28" t="inlineStr">
        <is>
          <t>Admin session.</t>
        </is>
      </c>
      <c r="F141" s="28" t="inlineStr">
        <is>
          <t>1. Change gate threshold.</t>
        </is>
      </c>
      <c r="G141" s="28" t="inlineStr">
        <is>
          <t>threshold</t>
        </is>
      </c>
      <c r="H141" s="28" t="inlineStr">
        <is>
          <t>Applied; no redeploy.</t>
        </is>
      </c>
      <c r="I141" s="29" t="inlineStr">
        <is>
          <t>Config</t>
        </is>
      </c>
      <c r="J141" s="29" t="inlineStr">
        <is>
          <t>P2</t>
        </is>
      </c>
      <c r="K141" s="30" t="inlineStr">
        <is>
          <t>Not Executed</t>
        </is>
      </c>
      <c r="L141" s="31" t="inlineStr"/>
      <c r="M141" s="31" t="inlineStr"/>
      <c r="N141" s="31" t="inlineStr"/>
      <c r="O141" s="31" t="inlineStr"/>
    </row>
    <row r="142">
      <c r="A142" s="32" t="inlineStr">
        <is>
          <t>UT-AIQ-005</t>
        </is>
      </c>
      <c r="B142" s="33" t="inlineStr">
        <is>
          <t>AI Decision Gates</t>
        </is>
      </c>
      <c r="C142" s="34" t="inlineStr">
        <is>
          <t>FR-AIQ-003</t>
        </is>
      </c>
      <c r="D142" s="33" t="inlineStr">
        <is>
          <t>Verify threshold change does NOT retroactively affect in-flight cashflows.</t>
        </is>
      </c>
      <c r="E142" s="33" t="inlineStr">
        <is>
          <t>In-flight cashflows.</t>
        </is>
      </c>
      <c r="F142" s="33" t="inlineStr">
        <is>
          <t>1. Change threshold mid-flight.</t>
        </is>
      </c>
      <c r="G142" s="33" t="inlineStr">
        <is>
          <t>in-flight</t>
        </is>
      </c>
      <c r="H142" s="33" t="inlineStr">
        <is>
          <t>Existing cashflows unaffected.</t>
        </is>
      </c>
      <c r="I142" s="34" t="inlineStr">
        <is>
          <t>Config</t>
        </is>
      </c>
      <c r="J142" s="34" t="inlineStr">
        <is>
          <t>P1</t>
        </is>
      </c>
      <c r="K142" s="30" t="inlineStr">
        <is>
          <t>Not Executed</t>
        </is>
      </c>
      <c r="L142" s="31" t="inlineStr"/>
      <c r="M142" s="31" t="inlineStr"/>
      <c r="N142" s="31" t="inlineStr"/>
      <c r="O142" s="31" t="inlineStr"/>
    </row>
    <row r="143">
      <c r="A143" s="27" t="inlineStr">
        <is>
          <t>UT-AIQ-006</t>
        </is>
      </c>
      <c r="B143" s="28" t="inlineStr">
        <is>
          <t>AI Decision Gates</t>
        </is>
      </c>
      <c r="C143" s="29" t="inlineStr">
        <is>
          <t>FR-AIQ-004</t>
        </is>
      </c>
      <c r="D143" s="28" t="inlineStr">
        <is>
          <t>Verify no auto-settlement regardless of AI confidence level.</t>
        </is>
      </c>
      <c r="E143" s="28" t="inlineStr">
        <is>
          <t>Confidence = 1.0.</t>
        </is>
      </c>
      <c r="F143" s="28" t="inlineStr">
        <is>
          <t>1. Reach match at max confidence.</t>
        </is>
      </c>
      <c r="G143" s="28" t="inlineStr">
        <is>
          <t>conf=1.0</t>
        </is>
      </c>
      <c r="H143" s="28" t="inlineStr">
        <is>
          <t>Still requires explicit analyst confirmation.</t>
        </is>
      </c>
      <c r="I143" s="29" t="inlineStr">
        <is>
          <t>Negative</t>
        </is>
      </c>
      <c r="J143" s="29" t="inlineStr">
        <is>
          <t>P1</t>
        </is>
      </c>
      <c r="K143" s="30" t="inlineStr">
        <is>
          <t>Not Executed</t>
        </is>
      </c>
      <c r="L143" s="31" t="inlineStr"/>
      <c r="M143" s="31" t="inlineStr"/>
      <c r="N143" s="31" t="inlineStr"/>
      <c r="O143" s="31" t="inlineStr"/>
    </row>
    <row r="144">
      <c r="A144" s="32" t="inlineStr">
        <is>
          <t>UT-AIQ-007</t>
        </is>
      </c>
      <c r="B144" s="33" t="inlineStr">
        <is>
          <t>AI Decision Gates</t>
        </is>
      </c>
      <c r="C144" s="34" t="inlineStr">
        <is>
          <t>FR-AIQ-010</t>
        </is>
      </c>
      <c r="D144" s="33" t="inlineStr">
        <is>
          <t>Verify performance degradation without config change is surfaced as a signal.</t>
        </is>
      </c>
      <c r="E144" s="33" t="inlineStr">
        <is>
          <t>Drift monitor active.</t>
        </is>
      </c>
      <c r="F144" s="33" t="inlineStr">
        <is>
          <t>1. Simulate accuracy drop, no config change.</t>
        </is>
      </c>
      <c r="G144" s="33" t="inlineStr">
        <is>
          <t>accuracy drop</t>
        </is>
      </c>
      <c r="H144" s="33" t="inlineStr">
        <is>
          <t>Degradation surfaced for investigation.</t>
        </is>
      </c>
      <c r="I144" s="34" t="inlineStr">
        <is>
          <t>Positive</t>
        </is>
      </c>
      <c r="J144" s="34" t="inlineStr">
        <is>
          <t>P2</t>
        </is>
      </c>
      <c r="K144" s="30" t="inlineStr">
        <is>
          <t>Not Executed</t>
        </is>
      </c>
      <c r="L144" s="31" t="inlineStr"/>
      <c r="M144" s="31" t="inlineStr"/>
      <c r="N144" s="31" t="inlineStr"/>
      <c r="O144" s="31" t="inlineStr"/>
    </row>
    <row r="145">
      <c r="A145" s="27" t="inlineStr">
        <is>
          <t>UT-AIQ-008</t>
        </is>
      </c>
      <c r="B145" s="28" t="inlineStr">
        <is>
          <t>AI Decision Gates</t>
        </is>
      </c>
      <c r="C145" s="29" t="inlineStr">
        <is>
          <t>FR-AIQ-011</t>
        </is>
      </c>
      <c r="D145" s="28" t="inlineStr">
        <is>
          <t>Verify drift detection monitors override spikes, confidence drop, per-CP/product accuracy.</t>
        </is>
      </c>
      <c r="E145" s="28" t="inlineStr">
        <is>
          <t>Drift monitor active.</t>
        </is>
      </c>
      <c r="F145" s="28" t="inlineStr">
        <is>
          <t>1. Trigger each drift signal.</t>
        </is>
      </c>
      <c r="G145" s="28" t="inlineStr">
        <is>
          <t>3 signals</t>
        </is>
      </c>
      <c r="H145" s="28" t="inlineStr">
        <is>
          <t>All three signals detected.</t>
        </is>
      </c>
      <c r="I145" s="29" t="inlineStr">
        <is>
          <t>Positive</t>
        </is>
      </c>
      <c r="J145" s="29" t="inlineStr">
        <is>
          <t>P2</t>
        </is>
      </c>
      <c r="K145" s="30" t="inlineStr">
        <is>
          <t>Not Executed</t>
        </is>
      </c>
      <c r="L145" s="31" t="inlineStr"/>
      <c r="M145" s="31" t="inlineStr"/>
      <c r="N145" s="31" t="inlineStr"/>
      <c r="O145" s="31" t="inlineStr"/>
    </row>
  </sheetData>
  <autoFilter ref="A2:O1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40" customWidth="1" min="4" max="4"/>
    <col width="34" customWidth="1" min="5" max="5"/>
    <col width="52" customWidth="1" min="6" max="6"/>
    <col width="30" customWidth="1" min="7" max="7"/>
    <col width="48" customWidth="1" min="8" max="8"/>
    <col width="15" customWidth="1" min="9" max="9"/>
    <col width="10" customWidth="1" min="10" max="10"/>
    <col width="14" customWidth="1" min="11" max="11"/>
    <col width="30" customWidth="1" min="12" max="12"/>
    <col width="14" customWidth="1" min="13" max="13"/>
    <col width="14" customWidth="1" min="14" max="14"/>
    <col width="14" customWidth="1" min="15" max="15"/>
  </cols>
  <sheetData>
    <row r="1" ht="22" customHeight="1">
      <c r="A1" s="35" t="inlineStr">
        <is>
          <t>FUNCTIONAL TEST CASES</t>
        </is>
      </c>
      <c r="B1" s="36" t="inlineStr"/>
      <c r="C1" s="36" t="inlineStr"/>
      <c r="D1" s="36" t="inlineStr"/>
      <c r="E1" s="36" t="inlineStr"/>
      <c r="F1" s="36" t="inlineStr"/>
      <c r="G1" s="36" t="inlineStr"/>
      <c r="H1" s="36" t="inlineStr"/>
      <c r="I1" s="36" t="inlineStr"/>
      <c r="J1" s="36" t="inlineStr"/>
      <c r="K1" s="36" t="inlineStr"/>
      <c r="L1" s="36" t="inlineStr"/>
      <c r="M1" s="36" t="inlineStr"/>
      <c r="N1" s="36" t="inlineStr"/>
      <c r="O1" s="36" t="inlineStr"/>
    </row>
    <row r="2" ht="34" customHeight="1">
      <c r="A2" s="26" t="inlineStr">
        <is>
          <t>Test Case ID</t>
        </is>
      </c>
      <c r="B2" s="26" t="inlineStr">
        <is>
          <t>Capability / Area</t>
        </is>
      </c>
      <c r="C2" s="26" t="inlineStr">
        <is>
          <t>Requirement Ref</t>
        </is>
      </c>
      <c r="D2" s="26" t="inlineStr">
        <is>
          <t>Scenario / Title</t>
        </is>
      </c>
      <c r="E2" s="26" t="inlineStr">
        <is>
          <t>Preconditions</t>
        </is>
      </c>
      <c r="F2" s="26" t="inlineStr">
        <is>
          <t>Test Steps</t>
        </is>
      </c>
      <c r="G2" s="26" t="inlineStr">
        <is>
          <t>Test Data</t>
        </is>
      </c>
      <c r="H2" s="26" t="inlineStr">
        <is>
          <t>Expected Result</t>
        </is>
      </c>
      <c r="I2" s="26" t="inlineStr">
        <is>
          <t>Test Type</t>
        </is>
      </c>
      <c r="J2" s="26" t="inlineStr">
        <is>
          <t>Priority</t>
        </is>
      </c>
      <c r="K2" s="26" t="inlineStr">
        <is>
          <t>Status</t>
        </is>
      </c>
      <c r="L2" s="26" t="inlineStr">
        <is>
          <t>Actual Result</t>
        </is>
      </c>
      <c r="M2" s="26" t="inlineStr">
        <is>
          <t>Executed By</t>
        </is>
      </c>
      <c r="N2" s="26" t="inlineStr">
        <is>
          <t>Executed On</t>
        </is>
      </c>
      <c r="O2" s="26" t="inlineStr">
        <is>
          <t>Defect Ref</t>
        </is>
      </c>
    </row>
    <row r="3">
      <c r="A3" s="27" t="inlineStr">
        <is>
          <t>FT-C1-001</t>
        </is>
      </c>
      <c r="B3" s="28" t="inlineStr">
        <is>
          <t>C1 Email Ingestion</t>
        </is>
      </c>
      <c r="C3" s="29" t="inlineStr">
        <is>
          <t>FR-ING-001/003</t>
        </is>
      </c>
      <c r="D3" s="28" t="inlineStr">
        <is>
          <t>New in-scope counterparty email is ingested and queued for processing.</t>
        </is>
      </c>
      <c r="E3" s="28" t="inlineStr">
        <is>
          <t>Routing=100%; mailbox reachable.</t>
        </is>
      </c>
      <c r="F3" s="28" t="inlineStr">
        <is>
          <t>1. Send new external trade email.
2. Wait for poll.
3. Check queue.</t>
        </is>
      </c>
      <c r="G3" s="28" t="inlineStr">
        <is>
          <t>New CP email</t>
        </is>
      </c>
      <c r="H3" s="28" t="inlineStr">
        <is>
          <t>Email ingested and queued; last-poll timestamp advanced.</t>
        </is>
      </c>
      <c r="I3" s="29" t="inlineStr">
        <is>
          <t>E2E</t>
        </is>
      </c>
      <c r="J3" s="29" t="inlineStr">
        <is>
          <t>P1</t>
        </is>
      </c>
      <c r="K3" s="30" t="inlineStr">
        <is>
          <t>Not Executed</t>
        </is>
      </c>
      <c r="L3" s="31" t="inlineStr"/>
      <c r="M3" s="31" t="inlineStr"/>
      <c r="N3" s="31" t="inlineStr"/>
      <c r="O3" s="31" t="inlineStr"/>
    </row>
    <row r="4">
      <c r="A4" s="32" t="inlineStr">
        <is>
          <t>FT-C1-002</t>
        </is>
      </c>
      <c r="B4" s="33" t="inlineStr">
        <is>
          <t>C1 Email Ingestion</t>
        </is>
      </c>
      <c r="C4" s="34" t="inlineStr">
        <is>
          <t>FR-RTE-001/002</t>
        </is>
      </c>
      <c r="D4" s="33" t="inlineStr">
        <is>
          <t>Routing throttle at 30% splits traffic between new solution and manual flow.</t>
        </is>
      </c>
      <c r="E4" s="33" t="inlineStr">
        <is>
          <t>routing_pct=30.</t>
        </is>
      </c>
      <c r="F4" s="33" t="inlineStr">
        <is>
          <t>1. Ingest 100 in-scope mails.
2. Count split.</t>
        </is>
      </c>
      <c r="G4" s="33" t="inlineStr">
        <is>
          <t>100 mails, 30%</t>
        </is>
      </c>
      <c r="H4" s="33" t="inlineStr">
        <is>
          <t>~30 to new solution, ~70 to manual; manual untouched.</t>
        </is>
      </c>
      <c r="I4" s="34" t="inlineStr">
        <is>
          <t>Positive</t>
        </is>
      </c>
      <c r="J4" s="34" t="inlineStr">
        <is>
          <t>P2</t>
        </is>
      </c>
      <c r="K4" s="30" t="inlineStr">
        <is>
          <t>Not Executed</t>
        </is>
      </c>
      <c r="L4" s="31" t="inlineStr"/>
      <c r="M4" s="31" t="inlineStr"/>
      <c r="N4" s="31" t="inlineStr"/>
      <c r="O4" s="31" t="inlineStr"/>
    </row>
    <row r="5">
      <c r="A5" s="27" t="inlineStr">
        <is>
          <t>FT-C1-003</t>
        </is>
      </c>
      <c r="B5" s="28" t="inlineStr">
        <is>
          <t>C1 Email Ingestion</t>
        </is>
      </c>
      <c r="C5" s="29" t="inlineStr">
        <is>
          <t>FR-ING-004/005</t>
        </is>
      </c>
      <c r="D5" s="28" t="inlineStr">
        <is>
          <t>Poll failure then restart recovers without loss or reprocessing.</t>
        </is>
      </c>
      <c r="E5" s="28" t="inlineStr">
        <is>
          <t>Emails pending.</t>
        </is>
      </c>
      <c r="F5" s="28" t="inlineStr">
        <is>
          <t>1. Force poll failure.
2. Retry/alert.
3. Restart service.
4. Resume poll.</t>
        </is>
      </c>
      <c r="G5" s="28" t="inlineStr">
        <is>
          <t>Outage window</t>
        </is>
      </c>
      <c r="H5" s="28" t="inlineStr">
        <is>
          <t>No email lost; none reprocessed; alert raised.</t>
        </is>
      </c>
      <c r="I5" s="29" t="inlineStr">
        <is>
          <t>E2E</t>
        </is>
      </c>
      <c r="J5" s="29" t="inlineStr">
        <is>
          <t>P1</t>
        </is>
      </c>
      <c r="K5" s="30" t="inlineStr">
        <is>
          <t>Not Executed</t>
        </is>
      </c>
      <c r="L5" s="31" t="inlineStr"/>
      <c r="M5" s="31" t="inlineStr"/>
      <c r="N5" s="31" t="inlineStr"/>
      <c r="O5" s="31" t="inlineStr"/>
    </row>
    <row r="6">
      <c r="A6" s="32" t="inlineStr">
        <is>
          <t>FT-C2-001</t>
        </is>
      </c>
      <c r="B6" s="33" t="inlineStr">
        <is>
          <t>C2 Identification</t>
        </is>
      </c>
      <c r="C6" s="34" t="inlineStr">
        <is>
          <t>FR-ID-001</t>
        </is>
      </c>
      <c r="D6" s="33" t="inlineStr">
        <is>
          <t>Internal @nomura.com email is dropped end-to-end.</t>
        </is>
      </c>
      <c r="E6" s="33" t="inlineStr">
        <is>
          <t>Filter active.</t>
        </is>
      </c>
      <c r="F6" s="33" t="inlineStr">
        <is>
          <t>1. Send from internal address.
2. Observe outcome.</t>
        </is>
      </c>
      <c r="G6" s="33" t="inlineStr">
        <is>
          <t>Internal sender</t>
        </is>
      </c>
      <c r="H6" s="33" t="inlineStr">
        <is>
          <t>Dropped; not tagged; drop audited.</t>
        </is>
      </c>
      <c r="I6" s="34" t="inlineStr">
        <is>
          <t>Negative</t>
        </is>
      </c>
      <c r="J6" s="34" t="inlineStr">
        <is>
          <t>P1</t>
        </is>
      </c>
      <c r="K6" s="30" t="inlineStr">
        <is>
          <t>Not Executed</t>
        </is>
      </c>
      <c r="L6" s="31" t="inlineStr"/>
      <c r="M6" s="31" t="inlineStr"/>
      <c r="N6" s="31" t="inlineStr"/>
      <c r="O6" s="31" t="inlineStr"/>
    </row>
    <row r="7">
      <c r="A7" s="27" t="inlineStr">
        <is>
          <t>FT-C2-002</t>
        </is>
      </c>
      <c r="B7" s="28" t="inlineStr">
        <is>
          <t>C2 Identification</t>
        </is>
      </c>
      <c r="C7" s="29" t="inlineStr">
        <is>
          <t>FR-ID-003</t>
        </is>
      </c>
      <c r="D7" s="28" t="inlineStr">
        <is>
          <t>Reply email on an existing thread is dropped.</t>
        </is>
      </c>
      <c r="E7" s="28" t="inlineStr">
        <is>
          <t>Filter active.</t>
        </is>
      </c>
      <c r="F7" s="28" t="inlineStr">
        <is>
          <t>1. Send reply with In-Reply-To.
2. Observe.</t>
        </is>
      </c>
      <c r="G7" s="28" t="inlineStr">
        <is>
          <t>Reply email</t>
        </is>
      </c>
      <c r="H7" s="28" t="inlineStr">
        <is>
          <t>Dropped; drop logged.</t>
        </is>
      </c>
      <c r="I7" s="29" t="inlineStr">
        <is>
          <t>Negative</t>
        </is>
      </c>
      <c r="J7" s="29" t="inlineStr">
        <is>
          <t>P1</t>
        </is>
      </c>
      <c r="K7" s="30" t="inlineStr">
        <is>
          <t>Not Executed</t>
        </is>
      </c>
      <c r="L7" s="31" t="inlineStr"/>
      <c r="M7" s="31" t="inlineStr"/>
      <c r="N7" s="31" t="inlineStr"/>
      <c r="O7" s="31" t="inlineStr"/>
    </row>
    <row r="8">
      <c r="A8" s="32" t="inlineStr">
        <is>
          <t>FT-C2-003</t>
        </is>
      </c>
      <c r="B8" s="33" t="inlineStr">
        <is>
          <t>C2 Identification</t>
        </is>
      </c>
      <c r="C8" s="34" t="inlineStr">
        <is>
          <t>FR-ID-004</t>
        </is>
      </c>
      <c r="D8" s="33" t="inlineStr">
        <is>
          <t>Bounce-back (NDR) email is dropped with distinct reason.</t>
        </is>
      </c>
      <c r="E8" s="33" t="inlineStr">
        <is>
          <t>Filter active.</t>
        </is>
      </c>
      <c r="F8" s="33" t="inlineStr">
        <is>
          <t>1. Trigger NDR to mailbox.
2. Observe.</t>
        </is>
      </c>
      <c r="G8" s="33" t="inlineStr">
        <is>
          <t>NDR email</t>
        </is>
      </c>
      <c r="H8" s="33" t="inlineStr">
        <is>
          <t>Dropped; reason 'bounce-back'.</t>
        </is>
      </c>
      <c r="I8" s="34" t="inlineStr">
        <is>
          <t>Negative</t>
        </is>
      </c>
      <c r="J8" s="34" t="inlineStr">
        <is>
          <t>P2</t>
        </is>
      </c>
      <c r="K8" s="30" t="inlineStr">
        <is>
          <t>Not Executed</t>
        </is>
      </c>
      <c r="L8" s="31" t="inlineStr"/>
      <c r="M8" s="31" t="inlineStr"/>
      <c r="N8" s="31" t="inlineStr"/>
      <c r="O8" s="31" t="inlineStr"/>
    </row>
    <row r="9">
      <c r="A9" s="27" t="inlineStr">
        <is>
          <t>FT-C2-004</t>
        </is>
      </c>
      <c r="B9" s="28" t="inlineStr">
        <is>
          <t>C2 Identification</t>
        </is>
      </c>
      <c r="C9" s="29" t="inlineStr">
        <is>
          <t>FR-ID-005</t>
        </is>
      </c>
      <c r="D9" s="28" t="inlineStr">
        <is>
          <t>Out-of-office auto-reply is dropped with distinct reason.</t>
        </is>
      </c>
      <c r="E9" s="28" t="inlineStr">
        <is>
          <t>Filter active.</t>
        </is>
      </c>
      <c r="F9" s="28" t="inlineStr">
        <is>
          <t>1. Send OOO auto-reply.
2. Observe.</t>
        </is>
      </c>
      <c r="G9" s="28" t="inlineStr">
        <is>
          <t>OOO email</t>
        </is>
      </c>
      <c r="H9" s="28" t="inlineStr">
        <is>
          <t>Dropped; reason 'auto-reply'.</t>
        </is>
      </c>
      <c r="I9" s="29" t="inlineStr">
        <is>
          <t>Negative</t>
        </is>
      </c>
      <c r="J9" s="29" t="inlineStr">
        <is>
          <t>P2</t>
        </is>
      </c>
      <c r="K9" s="30" t="inlineStr">
        <is>
          <t>Not Executed</t>
        </is>
      </c>
      <c r="L9" s="31" t="inlineStr"/>
      <c r="M9" s="31" t="inlineStr"/>
      <c r="N9" s="31" t="inlineStr"/>
      <c r="O9" s="31" t="inlineStr"/>
    </row>
    <row r="10">
      <c r="A10" s="32" t="inlineStr">
        <is>
          <t>FT-C2-005</t>
        </is>
      </c>
      <c r="B10" s="33" t="inlineStr">
        <is>
          <t>C2 Identification</t>
        </is>
      </c>
      <c r="C10" s="34" t="inlineStr">
        <is>
          <t>FR-ID-012</t>
        </is>
      </c>
      <c r="D10" s="33" t="inlineStr">
        <is>
          <t>SSI-verification email is classified, tagged SSI_VERIFICATION and NOT advanced.</t>
        </is>
      </c>
      <c r="E10" s="33" t="inlineStr">
        <is>
          <t>Classifier live.</t>
        </is>
      </c>
      <c r="F10" s="33" t="inlineStr">
        <is>
          <t>1. Send SSI-verification email.
2. Observe label/tag.</t>
        </is>
      </c>
      <c r="G10" s="33" t="inlineStr">
        <is>
          <t>SSI email</t>
        </is>
      </c>
      <c r="H10" s="33" t="inlineStr">
        <is>
          <t>Tagged SSI_VERIFICATION; extraction not triggered.</t>
        </is>
      </c>
      <c r="I10" s="34" t="inlineStr">
        <is>
          <t>E2E</t>
        </is>
      </c>
      <c r="J10" s="34" t="inlineStr">
        <is>
          <t>P1</t>
        </is>
      </c>
      <c r="K10" s="30" t="inlineStr">
        <is>
          <t>Not Executed</t>
        </is>
      </c>
      <c r="L10" s="31" t="inlineStr"/>
      <c r="M10" s="31" t="inlineStr"/>
      <c r="N10" s="31" t="inlineStr"/>
      <c r="O10" s="31" t="inlineStr"/>
    </row>
    <row r="11">
      <c r="A11" s="27" t="inlineStr">
        <is>
          <t>FT-C2-006</t>
        </is>
      </c>
      <c r="B11" s="28" t="inlineStr">
        <is>
          <t>C2 Identification</t>
        </is>
      </c>
      <c r="C11" s="29" t="inlineStr">
        <is>
          <t>FR-ID-013</t>
        </is>
      </c>
      <c r="D11" s="28" t="inlineStr">
        <is>
          <t>Reaffirmation email is classified, tagged and NOT advanced.</t>
        </is>
      </c>
      <c r="E11" s="28" t="inlineStr">
        <is>
          <t>Classifier live.</t>
        </is>
      </c>
      <c r="F11" s="28" t="inlineStr">
        <is>
          <t>1. Send reaffirmation email.
2. Observe.</t>
        </is>
      </c>
      <c r="G11" s="28" t="inlineStr">
        <is>
          <t>Reaffirm email</t>
        </is>
      </c>
      <c r="H11" s="28" t="inlineStr">
        <is>
          <t>Tagged CONFIRMATION_REAFFIRMATION; not advanced.</t>
        </is>
      </c>
      <c r="I11" s="29" t="inlineStr">
        <is>
          <t>E2E</t>
        </is>
      </c>
      <c r="J11" s="29" t="inlineStr">
        <is>
          <t>P1</t>
        </is>
      </c>
      <c r="K11" s="30" t="inlineStr">
        <is>
          <t>Not Executed</t>
        </is>
      </c>
      <c r="L11" s="31" t="inlineStr"/>
      <c r="M11" s="31" t="inlineStr"/>
      <c r="N11" s="31" t="inlineStr"/>
      <c r="O11" s="31" t="inlineStr"/>
    </row>
    <row r="12">
      <c r="A12" s="32" t="inlineStr">
        <is>
          <t>FT-C2-007</t>
        </is>
      </c>
      <c r="B12" s="33" t="inlineStr">
        <is>
          <t>C2 Identification</t>
        </is>
      </c>
      <c r="C12" s="34" t="inlineStr">
        <is>
          <t>FR-ID-014</t>
        </is>
      </c>
      <c r="D12" s="33" t="inlineStr">
        <is>
          <t>Ambiguous email (both labels below threshold) proceeds to extraction.</t>
        </is>
      </c>
      <c r="E12" s="33" t="inlineStr">
        <is>
          <t>Classifier live.</t>
        </is>
      </c>
      <c r="F12" s="33" t="inlineStr">
        <is>
          <t>1. Send ambiguous trade email.
2. Observe.</t>
        </is>
      </c>
      <c r="G12" s="33" t="inlineStr">
        <is>
          <t>Ambiguous email</t>
        </is>
      </c>
      <c r="H12" s="33" t="inlineStr">
        <is>
          <t>Advances to extraction; below-threshold logged.</t>
        </is>
      </c>
      <c r="I12" s="34" t="inlineStr">
        <is>
          <t>E2E</t>
        </is>
      </c>
      <c r="J12" s="34" t="inlineStr">
        <is>
          <t>P1</t>
        </is>
      </c>
      <c r="K12" s="30" t="inlineStr">
        <is>
          <t>Not Executed</t>
        </is>
      </c>
      <c r="L12" s="31" t="inlineStr"/>
      <c r="M12" s="31" t="inlineStr"/>
      <c r="N12" s="31" t="inlineStr"/>
      <c r="O12" s="31" t="inlineStr"/>
    </row>
    <row r="13">
      <c r="A13" s="27" t="inlineStr">
        <is>
          <t>FT-C3-001</t>
        </is>
      </c>
      <c r="B13" s="28" t="inlineStr">
        <is>
          <t>C3 Outlook Tagging</t>
        </is>
      </c>
      <c r="C13" s="29" t="inlineStr">
        <is>
          <t>FR-TAG-003/004</t>
        </is>
      </c>
      <c r="D13" s="28" t="inlineStr">
        <is>
          <t>Picked email tagged with analyst-id + state via alphabet mapping.</t>
        </is>
      </c>
      <c r="E13" s="28" t="inlineStr">
        <is>
          <t>analyst_client_map set.</t>
        </is>
      </c>
      <c r="F13" s="28" t="inlineStr">
        <is>
          <t>1. Pick email for CP 'Deutsche'.
2. Inspect Outlook tag.</t>
        </is>
      </c>
      <c r="G13" s="28" t="inlineStr">
        <is>
          <t>CP=Deutsche</t>
        </is>
      </c>
      <c r="H13" s="28" t="inlineStr">
        <is>
          <t>Tag '&lt;analyst&gt;, AWAITING_CONFIRMATION' per mapping.</t>
        </is>
      </c>
      <c r="I13" s="29" t="inlineStr">
        <is>
          <t>E2E</t>
        </is>
      </c>
      <c r="J13" s="29" t="inlineStr">
        <is>
          <t>P1</t>
        </is>
      </c>
      <c r="K13" s="30" t="inlineStr">
        <is>
          <t>Not Executed</t>
        </is>
      </c>
      <c r="L13" s="31" t="inlineStr"/>
      <c r="M13" s="31" t="inlineStr"/>
      <c r="N13" s="31" t="inlineStr"/>
      <c r="O13" s="31" t="inlineStr"/>
    </row>
    <row r="14">
      <c r="A14" s="32" t="inlineStr">
        <is>
          <t>FT-C3-002</t>
        </is>
      </c>
      <c r="B14" s="33" t="inlineStr">
        <is>
          <t>C3 Outlook Tagging</t>
        </is>
      </c>
      <c r="C14" s="34" t="inlineStr">
        <is>
          <t>FR-TAG-010/011/012</t>
        </is>
      </c>
      <c r="D14" s="33" t="inlineStr">
        <is>
          <t>Tag lifecycle transitions correctly across a full processing run.</t>
        </is>
      </c>
      <c r="E14" s="33" t="inlineStr">
        <is>
          <t>Email in progress.</t>
        </is>
      </c>
      <c r="F14" s="33" t="inlineStr">
        <is>
          <t>1. Progress confirm-&gt;match-&gt;resolve.
2. Observe tag at each step.</t>
        </is>
      </c>
      <c r="G14" s="33" t="inlineStr">
        <is>
          <t>Full run</t>
        </is>
      </c>
      <c r="H14" s="33" t="inlineStr">
        <is>
          <t>Tags follow AWAITING_CONFIRMATION-&gt;AWAITING_REVIEW-&gt;RESOLVED_*.</t>
        </is>
      </c>
      <c r="I14" s="34" t="inlineStr">
        <is>
          <t>E2E</t>
        </is>
      </c>
      <c r="J14" s="34" t="inlineStr">
        <is>
          <t>P1</t>
        </is>
      </c>
      <c r="K14" s="30" t="inlineStr">
        <is>
          <t>Not Executed</t>
        </is>
      </c>
      <c r="L14" s="31" t="inlineStr"/>
      <c r="M14" s="31" t="inlineStr"/>
      <c r="N14" s="31" t="inlineStr"/>
      <c r="O14" s="31" t="inlineStr"/>
    </row>
    <row r="15">
      <c r="A15" s="27" t="inlineStr">
        <is>
          <t>FT-C3-003</t>
        </is>
      </c>
      <c r="B15" s="28" t="inlineStr">
        <is>
          <t>C3 Outlook Tagging</t>
        </is>
      </c>
      <c r="C15" s="29" t="inlineStr">
        <is>
          <t>FR-TAG-013</t>
        </is>
      </c>
      <c r="D15" s="28" t="inlineStr">
        <is>
          <t>Outlook tagging failure does not block processing.</t>
        </is>
      </c>
      <c r="E15" s="28" t="inlineStr">
        <is>
          <t>Force tag write error.</t>
        </is>
      </c>
      <c r="F15" s="28" t="inlineStr">
        <is>
          <t>1. Cause Outlook error mid-run.
2. Observe pipeline.</t>
        </is>
      </c>
      <c r="G15" s="28" t="inlineStr">
        <is>
          <t>Tag outage</t>
        </is>
      </c>
      <c r="H15" s="28" t="inlineStr">
        <is>
          <t>Processing continues; failure audited.</t>
        </is>
      </c>
      <c r="I15" s="29" t="inlineStr">
        <is>
          <t>Negative</t>
        </is>
      </c>
      <c r="J15" s="29" t="inlineStr">
        <is>
          <t>P1</t>
        </is>
      </c>
      <c r="K15" s="30" t="inlineStr">
        <is>
          <t>Not Executed</t>
        </is>
      </c>
      <c r="L15" s="31" t="inlineStr"/>
      <c r="M15" s="31" t="inlineStr"/>
      <c r="N15" s="31" t="inlineStr"/>
      <c r="O15" s="31" t="inlineStr"/>
    </row>
    <row r="16">
      <c r="A16" s="32" t="inlineStr">
        <is>
          <t>FT-C4-001</t>
        </is>
      </c>
      <c r="B16" s="33" t="inlineStr">
        <is>
          <t>C4 Field Extraction</t>
        </is>
      </c>
      <c r="C16" s="34" t="inlineStr">
        <is>
          <t>FR-EXT-001/006</t>
        </is>
      </c>
      <c r="D16" s="33" t="inlineStr">
        <is>
          <t>Phase 1a single-trade body extracted, normalised, ready for confirmation.</t>
        </is>
      </c>
      <c r="E16" s="33" t="inlineStr">
        <is>
          <t>Extraction live.</t>
        </is>
      </c>
      <c r="F16" s="33" t="inlineStr">
        <is>
          <t>1. Send single-trade body email.
2. Inspect record.</t>
        </is>
      </c>
      <c r="G16" s="33" t="inlineStr">
        <is>
          <t>1a single</t>
        </is>
      </c>
      <c r="H16" s="33" t="inlineStr">
        <is>
          <t>Structured record; ISO dates/ccy, absolute notional.</t>
        </is>
      </c>
      <c r="I16" s="34" t="inlineStr">
        <is>
          <t>E2E</t>
        </is>
      </c>
      <c r="J16" s="34" t="inlineStr">
        <is>
          <t>P1</t>
        </is>
      </c>
      <c r="K16" s="30" t="inlineStr">
        <is>
          <t>Not Executed</t>
        </is>
      </c>
      <c r="L16" s="31" t="inlineStr"/>
      <c r="M16" s="31" t="inlineStr"/>
      <c r="N16" s="31" t="inlineStr"/>
      <c r="O16" s="31" t="inlineStr"/>
    </row>
    <row r="17">
      <c r="A17" s="27" t="inlineStr">
        <is>
          <t>FT-C4-002</t>
        </is>
      </c>
      <c r="B17" s="28" t="inlineStr">
        <is>
          <t>C4 Field Extraction</t>
        </is>
      </c>
      <c r="C17" s="29" t="inlineStr">
        <is>
          <t>FR-EXT-030</t>
        </is>
      </c>
      <c r="D17" s="28" t="inlineStr">
        <is>
          <t>Phase 1a multi-trade body yields multiple child records.</t>
        </is>
      </c>
      <c r="E17" s="28" t="inlineStr">
        <is>
          <t>Extraction live.</t>
        </is>
      </c>
      <c r="F17" s="28" t="inlineStr">
        <is>
          <t>1. Send 3-trade body.
2. Inspect children.</t>
        </is>
      </c>
      <c r="G17" s="28" t="inlineStr">
        <is>
          <t>1a multi</t>
        </is>
      </c>
      <c r="H17" s="28" t="inlineStr">
        <is>
          <t>3 children under one parent.</t>
        </is>
      </c>
      <c r="I17" s="29" t="inlineStr">
        <is>
          <t>E2E</t>
        </is>
      </c>
      <c r="J17" s="29" t="inlineStr">
        <is>
          <t>P1</t>
        </is>
      </c>
      <c r="K17" s="30" t="inlineStr">
        <is>
          <t>Not Executed</t>
        </is>
      </c>
      <c r="L17" s="31" t="inlineStr"/>
      <c r="M17" s="31" t="inlineStr"/>
      <c r="N17" s="31" t="inlineStr"/>
      <c r="O17" s="31" t="inlineStr"/>
    </row>
    <row r="18">
      <c r="A18" s="32" t="inlineStr">
        <is>
          <t>FT-C4-003</t>
        </is>
      </c>
      <c r="B18" s="33" t="inlineStr">
        <is>
          <t>C4 Field Extraction</t>
        </is>
      </c>
      <c r="C18" s="34" t="inlineStr">
        <is>
          <t>FR-EXT-020</t>
        </is>
      </c>
      <c r="D18" s="33" t="inlineStr">
        <is>
          <t>Phase 1b single-row Excel attachment extracted.</t>
        </is>
      </c>
      <c r="E18" s="33" t="inlineStr">
        <is>
          <t>Extraction live.</t>
        </is>
      </c>
      <c r="F18" s="33" t="inlineStr">
        <is>
          <t>1. Send email with 1-row .xlsx.
2. Inspect record.</t>
        </is>
      </c>
      <c r="G18" s="33" t="inlineStr">
        <is>
          <t>1b single</t>
        </is>
      </c>
      <c r="H18" s="33" t="inlineStr">
        <is>
          <t>One record from the row.</t>
        </is>
      </c>
      <c r="I18" s="34" t="inlineStr">
        <is>
          <t>E2E</t>
        </is>
      </c>
      <c r="J18" s="34" t="inlineStr">
        <is>
          <t>P1</t>
        </is>
      </c>
      <c r="K18" s="30" t="inlineStr">
        <is>
          <t>Not Executed</t>
        </is>
      </c>
      <c r="L18" s="31" t="inlineStr"/>
      <c r="M18" s="31" t="inlineStr"/>
      <c r="N18" s="31" t="inlineStr"/>
      <c r="O18" s="31" t="inlineStr"/>
    </row>
    <row r="19">
      <c r="A19" s="27" t="inlineStr">
        <is>
          <t>FT-C4-004</t>
        </is>
      </c>
      <c r="B19" s="28" t="inlineStr">
        <is>
          <t>C4 Field Extraction</t>
        </is>
      </c>
      <c r="C19" s="29" t="inlineStr">
        <is>
          <t>FR-EXT-020/030</t>
        </is>
      </c>
      <c r="D19" s="28" t="inlineStr">
        <is>
          <t>Phase 1b multi-row Excel yields multiple child records.</t>
        </is>
      </c>
      <c r="E19" s="28" t="inlineStr">
        <is>
          <t>Extraction live.</t>
        </is>
      </c>
      <c r="F19" s="28" t="inlineStr">
        <is>
          <t>1. Send 5-row .xlsx.
2. Inspect children.</t>
        </is>
      </c>
      <c r="G19" s="28" t="inlineStr">
        <is>
          <t>1b multi</t>
        </is>
      </c>
      <c r="H19" s="28" t="inlineStr">
        <is>
          <t>5 children under one parent.</t>
        </is>
      </c>
      <c r="I19" s="29" t="inlineStr">
        <is>
          <t>E2E</t>
        </is>
      </c>
      <c r="J19" s="29" t="inlineStr">
        <is>
          <t>P1</t>
        </is>
      </c>
      <c r="K19" s="30" t="inlineStr">
        <is>
          <t>Not Executed</t>
        </is>
      </c>
      <c r="L19" s="31" t="inlineStr"/>
      <c r="M19" s="31" t="inlineStr"/>
      <c r="N19" s="31" t="inlineStr"/>
      <c r="O19" s="31" t="inlineStr"/>
    </row>
    <row r="20">
      <c r="A20" s="32" t="inlineStr">
        <is>
          <t>FT-C4-005</t>
        </is>
      </c>
      <c r="B20" s="33" t="inlineStr">
        <is>
          <t>C4 Field Extraction</t>
        </is>
      </c>
      <c r="C20" s="34" t="inlineStr">
        <is>
          <t>FR-EXT-003</t>
        </is>
      </c>
      <c r="D20" s="33" t="inlineStr">
        <is>
          <t>German-language email extracted with full field fidelity.</t>
        </is>
      </c>
      <c r="E20" s="33" t="inlineStr">
        <is>
          <t>Extraction live.</t>
        </is>
      </c>
      <c r="F20" s="33" t="inlineStr">
        <is>
          <t>1. Send German trade email.
2. Inspect record.</t>
        </is>
      </c>
      <c r="G20" s="33" t="inlineStr">
        <is>
          <t>German</t>
        </is>
      </c>
      <c r="H20" s="33" t="inlineStr">
        <is>
          <t>All mandatory fields correct.</t>
        </is>
      </c>
      <c r="I20" s="34" t="inlineStr">
        <is>
          <t>Positive</t>
        </is>
      </c>
      <c r="J20" s="34" t="inlineStr">
        <is>
          <t>P2</t>
        </is>
      </c>
      <c r="K20" s="30" t="inlineStr">
        <is>
          <t>Not Executed</t>
        </is>
      </c>
      <c r="L20" s="31" t="inlineStr"/>
      <c r="M20" s="31" t="inlineStr"/>
      <c r="N20" s="31" t="inlineStr"/>
      <c r="O20" s="31" t="inlineStr"/>
    </row>
    <row r="21">
      <c r="A21" s="27" t="inlineStr">
        <is>
          <t>FT-C4-006</t>
        </is>
      </c>
      <c r="B21" s="28" t="inlineStr">
        <is>
          <t>C4 Field Extraction</t>
        </is>
      </c>
      <c r="C21" s="29" t="inlineStr">
        <is>
          <t>FR-EXT-003</t>
        </is>
      </c>
      <c r="D21" s="28" t="inlineStr">
        <is>
          <t>Japanese-language email extracted with full field fidelity.</t>
        </is>
      </c>
      <c r="E21" s="28" t="inlineStr">
        <is>
          <t>Extraction live.</t>
        </is>
      </c>
      <c r="F21" s="28" t="inlineStr">
        <is>
          <t>1. Send Japanese trade email.
2. Inspect record.</t>
        </is>
      </c>
      <c r="G21" s="28" t="inlineStr">
        <is>
          <t>Japanese</t>
        </is>
      </c>
      <c r="H21" s="28" t="inlineStr">
        <is>
          <t>All mandatory fields correct.</t>
        </is>
      </c>
      <c r="I21" s="29" t="inlineStr">
        <is>
          <t>Positive</t>
        </is>
      </c>
      <c r="J21" s="29" t="inlineStr">
        <is>
          <t>P2</t>
        </is>
      </c>
      <c r="K21" s="30" t="inlineStr">
        <is>
          <t>Not Executed</t>
        </is>
      </c>
      <c r="L21" s="31" t="inlineStr"/>
      <c r="M21" s="31" t="inlineStr"/>
      <c r="N21" s="31" t="inlineStr"/>
      <c r="O21" s="31" t="inlineStr"/>
    </row>
    <row r="22">
      <c r="A22" s="32" t="inlineStr">
        <is>
          <t>FT-C4-007</t>
        </is>
      </c>
      <c r="B22" s="33" t="inlineStr">
        <is>
          <t>C4 Field Extraction</t>
        </is>
      </c>
      <c r="C22" s="34" t="inlineStr">
        <is>
          <t>FR-EXT-004</t>
        </is>
      </c>
      <c r="D22" s="33" t="inlineStr">
        <is>
          <t>Email with image-only trade details flagged unsupported and surfaced.</t>
        </is>
      </c>
      <c r="E22" s="33" t="inlineStr">
        <is>
          <t>Extraction live.</t>
        </is>
      </c>
      <c r="F22" s="33" t="inlineStr">
        <is>
          <t>1. Send screenshot-only email.
2. Observe.</t>
        </is>
      </c>
      <c r="G22" s="33" t="inlineStr">
        <is>
          <t>Image email</t>
        </is>
      </c>
      <c r="H22" s="33" t="inlineStr">
        <is>
          <t>Flagged unsupported; surfaced. [PHASE-2+]</t>
        </is>
      </c>
      <c r="I22" s="34" t="inlineStr">
        <is>
          <t>Negative</t>
        </is>
      </c>
      <c r="J22" s="34" t="inlineStr">
        <is>
          <t>P2</t>
        </is>
      </c>
      <c r="K22" s="30" t="inlineStr">
        <is>
          <t>Not Executed</t>
        </is>
      </c>
      <c r="L22" s="31" t="inlineStr"/>
      <c r="M22" s="31" t="inlineStr"/>
      <c r="N22" s="31" t="inlineStr"/>
      <c r="O22" s="31" t="inlineStr"/>
    </row>
    <row r="23">
      <c r="A23" s="27" t="inlineStr">
        <is>
          <t>FT-C4-008</t>
        </is>
      </c>
      <c r="B23" s="28" t="inlineStr">
        <is>
          <t>C4 Field Extraction</t>
        </is>
      </c>
      <c r="C23" s="29" t="inlineStr">
        <is>
          <t>FR-EXT-023</t>
        </is>
      </c>
      <c r="D23" s="28" t="inlineStr">
        <is>
          <t>Multi-attachment email selects the correct trade-data attachment.</t>
        </is>
      </c>
      <c r="E23" s="28" t="inlineStr">
        <is>
          <t>Extraction live.</t>
        </is>
      </c>
      <c r="F23" s="28" t="inlineStr">
        <is>
          <t>1. Send email w/ 2 attachments.
2. Observe selection.</t>
        </is>
      </c>
      <c r="G23" s="28" t="inlineStr">
        <is>
          <t>2 attachments</t>
        </is>
      </c>
      <c r="H23" s="28" t="inlineStr">
        <is>
          <t>Best-match attachment chosen; decision logged.</t>
        </is>
      </c>
      <c r="I23" s="29" t="inlineStr">
        <is>
          <t>Edge</t>
        </is>
      </c>
      <c r="J23" s="29" t="inlineStr">
        <is>
          <t>P2</t>
        </is>
      </c>
      <c r="K23" s="30" t="inlineStr">
        <is>
          <t>Not Executed</t>
        </is>
      </c>
      <c r="L23" s="31" t="inlineStr"/>
      <c r="M23" s="31" t="inlineStr"/>
      <c r="N23" s="31" t="inlineStr"/>
      <c r="O23" s="31" t="inlineStr"/>
    </row>
    <row r="24">
      <c r="A24" s="32" t="inlineStr">
        <is>
          <t>FT-C4-009</t>
        </is>
      </c>
      <c r="B24" s="33" t="inlineStr">
        <is>
          <t>C4 Field Extraction</t>
        </is>
      </c>
      <c r="C24" s="34" t="inlineStr">
        <is>
          <t>FR-EXT-008</t>
        </is>
      </c>
      <c r="D24" s="33" t="inlineStr">
        <is>
          <t>Low-confidence extraction flags field but workflow continues.</t>
        </is>
      </c>
      <c r="E24" s="33" t="inlineStr">
        <is>
          <t>Extraction live.</t>
        </is>
      </c>
      <c r="F24" s="33" t="inlineStr">
        <is>
          <t>1. Send ambiguous-field email.
2. Observe analyst view.</t>
        </is>
      </c>
      <c r="G24" s="33" t="inlineStr">
        <is>
          <t>Low-conf field</t>
        </is>
      </c>
      <c r="H24" s="33" t="inlineStr">
        <is>
          <t>Field flagged LOW_CONFIDENCE; not blocked.</t>
        </is>
      </c>
      <c r="I24" s="34" t="inlineStr">
        <is>
          <t>E2E</t>
        </is>
      </c>
      <c r="J24" s="34" t="inlineStr">
        <is>
          <t>P1</t>
        </is>
      </c>
      <c r="K24" s="30" t="inlineStr">
        <is>
          <t>Not Executed</t>
        </is>
      </c>
      <c r="L24" s="31" t="inlineStr"/>
      <c r="M24" s="31" t="inlineStr"/>
      <c r="N24" s="31" t="inlineStr"/>
      <c r="O24" s="31" t="inlineStr"/>
    </row>
    <row r="25">
      <c r="A25" s="27" t="inlineStr">
        <is>
          <t>FT-C5-001</t>
        </is>
      </c>
      <c r="B25" s="28" t="inlineStr">
        <is>
          <t>C5 Analyst Confirmation</t>
        </is>
      </c>
      <c r="C25" s="29" t="inlineStr">
        <is>
          <t>FR-EXT-008 / §8 (inferred)</t>
        </is>
      </c>
      <c r="D25" s="28" t="inlineStr">
        <is>
          <t>Analyst reviews extracted fields and confirms with no changes.</t>
        </is>
      </c>
      <c r="E25" s="28" t="inlineStr">
        <is>
          <t>Extracted record awaiting confirmation.</t>
        </is>
      </c>
      <c r="F25" s="28" t="inlineStr">
        <is>
          <t>1. Open record.
2. Review fields.
3. Confirm.</t>
        </is>
      </c>
      <c r="G25" s="28" t="inlineStr">
        <is>
          <t>Clean record</t>
        </is>
      </c>
      <c r="H25" s="28" t="inlineStr">
        <is>
          <t>Status -&gt; CONFIRMED; queued for matching. (Verify vs FSD §8.)</t>
        </is>
      </c>
      <c r="I25" s="29" t="inlineStr">
        <is>
          <t>E2E</t>
        </is>
      </c>
      <c r="J25" s="29" t="inlineStr">
        <is>
          <t>P1</t>
        </is>
      </c>
      <c r="K25" s="30" t="inlineStr">
        <is>
          <t>Not Executed</t>
        </is>
      </c>
      <c r="L25" s="31" t="inlineStr"/>
      <c r="M25" s="31" t="inlineStr"/>
      <c r="N25" s="31" t="inlineStr"/>
      <c r="O25" s="31" t="inlineStr"/>
    </row>
    <row r="26">
      <c r="A26" s="32" t="inlineStr">
        <is>
          <t>FT-C5-002</t>
        </is>
      </c>
      <c r="B26" s="33" t="inlineStr">
        <is>
          <t>C5 Analyst Confirmation</t>
        </is>
      </c>
      <c r="C26" s="34" t="inlineStr">
        <is>
          <t>FR-AUD-004 / §8 (inferred)</t>
        </is>
      </c>
      <c r="D26" s="33" t="inlineStr">
        <is>
          <t>Analyst corrects a low-confidence field; both AI and corrected values retained.</t>
        </is>
      </c>
      <c r="E26" s="33" t="inlineStr">
        <is>
          <t>Record with LOW_CONFIDENCE field.</t>
        </is>
      </c>
      <c r="F26" s="33" t="inlineStr">
        <is>
          <t>1. Open record.
2. Correct field.
3. Confirm.</t>
        </is>
      </c>
      <c r="G26" s="33" t="inlineStr">
        <is>
          <t>Corrected field</t>
        </is>
      </c>
      <c r="H26" s="33" t="inlineStr">
        <is>
          <t>Original AI value + corrected value retained in trail.</t>
        </is>
      </c>
      <c r="I26" s="34" t="inlineStr">
        <is>
          <t>E2E</t>
        </is>
      </c>
      <c r="J26" s="34" t="inlineStr">
        <is>
          <t>P1</t>
        </is>
      </c>
      <c r="K26" s="30" t="inlineStr">
        <is>
          <t>Not Executed</t>
        </is>
      </c>
      <c r="L26" s="31" t="inlineStr"/>
      <c r="M26" s="31" t="inlineStr"/>
      <c r="N26" s="31" t="inlineStr"/>
      <c r="O26" s="31" t="inlineStr"/>
    </row>
    <row r="27">
      <c r="A27" s="27" t="inlineStr">
        <is>
          <t>FT-C5-003</t>
        </is>
      </c>
      <c r="B27" s="28" t="inlineStr">
        <is>
          <t>C5 Analyst Confirmation</t>
        </is>
      </c>
      <c r="C27" s="29" t="inlineStr">
        <is>
          <t>FR-TAG-010 / §8 (inferred)</t>
        </is>
      </c>
      <c r="D27" s="28" t="inlineStr">
        <is>
          <t>Confirmation submission moves tag AWAITING_CONFIRMATION -&gt; AWAITING_REVIEW.</t>
        </is>
      </c>
      <c r="E27" s="28" t="inlineStr">
        <is>
          <t>Record awaiting confirmation.</t>
        </is>
      </c>
      <c r="F27" s="28" t="inlineStr">
        <is>
          <t>1. Submit confirmation.
2. Inspect tag.</t>
        </is>
      </c>
      <c r="G27" s="28" t="inlineStr">
        <is>
          <t>Confirm submit</t>
        </is>
      </c>
      <c r="H27" s="28" t="inlineStr">
        <is>
          <t>Tag state advances to AWAITING_REVIEW.</t>
        </is>
      </c>
      <c r="I27" s="29" t="inlineStr">
        <is>
          <t>E2E</t>
        </is>
      </c>
      <c r="J27" s="29" t="inlineStr">
        <is>
          <t>P2</t>
        </is>
      </c>
      <c r="K27" s="30" t="inlineStr">
        <is>
          <t>Not Executed</t>
        </is>
      </c>
      <c r="L27" s="31" t="inlineStr"/>
      <c r="M27" s="31" t="inlineStr"/>
      <c r="N27" s="31" t="inlineStr"/>
      <c r="O27" s="31" t="inlineStr"/>
    </row>
    <row r="28">
      <c r="A28" s="32" t="inlineStr">
        <is>
          <t>FT-C6-001</t>
        </is>
      </c>
      <c r="B28" s="33" t="inlineStr">
        <is>
          <t>C6 Compare &amp; Match</t>
        </is>
      </c>
      <c r="C28" s="34" t="inlineStr">
        <is>
          <t>FR-MTH-003</t>
        </is>
      </c>
      <c r="D28" s="33" t="inlineStr">
        <is>
          <t>Tier-1 exact match returns single not_settled candidate -&gt; MATCHED.</t>
        </is>
      </c>
      <c r="E28" s="33" t="inlineStr">
        <is>
          <t>Confirmed record; PCM has exact.</t>
        </is>
      </c>
      <c r="F28" s="33" t="inlineStr">
        <is>
          <t>1. Trigger match.
2. Observe outcome.</t>
        </is>
      </c>
      <c r="G28" s="33" t="inlineStr">
        <is>
          <t>Exact match</t>
        </is>
      </c>
      <c r="H28" s="33" t="inlineStr">
        <is>
          <t>Outcome MATCHED; surfaced for write-back.</t>
        </is>
      </c>
      <c r="I28" s="34" t="inlineStr">
        <is>
          <t>E2E</t>
        </is>
      </c>
      <c r="J28" s="34" t="inlineStr">
        <is>
          <t>P1</t>
        </is>
      </c>
      <c r="K28" s="30" t="inlineStr">
        <is>
          <t>Not Executed</t>
        </is>
      </c>
      <c r="L28" s="31" t="inlineStr"/>
      <c r="M28" s="31" t="inlineStr"/>
      <c r="N28" s="31" t="inlineStr"/>
      <c r="O28" s="31" t="inlineStr"/>
    </row>
    <row r="29">
      <c r="A29" s="27" t="inlineStr">
        <is>
          <t>FT-C6-002</t>
        </is>
      </c>
      <c r="B29" s="28" t="inlineStr">
        <is>
          <t>C6 Compare &amp; Match</t>
        </is>
      </c>
      <c r="C29" s="29" t="inlineStr">
        <is>
          <t>FR-MTH-004</t>
        </is>
      </c>
      <c r="D29" s="28" t="inlineStr">
        <is>
          <t>Tier-1 single settled candidate -&gt; MATCHED_BUT_SETTLED.</t>
        </is>
      </c>
      <c r="E29" s="28" t="inlineStr">
        <is>
          <t>PCM has settled match.</t>
        </is>
      </c>
      <c r="F29" s="28" t="inlineStr">
        <is>
          <t>1. Trigger match.</t>
        </is>
      </c>
      <c r="G29" s="28" t="inlineStr">
        <is>
          <t>settled</t>
        </is>
      </c>
      <c r="H29" s="28" t="inlineStr">
        <is>
          <t>Outcome MATCHED_BUT_SETTLED.</t>
        </is>
      </c>
      <c r="I29" s="29" t="inlineStr">
        <is>
          <t>E2E</t>
        </is>
      </c>
      <c r="J29" s="29" t="inlineStr">
        <is>
          <t>P1</t>
        </is>
      </c>
      <c r="K29" s="30" t="inlineStr">
        <is>
          <t>Not Executed</t>
        </is>
      </c>
      <c r="L29" s="31" t="inlineStr"/>
      <c r="M29" s="31" t="inlineStr"/>
      <c r="N29" s="31" t="inlineStr"/>
      <c r="O29" s="31" t="inlineStr"/>
    </row>
    <row r="30">
      <c r="A30" s="32" t="inlineStr">
        <is>
          <t>FT-C6-003</t>
        </is>
      </c>
      <c r="B30" s="33" t="inlineStr">
        <is>
          <t>C6 Compare &amp; Match</t>
        </is>
      </c>
      <c r="C30" s="34" t="inlineStr">
        <is>
          <t>FR-MTH-005</t>
        </is>
      </c>
      <c r="D30" s="33" t="inlineStr">
        <is>
          <t>Tier-1 multiple candidates surfaced for analyst selection.</t>
        </is>
      </c>
      <c r="E30" s="33" t="inlineStr">
        <is>
          <t>PCM has 2 candidates.</t>
        </is>
      </c>
      <c r="F30" s="33" t="inlineStr">
        <is>
          <t>1. Trigger match.
2. Observe UI.</t>
        </is>
      </c>
      <c r="G30" s="33" t="inlineStr">
        <is>
          <t>2 candidates</t>
        </is>
      </c>
      <c r="H30" s="33" t="inlineStr">
        <is>
          <t>MULTIPLE_CANDIDATES_T1 with deltas; analyst selects.</t>
        </is>
      </c>
      <c r="I30" s="34" t="inlineStr">
        <is>
          <t>E2E</t>
        </is>
      </c>
      <c r="J30" s="34" t="inlineStr">
        <is>
          <t>P1</t>
        </is>
      </c>
      <c r="K30" s="30" t="inlineStr">
        <is>
          <t>Not Executed</t>
        </is>
      </c>
      <c r="L30" s="31" t="inlineStr"/>
      <c r="M30" s="31" t="inlineStr"/>
      <c r="N30" s="31" t="inlineStr"/>
      <c r="O30" s="31" t="inlineStr"/>
    </row>
    <row r="31">
      <c r="A31" s="27" t="inlineStr">
        <is>
          <t>FT-C6-004</t>
        </is>
      </c>
      <c r="B31" s="28" t="inlineStr">
        <is>
          <t>C6 Compare &amp; Match</t>
        </is>
      </c>
      <c r="C31" s="29" t="inlineStr">
        <is>
          <t>FR-MTH-010</t>
        </is>
      </c>
      <c r="D31" s="28" t="inlineStr">
        <is>
          <t>Tier-2 fuzzy match within notional tolerance surfaced with deltas.</t>
        </is>
      </c>
      <c r="E31" s="28" t="inlineStr">
        <is>
          <t>No T1 hit; near-notional in PCM.</t>
        </is>
      </c>
      <c r="F31" s="28" t="inlineStr">
        <is>
          <t>1. Trigger match.
2. Observe.</t>
        </is>
      </c>
      <c r="G31" s="28" t="inlineStr">
        <is>
          <t>notional +$40</t>
        </is>
      </c>
      <c r="H31" s="28" t="inlineStr">
        <is>
          <t>FUZZY_MATCH surfaced with field deltas.</t>
        </is>
      </c>
      <c r="I31" s="29" t="inlineStr">
        <is>
          <t>E2E</t>
        </is>
      </c>
      <c r="J31" s="29" t="inlineStr">
        <is>
          <t>P1</t>
        </is>
      </c>
      <c r="K31" s="30" t="inlineStr">
        <is>
          <t>Not Executed</t>
        </is>
      </c>
      <c r="L31" s="31" t="inlineStr"/>
      <c r="M31" s="31" t="inlineStr"/>
      <c r="N31" s="31" t="inlineStr"/>
      <c r="O31" s="31" t="inlineStr"/>
    </row>
    <row r="32">
      <c r="A32" s="32" t="inlineStr">
        <is>
          <t>FT-C6-005</t>
        </is>
      </c>
      <c r="B32" s="33" t="inlineStr">
        <is>
          <t>C6 Compare &amp; Match</t>
        </is>
      </c>
      <c r="C32" s="34" t="inlineStr">
        <is>
          <t>FR-MTH-011</t>
        </is>
      </c>
      <c r="D32" s="33" t="inlineStr">
        <is>
          <t>Tier-2 value_date tolerance is holiday-aware across a bank holiday.</t>
        </is>
      </c>
      <c r="E32" s="33" t="inlineStr">
        <is>
          <t>Holiday calendar loaded.</t>
        </is>
      </c>
      <c r="F32" s="33" t="inlineStr">
        <is>
          <t>1. value_date +2 bdays over holiday.
2. Match.</t>
        </is>
      </c>
      <c r="G32" s="33" t="inlineStr">
        <is>
          <t>holiday span</t>
        </is>
      </c>
      <c r="H32" s="33" t="inlineStr">
        <is>
          <t>Bank holiday excluded; candidate within tolerance.</t>
        </is>
      </c>
      <c r="I32" s="34" t="inlineStr">
        <is>
          <t>Edge</t>
        </is>
      </c>
      <c r="J32" s="34" t="inlineStr">
        <is>
          <t>P2</t>
        </is>
      </c>
      <c r="K32" s="30" t="inlineStr">
        <is>
          <t>Not Executed</t>
        </is>
      </c>
      <c r="L32" s="31" t="inlineStr"/>
      <c r="M32" s="31" t="inlineStr"/>
      <c r="N32" s="31" t="inlineStr"/>
      <c r="O32" s="31" t="inlineStr"/>
    </row>
    <row r="33">
      <c r="A33" s="27" t="inlineStr">
        <is>
          <t>FT-C6-006</t>
        </is>
      </c>
      <c r="B33" s="28" t="inlineStr">
        <is>
          <t>C6 Compare &amp; Match</t>
        </is>
      </c>
      <c r="C33" s="29" t="inlineStr">
        <is>
          <t>FR-MTH-012</t>
        </is>
      </c>
      <c r="D33" s="28" t="inlineStr">
        <is>
          <t>Tier-2 candidates presented in correct ranked order.</t>
        </is>
      </c>
      <c r="E33" s="28" t="inlineStr">
        <is>
          <t>Multiple T2 candidates.</t>
        </is>
      </c>
      <c r="F33" s="28" t="inlineStr">
        <is>
          <t>1. Trigger match.
2. Inspect order.</t>
        </is>
      </c>
      <c r="G33" s="28" t="inlineStr">
        <is>
          <t>diffs 10/-10/20</t>
        </is>
      </c>
      <c r="H33" s="28" t="inlineStr">
        <is>
          <t>Order: 10, -10, 20 (abs asc; + before -).</t>
        </is>
      </c>
      <c r="I33" s="29" t="inlineStr">
        <is>
          <t>Positive</t>
        </is>
      </c>
      <c r="J33" s="29" t="inlineStr">
        <is>
          <t>P2</t>
        </is>
      </c>
      <c r="K33" s="30" t="inlineStr">
        <is>
          <t>Not Executed</t>
        </is>
      </c>
      <c r="L33" s="31" t="inlineStr"/>
      <c r="M33" s="31" t="inlineStr"/>
      <c r="N33" s="31" t="inlineStr"/>
      <c r="O33" s="31" t="inlineStr"/>
    </row>
    <row r="34">
      <c r="A34" s="32" t="inlineStr">
        <is>
          <t>FT-C6-007</t>
        </is>
      </c>
      <c r="B34" s="33" t="inlineStr">
        <is>
          <t>C6 Compare &amp; Match</t>
        </is>
      </c>
      <c r="C34" s="34" t="inlineStr">
        <is>
          <t>FR-MTH-020/021</t>
        </is>
      </c>
      <c r="D34" s="33" t="inlineStr">
        <is>
          <t>Tier-3 counterparty-less candidate surfaced for manual validation only.</t>
        </is>
      </c>
      <c r="E34" s="33" t="inlineStr">
        <is>
          <t>No T1/T2 hit.</t>
        </is>
      </c>
      <c r="F34" s="33" t="inlineStr">
        <is>
          <t>1. Trigger match.
2. Observe.</t>
        </is>
      </c>
      <c r="G34" s="33" t="inlineStr">
        <is>
          <t>Tier-3 hit</t>
        </is>
      </c>
      <c r="H34" s="33" t="inlineStr">
        <is>
          <t>COUNTERPARTY_LESS_CANDIDATE surfaced; never auto-resolved.</t>
        </is>
      </c>
      <c r="I34" s="34" t="inlineStr">
        <is>
          <t>E2E</t>
        </is>
      </c>
      <c r="J34" s="34" t="inlineStr">
        <is>
          <t>P1</t>
        </is>
      </c>
      <c r="K34" s="30" t="inlineStr">
        <is>
          <t>Not Executed</t>
        </is>
      </c>
      <c r="L34" s="31" t="inlineStr"/>
      <c r="M34" s="31" t="inlineStr"/>
      <c r="N34" s="31" t="inlineStr"/>
      <c r="O34" s="31" t="inlineStr"/>
    </row>
    <row r="35">
      <c r="A35" s="27" t="inlineStr">
        <is>
          <t>FT-C6-008</t>
        </is>
      </c>
      <c r="B35" s="28" t="inlineStr">
        <is>
          <t>C6 Compare &amp; Match</t>
        </is>
      </c>
      <c r="C35" s="29" t="inlineStr">
        <is>
          <t>FR-MTH-022</t>
        </is>
      </c>
      <c r="D35" s="28" t="inlineStr">
        <is>
          <t>No candidate across all tiers -&gt; UNMATCHED/ALLEGE.</t>
        </is>
      </c>
      <c r="E35" s="28" t="inlineStr">
        <is>
          <t>No match anywhere.</t>
        </is>
      </c>
      <c r="F35" s="28" t="inlineStr">
        <is>
          <t>1. Trigger match through all tiers.</t>
        </is>
      </c>
      <c r="G35" s="28" t="inlineStr">
        <is>
          <t>0 candidates</t>
        </is>
      </c>
      <c r="H35" s="28" t="inlineStr">
        <is>
          <t>Marked UNMATCHED/ALLEGE.</t>
        </is>
      </c>
      <c r="I35" s="29" t="inlineStr">
        <is>
          <t>E2E</t>
        </is>
      </c>
      <c r="J35" s="29" t="inlineStr">
        <is>
          <t>P1</t>
        </is>
      </c>
      <c r="K35" s="30" t="inlineStr">
        <is>
          <t>Not Executed</t>
        </is>
      </c>
      <c r="L35" s="31" t="inlineStr"/>
      <c r="M35" s="31" t="inlineStr"/>
      <c r="N35" s="31" t="inlineStr"/>
      <c r="O35" s="31" t="inlineStr"/>
    </row>
    <row r="36">
      <c r="A36" s="32" t="inlineStr">
        <is>
          <t>FT-C6-009</t>
        </is>
      </c>
      <c r="B36" s="33" t="inlineStr">
        <is>
          <t>C6 Compare &amp; Match</t>
        </is>
      </c>
      <c r="C36" s="34" t="inlineStr">
        <is>
          <t>FR-MTH-023</t>
        </is>
      </c>
      <c r="D36" s="33" t="inlineStr">
        <is>
          <t>Netting entry legs matched independently.</t>
        </is>
      </c>
      <c r="E36" s="33" t="inlineStr">
        <is>
          <t>PCM netting record.</t>
        </is>
      </c>
      <c r="F36" s="33" t="inlineStr">
        <is>
          <t>1. Match netting entry.
2. Observe legs.</t>
        </is>
      </c>
      <c r="G36" s="33" t="inlineStr">
        <is>
          <t>netting</t>
        </is>
      </c>
      <c r="H36" s="33" t="inlineStr">
        <is>
          <t>Each leg processed independently; partial match non-blocking.</t>
        </is>
      </c>
      <c r="I36" s="34" t="inlineStr">
        <is>
          <t>Edge</t>
        </is>
      </c>
      <c r="J36" s="34" t="inlineStr">
        <is>
          <t>P2</t>
        </is>
      </c>
      <c r="K36" s="30" t="inlineStr">
        <is>
          <t>Not Executed</t>
        </is>
      </c>
      <c r="L36" s="31" t="inlineStr"/>
      <c r="M36" s="31" t="inlineStr"/>
      <c r="N36" s="31" t="inlineStr"/>
      <c r="O36" s="31" t="inlineStr"/>
    </row>
    <row r="37">
      <c r="A37" s="27" t="inlineStr">
        <is>
          <t>FT-C6-010</t>
        </is>
      </c>
      <c r="B37" s="28" t="inlineStr">
        <is>
          <t>C6 Compare &amp; Match</t>
        </is>
      </c>
      <c r="C37" s="29" t="inlineStr">
        <is>
          <t>Outcome table §9.4</t>
        </is>
      </c>
      <c r="D37" s="28" t="inlineStr">
        <is>
          <t>Aggregate scenario surfaced as UNMATCHED in Phase 1.</t>
        </is>
      </c>
      <c r="E37" s="28" t="inlineStr">
        <is>
          <t>1 CP trade vs many Nomura children.</t>
        </is>
      </c>
      <c r="F37" s="28" t="inlineStr">
        <is>
          <t>1. Match aggregate case.</t>
        </is>
      </c>
      <c r="G37" s="28" t="inlineStr">
        <is>
          <t>aggregate</t>
        </is>
      </c>
      <c r="H37" s="28" t="inlineStr">
        <is>
          <t>Surfaced as UNMATCHED (AGGREGATE_SCENARIO). [PHASE-3]</t>
        </is>
      </c>
      <c r="I37" s="29" t="inlineStr">
        <is>
          <t>Negative</t>
        </is>
      </c>
      <c r="J37" s="29" t="inlineStr">
        <is>
          <t>P3</t>
        </is>
      </c>
      <c r="K37" s="30" t="inlineStr">
        <is>
          <t>Not Executed</t>
        </is>
      </c>
      <c r="L37" s="31" t="inlineStr"/>
      <c r="M37" s="31" t="inlineStr"/>
      <c r="N37" s="31" t="inlineStr"/>
      <c r="O37" s="31" t="inlineStr"/>
    </row>
    <row r="38">
      <c r="A38" s="32" t="inlineStr">
        <is>
          <t>FT-C7-001</t>
        </is>
      </c>
      <c r="B38" s="33" t="inlineStr">
        <is>
          <t>C7 Action &amp; Write-back</t>
        </is>
      </c>
      <c r="C38" s="34" t="inlineStr">
        <is>
          <t>FR-WRB-002</t>
        </is>
      </c>
      <c r="D38" s="33" t="inlineStr">
        <is>
          <t>Analyst confirms Tier-1 match; write-back updates NEWS/PCM under analyst identity.</t>
        </is>
      </c>
      <c r="E38" s="33" t="inlineStr">
        <is>
          <t>MATCHED cashflow; analyst logged in.</t>
        </is>
      </c>
      <c r="F38" s="33" t="inlineStr">
        <is>
          <t>1. Confirm match.
2. Inspect NEWS/PCM.</t>
        </is>
      </c>
      <c r="G38" s="33" t="inlineStr">
        <is>
          <t>Confirm</t>
        </is>
      </c>
      <c r="H38" s="33" t="inlineStr">
        <is>
          <t>Status updated under analyst identity; tag RESOLVED_MATCHED.</t>
        </is>
      </c>
      <c r="I38" s="34" t="inlineStr">
        <is>
          <t>E2E</t>
        </is>
      </c>
      <c r="J38" s="34" t="inlineStr">
        <is>
          <t>P1</t>
        </is>
      </c>
      <c r="K38" s="30" t="inlineStr">
        <is>
          <t>Not Executed</t>
        </is>
      </c>
      <c r="L38" s="31" t="inlineStr"/>
      <c r="M38" s="31" t="inlineStr"/>
      <c r="N38" s="31" t="inlineStr"/>
      <c r="O38" s="31" t="inlineStr"/>
    </row>
    <row r="39">
      <c r="A39" s="27" t="inlineStr">
        <is>
          <t>FT-C7-002</t>
        </is>
      </c>
      <c r="B39" s="28" t="inlineStr">
        <is>
          <t>C7 Action &amp; Write-back</t>
        </is>
      </c>
      <c r="C39" s="29" t="inlineStr">
        <is>
          <t>FR-WRB-003</t>
        </is>
      </c>
      <c r="D39" s="28" t="inlineStr">
        <is>
          <t>Post-trade controls (4-eye/maker-checker) fire unchanged after write-back.</t>
        </is>
      </c>
      <c r="E39" s="28" t="inlineStr">
        <is>
          <t>High-value confirmed match.</t>
        </is>
      </c>
      <c r="F39" s="28" t="inlineStr">
        <is>
          <t>1. Trigger write-back above threshold.
2. Observe controls.</t>
        </is>
      </c>
      <c r="G39" s="28" t="inlineStr">
        <is>
          <t>High value</t>
        </is>
      </c>
      <c r="H39" s="28" t="inlineStr">
        <is>
          <t>Existing controls invoked; solution does not bypass.</t>
        </is>
      </c>
      <c r="I39" s="29" t="inlineStr">
        <is>
          <t>Security</t>
        </is>
      </c>
      <c r="J39" s="29" t="inlineStr">
        <is>
          <t>P1</t>
        </is>
      </c>
      <c r="K39" s="30" t="inlineStr">
        <is>
          <t>Not Executed</t>
        </is>
      </c>
      <c r="L39" s="31" t="inlineStr"/>
      <c r="M39" s="31" t="inlineStr"/>
      <c r="N39" s="31" t="inlineStr"/>
      <c r="O39" s="31" t="inlineStr"/>
    </row>
    <row r="40">
      <c r="A40" s="32" t="inlineStr">
        <is>
          <t>FT-C7-003</t>
        </is>
      </c>
      <c r="B40" s="33" t="inlineStr">
        <is>
          <t>C7 Action &amp; Write-back</t>
        </is>
      </c>
      <c r="C40" s="34" t="inlineStr">
        <is>
          <t>FR-WRB-004</t>
        </is>
      </c>
      <c r="D40" s="33" t="inlineStr">
        <is>
          <t>Analyst accepts a Tier-2 fuzzy candidate; write-back proceeds.</t>
        </is>
      </c>
      <c r="E40" s="33" t="inlineStr">
        <is>
          <t>FUZZY_MATCH surfaced.</t>
        </is>
      </c>
      <c r="F40" s="33" t="inlineStr">
        <is>
          <t>1. Accept candidate.
2. Inspect write-back.</t>
        </is>
      </c>
      <c r="G40" s="33" t="inlineStr">
        <is>
          <t>Accept fuzzy</t>
        </is>
      </c>
      <c r="H40" s="33" t="inlineStr">
        <is>
          <t>Write-back proceeds; resolved.</t>
        </is>
      </c>
      <c r="I40" s="34" t="inlineStr">
        <is>
          <t>E2E</t>
        </is>
      </c>
      <c r="J40" s="34" t="inlineStr">
        <is>
          <t>P1</t>
        </is>
      </c>
      <c r="K40" s="30" t="inlineStr">
        <is>
          <t>Not Executed</t>
        </is>
      </c>
      <c r="L40" s="31" t="inlineStr"/>
      <c r="M40" s="31" t="inlineStr"/>
      <c r="N40" s="31" t="inlineStr"/>
      <c r="O40" s="31" t="inlineStr"/>
    </row>
    <row r="41">
      <c r="A41" s="27" t="inlineStr">
        <is>
          <t>FT-C7-004</t>
        </is>
      </c>
      <c r="B41" s="28" t="inlineStr">
        <is>
          <t>C7 Action &amp; Write-back</t>
        </is>
      </c>
      <c r="C41" s="29" t="inlineStr">
        <is>
          <t>FR-WRB-004</t>
        </is>
      </c>
      <c r="D41" s="28" t="inlineStr">
        <is>
          <t>Analyst rejects candidate; cashflow moves to UNMATCHED/ALLEGE.</t>
        </is>
      </c>
      <c r="E41" s="28" t="inlineStr">
        <is>
          <t>Candidate surfaced.</t>
        </is>
      </c>
      <c r="F41" s="28" t="inlineStr">
        <is>
          <t>1. Reject candidate.
2. Observe state.</t>
        </is>
      </c>
      <c r="G41" s="28" t="inlineStr">
        <is>
          <t>Reject</t>
        </is>
      </c>
      <c r="H41" s="28" t="inlineStr">
        <is>
          <t>Cashflow -&gt; UNMATCHED/ALLEGE; tag RESOLVED_UNMATCHED.</t>
        </is>
      </c>
      <c r="I41" s="29" t="inlineStr">
        <is>
          <t>E2E</t>
        </is>
      </c>
      <c r="J41" s="29" t="inlineStr">
        <is>
          <t>P1</t>
        </is>
      </c>
      <c r="K41" s="30" t="inlineStr">
        <is>
          <t>Not Executed</t>
        </is>
      </c>
      <c r="L41" s="31" t="inlineStr"/>
      <c r="M41" s="31" t="inlineStr"/>
      <c r="N41" s="31" t="inlineStr"/>
      <c r="O41" s="31" t="inlineStr"/>
    </row>
    <row r="42">
      <c r="A42" s="32" t="inlineStr">
        <is>
          <t>FT-C7-005</t>
        </is>
      </c>
      <c r="B42" s="33" t="inlineStr">
        <is>
          <t>C7 Action &amp; Write-back</t>
        </is>
      </c>
      <c r="C42" s="34" t="inlineStr">
        <is>
          <t>FR-WRB-005</t>
        </is>
      </c>
      <c r="D42" s="33" t="inlineStr">
        <is>
          <t>Analyst handles Allege and records action taken.</t>
        </is>
      </c>
      <c r="E42" s="33" t="inlineStr">
        <is>
          <t>Allege cashflow.</t>
        </is>
      </c>
      <c r="F42" s="33" t="inlineStr">
        <is>
          <t>1. Record 'escalated_to_MO'.
2. Draft reply in Outlook.</t>
        </is>
      </c>
      <c r="G42" s="33" t="inlineStr">
        <is>
          <t>Allege</t>
        </is>
      </c>
      <c r="H42" s="33" t="inlineStr">
        <is>
          <t>Action recorded in solution; correspondence manual (Phase 1).</t>
        </is>
      </c>
      <c r="I42" s="34" t="inlineStr">
        <is>
          <t>E2E</t>
        </is>
      </c>
      <c r="J42" s="34" t="inlineStr">
        <is>
          <t>P2</t>
        </is>
      </c>
      <c r="K42" s="30" t="inlineStr">
        <is>
          <t>Not Executed</t>
        </is>
      </c>
      <c r="L42" s="31" t="inlineStr"/>
      <c r="M42" s="31" t="inlineStr"/>
      <c r="N42" s="31" t="inlineStr"/>
      <c r="O42" s="31" t="inlineStr"/>
    </row>
    <row r="43">
      <c r="A43" s="27" t="inlineStr">
        <is>
          <t>FT-C7-006</t>
        </is>
      </c>
      <c r="B43" s="28" t="inlineStr">
        <is>
          <t>C7 Action &amp; Write-back</t>
        </is>
      </c>
      <c r="C43" s="29" t="inlineStr">
        <is>
          <t>FR-WRB-006</t>
        </is>
      </c>
      <c r="D43" s="28" t="inlineStr">
        <is>
          <t>Analyst handles MATCHED_BUT_SETTLED and records action.</t>
        </is>
      </c>
      <c r="E43" s="28" t="inlineStr">
        <is>
          <t>MBS cashflow.</t>
        </is>
      </c>
      <c r="F43" s="28" t="inlineStr">
        <is>
          <t>1. Reply with proof / escalate FO.
2. Record action.</t>
        </is>
      </c>
      <c r="G43" s="28" t="inlineStr">
        <is>
          <t>MBS</t>
        </is>
      </c>
      <c r="H43" s="28" t="inlineStr">
        <is>
          <t>Action recorded in solution.</t>
        </is>
      </c>
      <c r="I43" s="29" t="inlineStr">
        <is>
          <t>E2E</t>
        </is>
      </c>
      <c r="J43" s="29" t="inlineStr">
        <is>
          <t>P2</t>
        </is>
      </c>
      <c r="K43" s="30" t="inlineStr">
        <is>
          <t>Not Executed</t>
        </is>
      </c>
      <c r="L43" s="31" t="inlineStr"/>
      <c r="M43" s="31" t="inlineStr"/>
      <c r="N43" s="31" t="inlineStr"/>
      <c r="O43" s="31" t="inlineStr"/>
    </row>
    <row r="44">
      <c r="A44" s="32" t="inlineStr">
        <is>
          <t>FT-C7-007</t>
        </is>
      </c>
      <c r="B44" s="33" t="inlineStr">
        <is>
          <t>C7 Action &amp; Write-back</t>
        </is>
      </c>
      <c r="C44" s="34" t="inlineStr">
        <is>
          <t>FR-WRB-008</t>
        </is>
      </c>
      <c r="D44" s="33" t="inlineStr">
        <is>
          <t>Write-back failure keeps cashflow in queue with failure detail.</t>
        </is>
      </c>
      <c r="E44" s="33" t="inlineStr">
        <is>
          <t>Force NEWS/PCM error.</t>
        </is>
      </c>
      <c r="F44" s="33" t="inlineStr">
        <is>
          <t>1. Confirm match with write error.
2. Observe queue.</t>
        </is>
      </c>
      <c r="G44" s="33" t="inlineStr">
        <is>
          <t>Write error</t>
        </is>
      </c>
      <c r="H44" s="33" t="inlineStr">
        <is>
          <t>Cashflow retained; failure captured; manual fallback.</t>
        </is>
      </c>
      <c r="I44" s="34" t="inlineStr">
        <is>
          <t>Negative</t>
        </is>
      </c>
      <c r="J44" s="34" t="inlineStr">
        <is>
          <t>P1</t>
        </is>
      </c>
      <c r="K44" s="30" t="inlineStr">
        <is>
          <t>Not Executed</t>
        </is>
      </c>
      <c r="L44" s="31" t="inlineStr"/>
      <c r="M44" s="31" t="inlineStr"/>
      <c r="N44" s="31" t="inlineStr"/>
      <c r="O44" s="31" t="inlineStr"/>
    </row>
    <row r="45">
      <c r="A45" s="27" t="inlineStr">
        <is>
          <t>FT-C7-008</t>
        </is>
      </c>
      <c r="B45" s="28" t="inlineStr">
        <is>
          <t>C7 Action &amp; Write-back</t>
        </is>
      </c>
      <c r="C45" s="29" t="inlineStr">
        <is>
          <t>FR-WRB-001</t>
        </is>
      </c>
      <c r="D45" s="28" t="inlineStr">
        <is>
          <t>Nothing settles without explicit analyst confirmation.</t>
        </is>
      </c>
      <c r="E45" s="28" t="inlineStr">
        <is>
          <t>Matched cashflows in queue.</t>
        </is>
      </c>
      <c r="F45" s="28" t="inlineStr">
        <is>
          <t>1. Leave unconfirmed.
2. Observe.</t>
        </is>
      </c>
      <c r="G45" s="28" t="inlineStr">
        <is>
          <t>No action</t>
        </is>
      </c>
      <c r="H45" s="28" t="inlineStr">
        <is>
          <t>No auto-resolution occurs.</t>
        </is>
      </c>
      <c r="I45" s="29" t="inlineStr">
        <is>
          <t>Negative</t>
        </is>
      </c>
      <c r="J45" s="29" t="inlineStr">
        <is>
          <t>P1</t>
        </is>
      </c>
      <c r="K45" s="30" t="inlineStr">
        <is>
          <t>Not Executed</t>
        </is>
      </c>
      <c r="L45" s="31" t="inlineStr"/>
      <c r="M45" s="31" t="inlineStr"/>
      <c r="N45" s="31" t="inlineStr"/>
      <c r="O45" s="31" t="inlineStr"/>
    </row>
    <row r="46">
      <c r="A46" s="32" t="inlineStr">
        <is>
          <t>FT-UI-001</t>
        </is>
      </c>
      <c r="B46" s="33" t="inlineStr">
        <is>
          <t>UI - Analyst Dashboard</t>
        </is>
      </c>
      <c r="C46" s="34" t="inlineStr">
        <is>
          <t>FR-UI-001</t>
        </is>
      </c>
      <c r="D46" s="33" t="inlineStr">
        <is>
          <t>Dashboard presents OPEN, CRITICAL and RESOLVED buckets.</t>
        </is>
      </c>
      <c r="E46" s="33" t="inlineStr">
        <is>
          <t>Analyst session with data.</t>
        </is>
      </c>
      <c r="F46" s="33" t="inlineStr">
        <is>
          <t>1. Open dashboard.
2. Inspect buckets.</t>
        </is>
      </c>
      <c r="G46" s="33" t="inlineStr">
        <is>
          <t>Mixed data</t>
        </is>
      </c>
      <c r="H46" s="33" t="inlineStr">
        <is>
          <t>Three buckets shown with correct membership.</t>
        </is>
      </c>
      <c r="I46" s="34" t="inlineStr">
        <is>
          <t>E2E</t>
        </is>
      </c>
      <c r="J46" s="34" t="inlineStr">
        <is>
          <t>P1</t>
        </is>
      </c>
      <c r="K46" s="30" t="inlineStr">
        <is>
          <t>Not Executed</t>
        </is>
      </c>
      <c r="L46" s="31" t="inlineStr"/>
      <c r="M46" s="31" t="inlineStr"/>
      <c r="N46" s="31" t="inlineStr"/>
      <c r="O46" s="31" t="inlineStr"/>
    </row>
    <row r="47">
      <c r="A47" s="27" t="inlineStr">
        <is>
          <t>FT-UI-002</t>
        </is>
      </c>
      <c r="B47" s="28" t="inlineStr">
        <is>
          <t>UI - Analyst Dashboard</t>
        </is>
      </c>
      <c r="C47" s="29" t="inlineStr">
        <is>
          <t>FR-UI-002</t>
        </is>
      </c>
      <c r="D47" s="28" t="inlineStr">
        <is>
          <t>Items sorted by trade value desc, then ageing asc.</t>
        </is>
      </c>
      <c r="E47" s="28" t="inlineStr">
        <is>
          <t>Populated bucket.</t>
        </is>
      </c>
      <c r="F47" s="28" t="inlineStr">
        <is>
          <t>1. Inspect sort order.</t>
        </is>
      </c>
      <c r="G47" s="28" t="inlineStr">
        <is>
          <t>Mixed values</t>
        </is>
      </c>
      <c r="H47" s="28" t="inlineStr">
        <is>
          <t>Sorted value desc, ageing asc (oldest first).</t>
        </is>
      </c>
      <c r="I47" s="29" t="inlineStr">
        <is>
          <t>Positive</t>
        </is>
      </c>
      <c r="J47" s="29" t="inlineStr">
        <is>
          <t>P2</t>
        </is>
      </c>
      <c r="K47" s="30" t="inlineStr">
        <is>
          <t>Not Executed</t>
        </is>
      </c>
      <c r="L47" s="31" t="inlineStr"/>
      <c r="M47" s="31" t="inlineStr"/>
      <c r="N47" s="31" t="inlineStr"/>
      <c r="O47" s="31" t="inlineStr"/>
    </row>
    <row r="48">
      <c r="A48" s="32" t="inlineStr">
        <is>
          <t>FT-UI-003</t>
        </is>
      </c>
      <c r="B48" s="33" t="inlineStr">
        <is>
          <t>UI - Analyst Dashboard</t>
        </is>
      </c>
      <c r="C48" s="34" t="inlineStr">
        <is>
          <t>FR-UI-003</t>
        </is>
      </c>
      <c r="D48" s="33" t="inlineStr">
        <is>
          <t>Cashflow flagged critical in Eve/Takara promoted to CRITICAL.</t>
        </is>
      </c>
      <c r="E48" s="33" t="inlineStr">
        <is>
          <t>CP flagged critical.</t>
        </is>
      </c>
      <c r="F48" s="33" t="inlineStr">
        <is>
          <t>1. Load flagged cashflow.</t>
        </is>
      </c>
      <c r="G48" s="33" t="inlineStr">
        <is>
          <t>Eve/Takara flag</t>
        </is>
      </c>
      <c r="H48" s="33" t="inlineStr">
        <is>
          <t>Appears in CRITICAL bucket.</t>
        </is>
      </c>
      <c r="I48" s="34" t="inlineStr">
        <is>
          <t>Positive</t>
        </is>
      </c>
      <c r="J48" s="34" t="inlineStr">
        <is>
          <t>P2</t>
        </is>
      </c>
      <c r="K48" s="30" t="inlineStr">
        <is>
          <t>Not Executed</t>
        </is>
      </c>
      <c r="L48" s="31" t="inlineStr"/>
      <c r="M48" s="31" t="inlineStr"/>
      <c r="N48" s="31" t="inlineStr"/>
      <c r="O48" s="31" t="inlineStr"/>
    </row>
    <row r="49">
      <c r="A49" s="27" t="inlineStr">
        <is>
          <t>FT-UI-004</t>
        </is>
      </c>
      <c r="B49" s="28" t="inlineStr">
        <is>
          <t>UI - Analyst Dashboard</t>
        </is>
      </c>
      <c r="C49" s="29" t="inlineStr">
        <is>
          <t>FR-UI-003</t>
        </is>
      </c>
      <c r="D49" s="28" t="inlineStr">
        <is>
          <t>Cashflow aged past threshold promoted to CRITICAL.</t>
        </is>
      </c>
      <c r="E49" s="28" t="inlineStr">
        <is>
          <t>ageing_critical_hours set.</t>
        </is>
      </c>
      <c r="F49" s="28" t="inlineStr">
        <is>
          <t>1. Age a cashflow past threshold.</t>
        </is>
      </c>
      <c r="G49" s="28" t="inlineStr">
        <is>
          <t>aged item</t>
        </is>
      </c>
      <c r="H49" s="28" t="inlineStr">
        <is>
          <t>Promoted to CRITICAL.</t>
        </is>
      </c>
      <c r="I49" s="29" t="inlineStr">
        <is>
          <t>Positive</t>
        </is>
      </c>
      <c r="J49" s="29" t="inlineStr">
        <is>
          <t>P2</t>
        </is>
      </c>
      <c r="K49" s="30" t="inlineStr">
        <is>
          <t>Not Executed</t>
        </is>
      </c>
      <c r="L49" s="31" t="inlineStr"/>
      <c r="M49" s="31" t="inlineStr"/>
      <c r="N49" s="31" t="inlineStr"/>
      <c r="O49" s="31" t="inlineStr"/>
    </row>
    <row r="50">
      <c r="A50" s="32" t="inlineStr">
        <is>
          <t>FT-UI-005</t>
        </is>
      </c>
      <c r="B50" s="33" t="inlineStr">
        <is>
          <t>UI - Analyst Dashboard</t>
        </is>
      </c>
      <c r="C50" s="34" t="inlineStr">
        <is>
          <t>FR-UI-005/006</t>
        </is>
      </c>
      <c r="D50" s="33" t="inlineStr">
        <is>
          <t>Cashflow detail view shows the full processing trail.</t>
        </is>
      </c>
      <c r="E50" s="33" t="inlineStr">
        <is>
          <t>Cashflow exists.</t>
        </is>
      </c>
      <c r="F50" s="33" t="inlineStr">
        <is>
          <t>1. Click cashflow.
2. Inspect trail.</t>
        </is>
      </c>
      <c r="G50" s="33" t="inlineStr">
        <is>
          <t>1 cashflow</t>
        </is>
      </c>
      <c r="H50" s="33" t="inlineStr">
        <is>
          <t>Trail shows ingestion, identification, extraction, confirmations, match attempts, action.</t>
        </is>
      </c>
      <c r="I50" s="34" t="inlineStr">
        <is>
          <t>E2E</t>
        </is>
      </c>
      <c r="J50" s="34" t="inlineStr">
        <is>
          <t>P1</t>
        </is>
      </c>
      <c r="K50" s="30" t="inlineStr">
        <is>
          <t>Not Executed</t>
        </is>
      </c>
      <c r="L50" s="31" t="inlineStr"/>
      <c r="M50" s="31" t="inlineStr"/>
      <c r="N50" s="31" t="inlineStr"/>
      <c r="O50" s="31" t="inlineStr"/>
    </row>
    <row r="51">
      <c r="A51" s="27" t="inlineStr">
        <is>
          <t>FT-UI-006</t>
        </is>
      </c>
      <c r="B51" s="28" t="inlineStr">
        <is>
          <t>UI - Analyst Dashboard</t>
        </is>
      </c>
      <c r="C51" s="29" t="inlineStr">
        <is>
          <t>FR-UI-007</t>
        </is>
      </c>
      <c r="D51" s="28" t="inlineStr">
        <is>
          <t>Credit compliance badge displayed and does not block workflow.</t>
        </is>
      </c>
      <c r="E51" s="28" t="inlineStr">
        <is>
          <t>Takara status available.</t>
        </is>
      </c>
      <c r="F51" s="28" t="inlineStr">
        <is>
          <t>1. Open cashflow (NOT_COMPLIANT).
2. Act.</t>
        </is>
      </c>
      <c r="G51" s="28" t="inlineStr">
        <is>
          <t>NOT_COMPLIANT</t>
        </is>
      </c>
      <c r="H51" s="28" t="inlineStr">
        <is>
          <t>Badge shown; actions still permitted.</t>
        </is>
      </c>
      <c r="I51" s="29" t="inlineStr">
        <is>
          <t>Positive</t>
        </is>
      </c>
      <c r="J51" s="29" t="inlineStr">
        <is>
          <t>P2</t>
        </is>
      </c>
      <c r="K51" s="30" t="inlineStr">
        <is>
          <t>Not Executed</t>
        </is>
      </c>
      <c r="L51" s="31" t="inlineStr"/>
      <c r="M51" s="31" t="inlineStr"/>
      <c r="N51" s="31" t="inlineStr"/>
      <c r="O51" s="31" t="inlineStr"/>
    </row>
    <row r="52">
      <c r="A52" s="32" t="inlineStr">
        <is>
          <t>FT-UI-007</t>
        </is>
      </c>
      <c r="B52" s="33" t="inlineStr">
        <is>
          <t>UI - Analyst Dashboard</t>
        </is>
      </c>
      <c r="C52" s="34" t="inlineStr">
        <is>
          <t>FR-UI-008</t>
        </is>
      </c>
      <c r="D52" s="33" t="inlineStr">
        <is>
          <t>Action buttons are context-sensitive to cashflow state.</t>
        </is>
      </c>
      <c r="E52" s="33" t="inlineStr">
        <is>
          <t>Cashflows in various states.</t>
        </is>
      </c>
      <c r="F52" s="33" t="inlineStr">
        <is>
          <t>1. Inspect buttons per state.</t>
        </is>
      </c>
      <c r="G52" s="33" t="inlineStr">
        <is>
          <t>Various states</t>
        </is>
      </c>
      <c r="H52" s="33" t="inlineStr">
        <is>
          <t>Only applicable actions shown per state.</t>
        </is>
      </c>
      <c r="I52" s="34" t="inlineStr">
        <is>
          <t>Positive</t>
        </is>
      </c>
      <c r="J52" s="34" t="inlineStr">
        <is>
          <t>P2</t>
        </is>
      </c>
      <c r="K52" s="30" t="inlineStr">
        <is>
          <t>Not Executed</t>
        </is>
      </c>
      <c r="L52" s="31" t="inlineStr"/>
      <c r="M52" s="31" t="inlineStr"/>
      <c r="N52" s="31" t="inlineStr"/>
      <c r="O52" s="31" t="inlineStr"/>
    </row>
    <row r="53">
      <c r="A53" s="27" t="inlineStr">
        <is>
          <t>FT-UI-008</t>
        </is>
      </c>
      <c r="B53" s="28" t="inlineStr">
        <is>
          <t>UI - Manager Dashboard</t>
        </is>
      </c>
      <c r="C53" s="29" t="inlineStr">
        <is>
          <t>FR-UI-020/021</t>
        </is>
      </c>
      <c r="D53" s="28" t="inlineStr">
        <is>
          <t>Manager has read-only visibility across all team queues with drill-down.</t>
        </is>
      </c>
      <c r="E53" s="28" t="inlineStr">
        <is>
          <t>Manager session.</t>
        </is>
      </c>
      <c r="F53" s="28" t="inlineStr">
        <is>
          <t>1. Open manager view.
2. Drill into cashflow.</t>
        </is>
      </c>
      <c r="G53" s="28" t="inlineStr">
        <is>
          <t>All queues</t>
        </is>
      </c>
      <c r="H53" s="28" t="inlineStr">
        <is>
          <t>Read-only across all queues; full trail on drill-down.</t>
        </is>
      </c>
      <c r="I53" s="29" t="inlineStr">
        <is>
          <t>E2E</t>
        </is>
      </c>
      <c r="J53" s="29" t="inlineStr">
        <is>
          <t>P1</t>
        </is>
      </c>
      <c r="K53" s="30" t="inlineStr">
        <is>
          <t>Not Executed</t>
        </is>
      </c>
      <c r="L53" s="31" t="inlineStr"/>
      <c r="M53" s="31" t="inlineStr"/>
      <c r="N53" s="31" t="inlineStr"/>
      <c r="O53" s="31" t="inlineStr"/>
    </row>
    <row r="54">
      <c r="A54" s="32" t="inlineStr">
        <is>
          <t>FT-UI-009</t>
        </is>
      </c>
      <c r="B54" s="33" t="inlineStr">
        <is>
          <t>UI - Manager Dashboard</t>
        </is>
      </c>
      <c r="C54" s="34" t="inlineStr">
        <is>
          <t>FR-UI-022</t>
        </is>
      </c>
      <c r="D54" s="33" t="inlineStr">
        <is>
          <t>Manager cannot confirm matches, override extractions or trigger write-back.</t>
        </is>
      </c>
      <c r="E54" s="33" t="inlineStr">
        <is>
          <t>Manager session.</t>
        </is>
      </c>
      <c r="F54" s="33" t="inlineStr">
        <is>
          <t>1. Attempt each action.</t>
        </is>
      </c>
      <c r="G54" s="33" t="inlineStr">
        <is>
          <t>Manager</t>
        </is>
      </c>
      <c r="H54" s="33" t="inlineStr">
        <is>
          <t>All three blocked.</t>
        </is>
      </c>
      <c r="I54" s="34" t="inlineStr">
        <is>
          <t>Negative</t>
        </is>
      </c>
      <c r="J54" s="34" t="inlineStr">
        <is>
          <t>P1</t>
        </is>
      </c>
      <c r="K54" s="30" t="inlineStr">
        <is>
          <t>Not Executed</t>
        </is>
      </c>
      <c r="L54" s="31" t="inlineStr"/>
      <c r="M54" s="31" t="inlineStr"/>
      <c r="N54" s="31" t="inlineStr"/>
      <c r="O54" s="31" t="inlineStr"/>
    </row>
    <row r="55">
      <c r="A55" s="27" t="inlineStr">
        <is>
          <t>FT-UI-010</t>
        </is>
      </c>
      <c r="B55" s="28" t="inlineStr">
        <is>
          <t>UI - Manager Dashboard</t>
        </is>
      </c>
      <c r="C55" s="29" t="inlineStr">
        <is>
          <t>FR-UI-023</t>
        </is>
      </c>
      <c r="D55" s="28" t="inlineStr">
        <is>
          <t>Manager configures the counterparty-to-analyst allocation map.</t>
        </is>
      </c>
      <c r="E55" s="28" t="inlineStr">
        <is>
          <t>Manager session.</t>
        </is>
      </c>
      <c r="F55" s="28" t="inlineStr">
        <is>
          <t>1. Edit allocation map.
2. Save.</t>
        </is>
      </c>
      <c r="G55" s="28" t="inlineStr">
        <is>
          <t>allocation map</t>
        </is>
      </c>
      <c r="H55" s="28" t="inlineStr">
        <is>
          <t>Mapping updated; effective next assignment.</t>
        </is>
      </c>
      <c r="I55" s="29" t="inlineStr">
        <is>
          <t>Config</t>
        </is>
      </c>
      <c r="J55" s="29" t="inlineStr">
        <is>
          <t>P2</t>
        </is>
      </c>
      <c r="K55" s="30" t="inlineStr">
        <is>
          <t>Not Executed</t>
        </is>
      </c>
      <c r="L55" s="31" t="inlineStr"/>
      <c r="M55" s="31" t="inlineStr"/>
      <c r="N55" s="31" t="inlineStr"/>
      <c r="O55" s="31" t="inlineStr"/>
    </row>
    <row r="56">
      <c r="A56" s="32" t="inlineStr">
        <is>
          <t>FT-UI-011</t>
        </is>
      </c>
      <c r="B56" s="33" t="inlineStr">
        <is>
          <t>UI - Admin Dashboard</t>
        </is>
      </c>
      <c r="C56" s="34" t="inlineStr">
        <is>
          <t>FR-UI-030/031</t>
        </is>
      </c>
      <c r="D56" s="33" t="inlineStr">
        <is>
          <t>Admin configures routing/thresholds/tolerances/taxonomy/ageing with audit.</t>
        </is>
      </c>
      <c r="E56" s="33" t="inlineStr">
        <is>
          <t>Admin session.</t>
        </is>
      </c>
      <c r="F56" s="33" t="inlineStr">
        <is>
          <t>1. Change several config keys.
2. Inspect audit.</t>
        </is>
      </c>
      <c r="G56" s="33" t="inlineStr">
        <is>
          <t>config set</t>
        </is>
      </c>
      <c r="H56" s="33" t="inlineStr">
        <is>
          <t>Changes applied; each attributed &amp; timestamped.</t>
        </is>
      </c>
      <c r="I56" s="34" t="inlineStr">
        <is>
          <t>E2E</t>
        </is>
      </c>
      <c r="J56" s="34" t="inlineStr">
        <is>
          <t>P1</t>
        </is>
      </c>
      <c r="K56" s="30" t="inlineStr">
        <is>
          <t>Not Executed</t>
        </is>
      </c>
      <c r="L56" s="31" t="inlineStr"/>
      <c r="M56" s="31" t="inlineStr"/>
      <c r="N56" s="31" t="inlineStr"/>
      <c r="O56" s="31" t="inlineStr"/>
    </row>
    <row r="57">
      <c r="A57" s="27" t="inlineStr">
        <is>
          <t>FT-UI-012</t>
        </is>
      </c>
      <c r="B57" s="28" t="inlineStr">
        <is>
          <t>UI - Admin Dashboard</t>
        </is>
      </c>
      <c r="C57" s="29" t="inlineStr">
        <is>
          <t>FR-UI-032</t>
        </is>
      </c>
      <c r="D57" s="28" t="inlineStr">
        <is>
          <t>Config change is not retroactive to in-flight cashflows.</t>
        </is>
      </c>
      <c r="E57" s="28" t="inlineStr">
        <is>
          <t>In-flight cashflows.</t>
        </is>
      </c>
      <c r="F57" s="28" t="inlineStr">
        <is>
          <t>1. Change threshold.
2. Compare in-flight vs new.</t>
        </is>
      </c>
      <c r="G57" s="28" t="inlineStr">
        <is>
          <t>threshold</t>
        </is>
      </c>
      <c r="H57" s="28" t="inlineStr">
        <is>
          <t>In-flight unaffected; new items use new value.</t>
        </is>
      </c>
      <c r="I57" s="29" t="inlineStr">
        <is>
          <t>Positive</t>
        </is>
      </c>
      <c r="J57" s="29" t="inlineStr">
        <is>
          <t>P1</t>
        </is>
      </c>
      <c r="K57" s="30" t="inlineStr">
        <is>
          <t>Not Executed</t>
        </is>
      </c>
      <c r="L57" s="31" t="inlineStr"/>
      <c r="M57" s="31" t="inlineStr"/>
      <c r="N57" s="31" t="inlineStr"/>
      <c r="O57" s="31" t="inlineStr"/>
    </row>
    <row r="58">
      <c r="A58" s="32" t="inlineStr">
        <is>
          <t>FT-UI-013</t>
        </is>
      </c>
      <c r="B58" s="33" t="inlineStr">
        <is>
          <t>UI - Scope</t>
        </is>
      </c>
      <c r="C58" s="34" t="inlineStr">
        <is>
          <t>FR §11.5</t>
        </is>
      </c>
      <c r="D58" s="33" t="inlineStr">
        <is>
          <t>Phase-1 UI excludes AI reply/chase send buttons and auto-settlement.</t>
        </is>
      </c>
      <c r="E58" s="33" t="inlineStr">
        <is>
          <t>Any session.</t>
        </is>
      </c>
      <c r="F58" s="33" t="inlineStr">
        <is>
          <t>1. Inspect UI controls.</t>
        </is>
      </c>
      <c r="G58" s="33" t="inlineStr">
        <is>
          <t>UI review</t>
        </is>
      </c>
      <c r="H58" s="33" t="inlineStr">
        <is>
          <t>No AI-send/auto-settle controls present. [PHASE-2+]</t>
        </is>
      </c>
      <c r="I58" s="34" t="inlineStr">
        <is>
          <t>Negative</t>
        </is>
      </c>
      <c r="J58" s="34" t="inlineStr">
        <is>
          <t>P2</t>
        </is>
      </c>
      <c r="K58" s="30" t="inlineStr">
        <is>
          <t>Not Executed</t>
        </is>
      </c>
      <c r="L58" s="31" t="inlineStr"/>
      <c r="M58" s="31" t="inlineStr"/>
      <c r="N58" s="31" t="inlineStr"/>
      <c r="O58" s="31" t="inlineStr"/>
    </row>
    <row r="59">
      <c r="A59" s="27" t="inlineStr">
        <is>
          <t>FT-INT-001</t>
        </is>
      </c>
      <c r="B59" s="28" t="inlineStr">
        <is>
          <t>Integration - Outlook</t>
        </is>
      </c>
      <c r="C59" s="29" t="inlineStr">
        <is>
          <t>INT-001</t>
        </is>
      </c>
      <c r="D59" s="28" t="inlineStr">
        <is>
          <t>Outlook read + category tag-write via service account works end-to-end.</t>
        </is>
      </c>
      <c r="E59" s="28" t="inlineStr">
        <is>
          <t>Graph/EWS configured.</t>
        </is>
      </c>
      <c r="F59" s="28" t="inlineStr">
        <is>
          <t>1. Read mailbox.
2. Write tag.</t>
        </is>
      </c>
      <c r="G59" s="28" t="inlineStr">
        <is>
          <t>Service acct</t>
        </is>
      </c>
      <c r="H59" s="28" t="inlineStr">
        <is>
          <t>Read &amp; tag-write succeed via service account.</t>
        </is>
      </c>
      <c r="I59" s="29" t="inlineStr">
        <is>
          <t>Integration</t>
        </is>
      </c>
      <c r="J59" s="29" t="inlineStr">
        <is>
          <t>P1</t>
        </is>
      </c>
      <c r="K59" s="30" t="inlineStr">
        <is>
          <t>Not Executed</t>
        </is>
      </c>
      <c r="L59" s="31" t="inlineStr"/>
      <c r="M59" s="31" t="inlineStr"/>
      <c r="N59" s="31" t="inlineStr"/>
      <c r="O59" s="31" t="inlineStr"/>
    </row>
    <row r="60">
      <c r="A60" s="32" t="inlineStr">
        <is>
          <t>FT-INT-002</t>
        </is>
      </c>
      <c r="B60" s="33" t="inlineStr">
        <is>
          <t>Integration - NEWS</t>
        </is>
      </c>
      <c r="C60" s="34" t="inlineStr">
        <is>
          <t>INT-002</t>
        </is>
      </c>
      <c r="D60" s="33" t="inlineStr">
        <is>
          <t>NEWS read for context and write-back on confirmed match works.</t>
        </is>
      </c>
      <c r="E60" s="33" t="inlineStr">
        <is>
          <t>NEWS API available.</t>
        </is>
      </c>
      <c r="F60" s="33" t="inlineStr">
        <is>
          <t>1. Read context.
2. Write status.</t>
        </is>
      </c>
      <c r="G60" s="33" t="inlineStr">
        <is>
          <t>NEWS</t>
        </is>
      </c>
      <c r="H60" s="33" t="inlineStr">
        <is>
          <t>Context read; status write-back succeeds.</t>
        </is>
      </c>
      <c r="I60" s="34" t="inlineStr">
        <is>
          <t>Integration</t>
        </is>
      </c>
      <c r="J60" s="34" t="inlineStr">
        <is>
          <t>P1</t>
        </is>
      </c>
      <c r="K60" s="30" t="inlineStr">
        <is>
          <t>Not Executed</t>
        </is>
      </c>
      <c r="L60" s="31" t="inlineStr"/>
      <c r="M60" s="31" t="inlineStr"/>
      <c r="N60" s="31" t="inlineStr"/>
      <c r="O60" s="31" t="inlineStr"/>
    </row>
    <row r="61">
      <c r="A61" s="27" t="inlineStr">
        <is>
          <t>FT-INT-003</t>
        </is>
      </c>
      <c r="B61" s="28" t="inlineStr">
        <is>
          <t>Integration - PCM</t>
        </is>
      </c>
      <c r="C61" s="29" t="inlineStr">
        <is>
          <t>INT-003</t>
        </is>
      </c>
      <c r="D61" s="28" t="inlineStr">
        <is>
          <t>PCM read for matching and status write on write-back works.</t>
        </is>
      </c>
      <c r="E61" s="28" t="inlineStr">
        <is>
          <t>PCM access.</t>
        </is>
      </c>
      <c r="F61" s="28" t="inlineStr">
        <is>
          <t>1. Read economic fields.
2. Write status.</t>
        </is>
      </c>
      <c r="G61" s="28" t="inlineStr">
        <is>
          <t>PCM</t>
        </is>
      </c>
      <c r="H61" s="28" t="inlineStr">
        <is>
          <t>Read for match; status written on write-back.</t>
        </is>
      </c>
      <c r="I61" s="29" t="inlineStr">
        <is>
          <t>Integration</t>
        </is>
      </c>
      <c r="J61" s="29" t="inlineStr">
        <is>
          <t>P1</t>
        </is>
      </c>
      <c r="K61" s="30" t="inlineStr">
        <is>
          <t>Not Executed</t>
        </is>
      </c>
      <c r="L61" s="31" t="inlineStr"/>
      <c r="M61" s="31" t="inlineStr"/>
      <c r="N61" s="31" t="inlineStr"/>
      <c r="O61" s="31" t="inlineStr"/>
    </row>
    <row r="62">
      <c r="A62" s="32" t="inlineStr">
        <is>
          <t>FT-INT-004</t>
        </is>
      </c>
      <c r="B62" s="33" t="inlineStr">
        <is>
          <t>Integration - Eve/RDM</t>
        </is>
      </c>
      <c r="C62" s="34" t="inlineStr">
        <is>
          <t>INT-004</t>
        </is>
      </c>
      <c r="D62" s="33" t="inlineStr">
        <is>
          <t>Eve/RDM read supplies canonical names, aliases and sender allowlist.</t>
        </is>
      </c>
      <c r="E62" s="33" t="inlineStr">
        <is>
          <t>Eve API available.</t>
        </is>
      </c>
      <c r="F62" s="33" t="inlineStr">
        <is>
          <t>1. Resolve CP alias.
2. Check allowlist.</t>
        </is>
      </c>
      <c r="G62" s="33" t="inlineStr">
        <is>
          <t>Eve</t>
        </is>
      </c>
      <c r="H62" s="33" t="inlineStr">
        <is>
          <t>Canonical name &amp; alias resolved; allowlist checked.</t>
        </is>
      </c>
      <c r="I62" s="34" t="inlineStr">
        <is>
          <t>Integration</t>
        </is>
      </c>
      <c r="J62" s="34" t="inlineStr">
        <is>
          <t>P2</t>
        </is>
      </c>
      <c r="K62" s="30" t="inlineStr">
        <is>
          <t>Not Executed</t>
        </is>
      </c>
      <c r="L62" s="31" t="inlineStr"/>
      <c r="M62" s="31" t="inlineStr"/>
      <c r="N62" s="31" t="inlineStr"/>
      <c r="O62" s="31" t="inlineStr"/>
    </row>
    <row r="63">
      <c r="A63" s="27" t="inlineStr">
        <is>
          <t>FT-INT-005</t>
        </is>
      </c>
      <c r="B63" s="28" t="inlineStr">
        <is>
          <t>Integration - Takara</t>
        </is>
      </c>
      <c r="C63" s="29" t="inlineStr">
        <is>
          <t>INT-005</t>
        </is>
      </c>
      <c r="D63" s="28" t="inlineStr">
        <is>
          <t>Takara read supplies compliance status and holiday calendars.</t>
        </is>
      </c>
      <c r="E63" s="28" t="inlineStr">
        <is>
          <t>Takara API available.</t>
        </is>
      </c>
      <c r="F63" s="28" t="inlineStr">
        <is>
          <t>1. Read compliance.
2. Read holidays.</t>
        </is>
      </c>
      <c r="G63" s="28" t="inlineStr">
        <is>
          <t>Takara</t>
        </is>
      </c>
      <c r="H63" s="28" t="inlineStr">
        <is>
          <t>Compliance + holiday calendars retrieved.</t>
        </is>
      </c>
      <c r="I63" s="29" t="inlineStr">
        <is>
          <t>Integration</t>
        </is>
      </c>
      <c r="J63" s="29" t="inlineStr">
        <is>
          <t>P2</t>
        </is>
      </c>
      <c r="K63" s="30" t="inlineStr">
        <is>
          <t>Not Executed</t>
        </is>
      </c>
      <c r="L63" s="31" t="inlineStr"/>
      <c r="M63" s="31" t="inlineStr"/>
      <c r="N63" s="31" t="inlineStr"/>
      <c r="O63" s="31" t="inlineStr"/>
    </row>
    <row r="64">
      <c r="A64" s="32" t="inlineStr">
        <is>
          <t>FT-INT-006</t>
        </is>
      </c>
      <c r="B64" s="33" t="inlineStr">
        <is>
          <t>Integration - Chinou</t>
        </is>
      </c>
      <c r="C64" s="34" t="inlineStr">
        <is>
          <t>INT-006</t>
        </is>
      </c>
      <c r="D64" s="33" t="inlineStr">
        <is>
          <t>Chinou API performs classifier, extractor and candidate-scoring inferences.</t>
        </is>
      </c>
      <c r="E64" s="33" t="inlineStr">
        <is>
          <t>Chinou API available.</t>
        </is>
      </c>
      <c r="F64" s="33" t="inlineStr">
        <is>
          <t>1. Invoke each AI function.</t>
        </is>
      </c>
      <c r="G64" s="33" t="inlineStr">
        <is>
          <t>Chinou</t>
        </is>
      </c>
      <c r="H64" s="33" t="inlineStr">
        <is>
          <t>All three inference types return results.</t>
        </is>
      </c>
      <c r="I64" s="34" t="inlineStr">
        <is>
          <t>Integration</t>
        </is>
      </c>
      <c r="J64" s="34" t="inlineStr">
        <is>
          <t>P1</t>
        </is>
      </c>
      <c r="K64" s="30" t="inlineStr">
        <is>
          <t>Not Executed</t>
        </is>
      </c>
      <c r="L64" s="31" t="inlineStr"/>
      <c r="M64" s="31" t="inlineStr"/>
      <c r="N64" s="31" t="inlineStr"/>
      <c r="O64" s="31" t="inlineStr"/>
    </row>
    <row r="65">
      <c r="A65" s="27" t="inlineStr">
        <is>
          <t>FT-INT-007</t>
        </is>
      </c>
      <c r="B65" s="28" t="inlineStr">
        <is>
          <t>Integration - SSO</t>
        </is>
      </c>
      <c r="C65" s="29" t="inlineStr">
        <is>
          <t>INT-007</t>
        </is>
      </c>
      <c r="D65" s="28" t="inlineStr">
        <is>
          <t>SSO authenticates and assigns analyst/manager/admin roles.</t>
        </is>
      </c>
      <c r="E65" s="28" t="inlineStr">
        <is>
          <t>SSO configured.</t>
        </is>
      </c>
      <c r="F65" s="28" t="inlineStr">
        <is>
          <t>1. Log in each role.</t>
        </is>
      </c>
      <c r="G65" s="28" t="inlineStr">
        <is>
          <t>SAML/OAuth</t>
        </is>
      </c>
      <c r="H65" s="28" t="inlineStr">
        <is>
          <t>Auth succeeds; correct role assigned.</t>
        </is>
      </c>
      <c r="I65" s="29" t="inlineStr">
        <is>
          <t>Integration</t>
        </is>
      </c>
      <c r="J65" s="29" t="inlineStr">
        <is>
          <t>P1</t>
        </is>
      </c>
      <c r="K65" s="30" t="inlineStr">
        <is>
          <t>Not Executed</t>
        </is>
      </c>
      <c r="L65" s="31" t="inlineStr"/>
      <c r="M65" s="31" t="inlineStr"/>
      <c r="N65" s="31" t="inlineStr"/>
      <c r="O65" s="31" t="inlineStr"/>
    </row>
    <row r="66">
      <c r="A66" s="32" t="inlineStr">
        <is>
          <t>FT-RBAC-001</t>
        </is>
      </c>
      <c r="B66" s="33" t="inlineStr">
        <is>
          <t>RBAC (functional)</t>
        </is>
      </c>
      <c r="C66" s="34" t="inlineStr">
        <is>
          <t>FR-RBAC-003</t>
        </is>
      </c>
      <c r="D66" s="33" t="inlineStr">
        <is>
          <t>Analyst login sees only its assigned queue.</t>
        </is>
      </c>
      <c r="E66" s="33" t="inlineStr">
        <is>
          <t>Analyst A session.</t>
        </is>
      </c>
      <c r="F66" s="33" t="inlineStr">
        <is>
          <t>1. Log in.
2. Inspect visible cashflows.</t>
        </is>
      </c>
      <c r="G66" s="33" t="inlineStr">
        <is>
          <t>Analyst A</t>
        </is>
      </c>
      <c r="H66" s="33" t="inlineStr">
        <is>
          <t>Only Analyst A's queue visible.</t>
        </is>
      </c>
      <c r="I66" s="34" t="inlineStr">
        <is>
          <t>Security</t>
        </is>
      </c>
      <c r="J66" s="34" t="inlineStr">
        <is>
          <t>P1</t>
        </is>
      </c>
      <c r="K66" s="30" t="inlineStr">
        <is>
          <t>Not Executed</t>
        </is>
      </c>
      <c r="L66" s="31" t="inlineStr"/>
      <c r="M66" s="31" t="inlineStr"/>
      <c r="N66" s="31" t="inlineStr"/>
      <c r="O66" s="31" t="inlineStr"/>
    </row>
    <row r="67">
      <c r="A67" s="27" t="inlineStr">
        <is>
          <t>FT-RBAC-002</t>
        </is>
      </c>
      <c r="B67" s="28" t="inlineStr">
        <is>
          <t>RBAC (functional)</t>
        </is>
      </c>
      <c r="C67" s="29" t="inlineStr">
        <is>
          <t>FR-RBAC-004</t>
        </is>
      </c>
      <c r="D67" s="28" t="inlineStr">
        <is>
          <t>Analyst cross-queue write-back is denied.</t>
        </is>
      </c>
      <c r="E67" s="28" t="inlineStr">
        <is>
          <t>Analyst A session.</t>
        </is>
      </c>
      <c r="F67" s="28" t="inlineStr">
        <is>
          <t>1. Attempt action on Analyst B item.</t>
        </is>
      </c>
      <c r="G67" s="28" t="inlineStr">
        <is>
          <t>Cross-queue</t>
        </is>
      </c>
      <c r="H67" s="28" t="inlineStr">
        <is>
          <t>Action denied.</t>
        </is>
      </c>
      <c r="I67" s="29" t="inlineStr">
        <is>
          <t>Negative</t>
        </is>
      </c>
      <c r="J67" s="29" t="inlineStr">
        <is>
          <t>P1</t>
        </is>
      </c>
      <c r="K67" s="30" t="inlineStr">
        <is>
          <t>Not Executed</t>
        </is>
      </c>
      <c r="L67" s="31" t="inlineStr"/>
      <c r="M67" s="31" t="inlineStr"/>
      <c r="N67" s="31" t="inlineStr"/>
      <c r="O67" s="31" t="inlineStr"/>
    </row>
    <row r="68">
      <c r="A68" s="32" t="inlineStr">
        <is>
          <t>FT-RBAC-003</t>
        </is>
      </c>
      <c r="B68" s="33" t="inlineStr">
        <is>
          <t>RBAC (functional)</t>
        </is>
      </c>
      <c r="C68" s="34" t="inlineStr">
        <is>
          <t>FR-RBAC-002</t>
        </is>
      </c>
      <c r="D68" s="33" t="inlineStr">
        <is>
          <t>One role per session enforced for a multi-role user.</t>
        </is>
      </c>
      <c r="E68" s="33" t="inlineStr">
        <is>
          <t>Multi-role user.</t>
        </is>
      </c>
      <c r="F68" s="33" t="inlineStr">
        <is>
          <t>1. Log in.
2. Inspect role.</t>
        </is>
      </c>
      <c r="G68" s="33" t="inlineStr">
        <is>
          <t>Multi-role</t>
        </is>
      </c>
      <c r="H68" s="33" t="inlineStr">
        <is>
          <t>Single active role per session.</t>
        </is>
      </c>
      <c r="I68" s="34" t="inlineStr">
        <is>
          <t>Security</t>
        </is>
      </c>
      <c r="J68" s="34" t="inlineStr">
        <is>
          <t>P2</t>
        </is>
      </c>
      <c r="K68" s="30" t="inlineStr">
        <is>
          <t>Not Executed</t>
        </is>
      </c>
      <c r="L68" s="31" t="inlineStr"/>
      <c r="M68" s="31" t="inlineStr"/>
      <c r="N68" s="31" t="inlineStr"/>
      <c r="O68" s="31" t="inlineStr"/>
    </row>
    <row r="69">
      <c r="A69" s="27" t="inlineStr">
        <is>
          <t>FT-AUD-001</t>
        </is>
      </c>
      <c r="B69" s="28" t="inlineStr">
        <is>
          <t>Audit (functional)</t>
        </is>
      </c>
      <c r="C69" s="29" t="inlineStr">
        <is>
          <t>FR-AUD-008</t>
        </is>
      </c>
      <c r="D69" s="28" t="inlineStr">
        <is>
          <t>Internal Audit reconstructs a full cashflow history from the trail.</t>
        </is>
      </c>
      <c r="E69" s="28" t="inlineStr">
        <is>
          <t>Completed cashflow.</t>
        </is>
      </c>
      <c r="F69" s="28" t="inlineStr">
        <is>
          <t>1. Pull audit trail.
2. Reconstruct.</t>
        </is>
      </c>
      <c r="G69" s="28" t="inlineStr">
        <is>
          <t>1 cashflow</t>
        </is>
      </c>
      <c r="H69" s="28" t="inlineStr">
        <is>
          <t>Complete ingestion-&gt;resolution history reproduced.</t>
        </is>
      </c>
      <c r="I69" s="29" t="inlineStr">
        <is>
          <t>E2E</t>
        </is>
      </c>
      <c r="J69" s="29" t="inlineStr">
        <is>
          <t>P1</t>
        </is>
      </c>
      <c r="K69" s="30" t="inlineStr">
        <is>
          <t>Not Executed</t>
        </is>
      </c>
      <c r="L69" s="31" t="inlineStr"/>
      <c r="M69" s="31" t="inlineStr"/>
      <c r="N69" s="31" t="inlineStr"/>
      <c r="O69" s="31" t="inlineStr"/>
    </row>
    <row r="70">
      <c r="A70" s="32" t="inlineStr">
        <is>
          <t>FT-AUD-002</t>
        </is>
      </c>
      <c r="B70" s="33" t="inlineStr">
        <is>
          <t>Audit (functional)</t>
        </is>
      </c>
      <c r="C70" s="34" t="inlineStr">
        <is>
          <t>FR-AUD-009</t>
        </is>
      </c>
      <c r="D70" s="33" t="inlineStr">
        <is>
          <t>Override-rate report filters by component/CP/product/analyst/time.</t>
        </is>
      </c>
      <c r="E70" s="33" t="inlineStr">
        <is>
          <t>Override data present.</t>
        </is>
      </c>
      <c r="F70" s="33" t="inlineStr">
        <is>
          <t>1. Run report per filter.</t>
        </is>
      </c>
      <c r="G70" s="33" t="inlineStr">
        <is>
          <t>filters</t>
        </is>
      </c>
      <c r="H70" s="33" t="inlineStr">
        <is>
          <t>Correct override rates per filter dimension.</t>
        </is>
      </c>
      <c r="I70" s="34" t="inlineStr">
        <is>
          <t>Positive</t>
        </is>
      </c>
      <c r="J70" s="34" t="inlineStr">
        <is>
          <t>P2</t>
        </is>
      </c>
      <c r="K70" s="30" t="inlineStr">
        <is>
          <t>Not Executed</t>
        </is>
      </c>
      <c r="L70" s="31" t="inlineStr"/>
      <c r="M70" s="31" t="inlineStr"/>
      <c r="N70" s="31" t="inlineStr"/>
      <c r="O70" s="31" t="inlineStr"/>
    </row>
    <row r="71">
      <c r="A71" s="27" t="inlineStr">
        <is>
          <t>FT-AUD-003</t>
        </is>
      </c>
      <c r="B71" s="28" t="inlineStr">
        <is>
          <t>Audit (functional)</t>
        </is>
      </c>
      <c r="C71" s="29" t="inlineStr">
        <is>
          <t>FR-AUD-006</t>
        </is>
      </c>
      <c r="D71" s="28" t="inlineStr">
        <is>
          <t>Append-only enforcement rejects any modification attempt.</t>
        </is>
      </c>
      <c r="E71" s="28" t="inlineStr">
        <is>
          <t>Audit event exists.</t>
        </is>
      </c>
      <c r="F71" s="28" t="inlineStr">
        <is>
          <t>1. Attempt to edit/delete event.</t>
        </is>
      </c>
      <c r="G71" s="28" t="inlineStr">
        <is>
          <t>tamper</t>
        </is>
      </c>
      <c r="H71" s="28" t="inlineStr">
        <is>
          <t>Rejected; trail immutable.</t>
        </is>
      </c>
      <c r="I71" s="29" t="inlineStr">
        <is>
          <t>Security</t>
        </is>
      </c>
      <c r="J71" s="29" t="inlineStr">
        <is>
          <t>P1</t>
        </is>
      </c>
      <c r="K71" s="30" t="inlineStr">
        <is>
          <t>Not Executed</t>
        </is>
      </c>
      <c r="L71" s="31" t="inlineStr"/>
      <c r="M71" s="31" t="inlineStr"/>
      <c r="N71" s="31" t="inlineStr"/>
      <c r="O71" s="31" t="inlineStr"/>
    </row>
    <row r="72">
      <c r="A72" s="32" t="inlineStr">
        <is>
          <t>FT-AIQ-001</t>
        </is>
      </c>
      <c r="B72" s="33" t="inlineStr">
        <is>
          <t>AI Quality (functional)</t>
        </is>
      </c>
      <c r="C72" s="34" t="inlineStr">
        <is>
          <t>FR-AIQ-010/011</t>
        </is>
      </c>
      <c r="D72" s="33" t="inlineStr">
        <is>
          <t>Drift detection surfaces a degradation signal for investigation.</t>
        </is>
      </c>
      <c r="E72" s="33" t="inlineStr">
        <is>
          <t>Drift monitor active.</t>
        </is>
      </c>
      <c r="F72" s="33" t="inlineStr">
        <is>
          <t>1. Inject sustained accuracy drop.
2. Observe.</t>
        </is>
      </c>
      <c r="G72" s="33" t="inlineStr">
        <is>
          <t>accuracy drop</t>
        </is>
      </c>
      <c r="H72" s="33" t="inlineStr">
        <is>
          <t>Signal raised for investigation.</t>
        </is>
      </c>
      <c r="I72" s="34" t="inlineStr">
        <is>
          <t>Positive</t>
        </is>
      </c>
      <c r="J72" s="34" t="inlineStr">
        <is>
          <t>P2</t>
        </is>
      </c>
      <c r="K72" s="30" t="inlineStr">
        <is>
          <t>Not Executed</t>
        </is>
      </c>
      <c r="L72" s="31" t="inlineStr"/>
      <c r="M72" s="31" t="inlineStr"/>
      <c r="N72" s="31" t="inlineStr"/>
      <c r="O72" s="31" t="inlineStr"/>
    </row>
    <row r="73">
      <c r="A73" s="27" t="inlineStr">
        <is>
          <t>FT-AIQ-002</t>
        </is>
      </c>
      <c r="B73" s="28" t="inlineStr">
        <is>
          <t>AI Quality (functional)</t>
        </is>
      </c>
      <c r="C73" s="29" t="inlineStr">
        <is>
          <t>FR-AIQ-004</t>
        </is>
      </c>
      <c r="D73" s="28" t="inlineStr">
        <is>
          <t>No auto-settlement occurs even at maximum AI confidence.</t>
        </is>
      </c>
      <c r="E73" s="28" t="inlineStr">
        <is>
          <t>Max-confidence match.</t>
        </is>
      </c>
      <c r="F73" s="28" t="inlineStr">
        <is>
          <t>1. Reach match at conf=1.0.</t>
        </is>
      </c>
      <c r="G73" s="28" t="inlineStr">
        <is>
          <t>conf=1.0</t>
        </is>
      </c>
      <c r="H73" s="28" t="inlineStr">
        <is>
          <t>Requires analyst confirmation; no auto-settle.</t>
        </is>
      </c>
      <c r="I73" s="29" t="inlineStr">
        <is>
          <t>Negative</t>
        </is>
      </c>
      <c r="J73" s="29" t="inlineStr">
        <is>
          <t>P1</t>
        </is>
      </c>
      <c r="K73" s="30" t="inlineStr">
        <is>
          <t>Not Executed</t>
        </is>
      </c>
      <c r="L73" s="31" t="inlineStr"/>
      <c r="M73" s="31" t="inlineStr"/>
      <c r="N73" s="31" t="inlineStr"/>
      <c r="O73" s="31" t="inlineStr"/>
    </row>
    <row r="74">
      <c r="A74" s="32" t="inlineStr">
        <is>
          <t>FT-ERR-001</t>
        </is>
      </c>
      <c r="B74" s="33" t="inlineStr">
        <is>
          <t>Error Handling</t>
        </is>
      </c>
      <c r="C74" s="34" t="inlineStr">
        <is>
          <t>ERR-001</t>
        </is>
      </c>
      <c r="D74" s="33" t="inlineStr">
        <is>
          <t>Ingestion polling failure: retry, alert, recover.</t>
        </is>
      </c>
      <c r="E74" s="33" t="inlineStr">
        <is>
          <t>Mailbox outage.</t>
        </is>
      </c>
      <c r="F74" s="33" t="inlineStr">
        <is>
          <t>1. Cause outage.
2. Observe retry/alert/recovery.</t>
        </is>
      </c>
      <c r="G74" s="33" t="inlineStr">
        <is>
          <t>outage</t>
        </is>
      </c>
      <c r="H74" s="33" t="inlineStr">
        <is>
          <t>3 retries, alert on final, last-poll retained.</t>
        </is>
      </c>
      <c r="I74" s="34" t="inlineStr">
        <is>
          <t>Negative</t>
        </is>
      </c>
      <c r="J74" s="34" t="inlineStr">
        <is>
          <t>P1</t>
        </is>
      </c>
      <c r="K74" s="30" t="inlineStr">
        <is>
          <t>Not Executed</t>
        </is>
      </c>
      <c r="L74" s="31" t="inlineStr"/>
      <c r="M74" s="31" t="inlineStr"/>
      <c r="N74" s="31" t="inlineStr"/>
      <c r="O74" s="31" t="inlineStr"/>
    </row>
    <row r="75">
      <c r="A75" s="27" t="inlineStr">
        <is>
          <t>FT-ERR-002</t>
        </is>
      </c>
      <c r="B75" s="28" t="inlineStr">
        <is>
          <t>Error Handling</t>
        </is>
      </c>
      <c r="C75" s="29" t="inlineStr">
        <is>
          <t>ERR-002</t>
        </is>
      </c>
      <c r="D75" s="28" t="inlineStr">
        <is>
          <t>Extraction parsing failure tags cashflow ERROR for manual handling.</t>
        </is>
      </c>
      <c r="E75" s="28" t="inlineStr">
        <is>
          <t>Unparseable body.</t>
        </is>
      </c>
      <c r="F75" s="28" t="inlineStr">
        <is>
          <t>1. Send bad email.
2. Observe.</t>
        </is>
      </c>
      <c r="G75" s="28" t="inlineStr">
        <is>
          <t>parse error</t>
        </is>
      </c>
      <c r="H75" s="28" t="inlineStr">
        <is>
          <t>Tagged ERROR with detail; manual workflow.</t>
        </is>
      </c>
      <c r="I75" s="29" t="inlineStr">
        <is>
          <t>Negative</t>
        </is>
      </c>
      <c r="J75" s="29" t="inlineStr">
        <is>
          <t>P1</t>
        </is>
      </c>
      <c r="K75" s="30" t="inlineStr">
        <is>
          <t>Not Executed</t>
        </is>
      </c>
      <c r="L75" s="31" t="inlineStr"/>
      <c r="M75" s="31" t="inlineStr"/>
      <c r="N75" s="31" t="inlineStr"/>
      <c r="O75" s="31" t="inlineStr"/>
    </row>
    <row r="76">
      <c r="A76" s="32" t="inlineStr">
        <is>
          <t>FT-ERR-003</t>
        </is>
      </c>
      <c r="B76" s="33" t="inlineStr">
        <is>
          <t>Error Handling</t>
        </is>
      </c>
      <c r="C76" s="34" t="inlineStr">
        <is>
          <t>ERR-003</t>
        </is>
      </c>
      <c r="D76" s="33" t="inlineStr">
        <is>
          <t>Settlement system (PCM/NEWS) unavailable: extraction/confirmation proceed, queued for match.</t>
        </is>
      </c>
      <c r="E76" s="33" t="inlineStr">
        <is>
          <t>PCM down.</t>
        </is>
      </c>
      <c r="F76" s="33" t="inlineStr">
        <is>
          <t>1. Process while PCM down.
2. Observe.</t>
        </is>
      </c>
      <c r="G76" s="33" t="inlineStr">
        <is>
          <t>PCM outage</t>
        </is>
      </c>
      <c r="H76" s="33" t="inlineStr">
        <is>
          <t>Extraction/confirmation proceed; queued; alert logged.</t>
        </is>
      </c>
      <c r="I76" s="34" t="inlineStr">
        <is>
          <t>Negative</t>
        </is>
      </c>
      <c r="J76" s="34" t="inlineStr">
        <is>
          <t>P1</t>
        </is>
      </c>
      <c r="K76" s="30" t="inlineStr">
        <is>
          <t>Not Executed</t>
        </is>
      </c>
      <c r="L76" s="31" t="inlineStr"/>
      <c r="M76" s="31" t="inlineStr"/>
      <c r="N76" s="31" t="inlineStr"/>
      <c r="O76" s="31" t="inlineStr"/>
    </row>
    <row r="77">
      <c r="A77" s="27" t="inlineStr">
        <is>
          <t>FT-ERR-004</t>
        </is>
      </c>
      <c r="B77" s="28" t="inlineStr">
        <is>
          <t>Error Handling</t>
        </is>
      </c>
      <c r="C77" s="29" t="inlineStr">
        <is>
          <t>ERR-004</t>
        </is>
      </c>
      <c r="D77" s="28" t="inlineStr">
        <is>
          <t>Chinou API unavailable: cashflow flagged for manual handling.</t>
        </is>
      </c>
      <c r="E77" s="28" t="inlineStr">
        <is>
          <t>Chinou down.</t>
        </is>
      </c>
      <c r="F77" s="28" t="inlineStr">
        <is>
          <t>1. Process while Chinou down.
2. Observe.</t>
        </is>
      </c>
      <c r="G77" s="28" t="inlineStr">
        <is>
          <t>AI outage</t>
        </is>
      </c>
      <c r="H77" s="28" t="inlineStr">
        <is>
          <t>Cashflow flagged; manual handling; alert logged.</t>
        </is>
      </c>
      <c r="I77" s="29" t="inlineStr">
        <is>
          <t>Negative</t>
        </is>
      </c>
      <c r="J77" s="29" t="inlineStr">
        <is>
          <t>P1</t>
        </is>
      </c>
      <c r="K77" s="30" t="inlineStr">
        <is>
          <t>Not Executed</t>
        </is>
      </c>
      <c r="L77" s="31" t="inlineStr"/>
      <c r="M77" s="31" t="inlineStr"/>
      <c r="N77" s="31" t="inlineStr"/>
      <c r="O77" s="31" t="inlineStr"/>
    </row>
    <row r="78">
      <c r="A78" s="32" t="inlineStr">
        <is>
          <t>FT-ERR-005</t>
        </is>
      </c>
      <c r="B78" s="33" t="inlineStr">
        <is>
          <t>Error Handling</t>
        </is>
      </c>
      <c r="C78" s="34" t="inlineStr">
        <is>
          <t>ERR-005</t>
        </is>
      </c>
      <c r="D78" s="33" t="inlineStr">
        <is>
          <t>Write-back failure keeps cashflow in queue for retry/manual.</t>
        </is>
      </c>
      <c r="E78" s="33" t="inlineStr">
        <is>
          <t>Write endpoint down.</t>
        </is>
      </c>
      <c r="F78" s="33" t="inlineStr">
        <is>
          <t>1. Trigger write-back.
2. Observe.</t>
        </is>
      </c>
      <c r="G78" s="33" t="inlineStr">
        <is>
          <t>write outage</t>
        </is>
      </c>
      <c r="H78" s="33" t="inlineStr">
        <is>
          <t>Cashflow retained; failure captured.</t>
        </is>
      </c>
      <c r="I78" s="34" t="inlineStr">
        <is>
          <t>Negative</t>
        </is>
      </c>
      <c r="J78" s="34" t="inlineStr">
        <is>
          <t>P1</t>
        </is>
      </c>
      <c r="K78" s="30" t="inlineStr">
        <is>
          <t>Not Executed</t>
        </is>
      </c>
      <c r="L78" s="31" t="inlineStr"/>
      <c r="M78" s="31" t="inlineStr"/>
      <c r="N78" s="31" t="inlineStr"/>
      <c r="O78" s="31" t="inlineStr"/>
    </row>
    <row r="79">
      <c r="A79" s="27" t="inlineStr">
        <is>
          <t>FT-ERR-006</t>
        </is>
      </c>
      <c r="B79" s="28" t="inlineStr">
        <is>
          <t>Error Handling</t>
        </is>
      </c>
      <c r="C79" s="29" t="inlineStr">
        <is>
          <t>ERR-006</t>
        </is>
      </c>
      <c r="D79" s="28" t="inlineStr">
        <is>
          <t>Outlook tagging failure is non-blocking.</t>
        </is>
      </c>
      <c r="E79" s="28" t="inlineStr">
        <is>
          <t>Tag endpoint down.</t>
        </is>
      </c>
      <c r="F79" s="28" t="inlineStr">
        <is>
          <t>1. Process with tag outage.</t>
        </is>
      </c>
      <c r="G79" s="28" t="inlineStr">
        <is>
          <t>tag outage</t>
        </is>
      </c>
      <c r="H79" s="28" t="inlineStr">
        <is>
          <t>Logged; pipeline continues.</t>
        </is>
      </c>
      <c r="I79" s="29" t="inlineStr">
        <is>
          <t>Negative</t>
        </is>
      </c>
      <c r="J79" s="29" t="inlineStr">
        <is>
          <t>P2</t>
        </is>
      </c>
      <c r="K79" s="30" t="inlineStr">
        <is>
          <t>Not Executed</t>
        </is>
      </c>
      <c r="L79" s="31" t="inlineStr"/>
      <c r="M79" s="31" t="inlineStr"/>
      <c r="N79" s="31" t="inlineStr"/>
      <c r="O79" s="31" t="inlineStr"/>
    </row>
    <row r="80">
      <c r="A80" s="32" t="inlineStr">
        <is>
          <t>FT-ERR-007</t>
        </is>
      </c>
      <c r="B80" s="33" t="inlineStr">
        <is>
          <t>Error Handling</t>
        </is>
      </c>
      <c r="C80" s="34" t="inlineStr">
        <is>
          <t>ERR-007</t>
        </is>
      </c>
      <c r="D80" s="33" t="inlineStr">
        <is>
          <t>Mixed in-scope + unsupported content: in-scope processed, rest flagged.</t>
        </is>
      </c>
      <c r="E80" s="33" t="inlineStr">
        <is>
          <t>Mixed email.</t>
        </is>
      </c>
      <c r="F80" s="33" t="inlineStr">
        <is>
          <t>1. Send body trade + image.
2. Observe.</t>
        </is>
      </c>
      <c r="G80" s="33" t="inlineStr">
        <is>
          <t>mixed</t>
        </is>
      </c>
      <c r="H80" s="33" t="inlineStr">
        <is>
          <t>In-scope processed; unsupported flagged; email not rejected.</t>
        </is>
      </c>
      <c r="I80" s="34" t="inlineStr">
        <is>
          <t>Edge</t>
        </is>
      </c>
      <c r="J80" s="34" t="inlineStr">
        <is>
          <t>P2</t>
        </is>
      </c>
      <c r="K80" s="30" t="inlineStr">
        <is>
          <t>Not Executed</t>
        </is>
      </c>
      <c r="L80" s="31" t="inlineStr"/>
      <c r="M80" s="31" t="inlineStr"/>
      <c r="N80" s="31" t="inlineStr"/>
      <c r="O80" s="31" t="inlineStr"/>
    </row>
    <row r="81">
      <c r="A81" s="27" t="inlineStr">
        <is>
          <t>FT-ERR-008</t>
        </is>
      </c>
      <c r="B81" s="28" t="inlineStr">
        <is>
          <t>Error Handling</t>
        </is>
      </c>
      <c r="C81" s="29" t="inlineStr">
        <is>
          <t>ERR-008</t>
        </is>
      </c>
      <c r="D81" s="28" t="inlineStr">
        <is>
          <t>Corrupt/zero-byte attachment tagged; in-scope body may still process.</t>
        </is>
      </c>
      <c r="E81" s="28" t="inlineStr">
        <is>
          <t>Email w/ corrupt file + body.</t>
        </is>
      </c>
      <c r="F81" s="28" t="inlineStr">
        <is>
          <t>1. Send.
2. Observe.</t>
        </is>
      </c>
      <c r="G81" s="28" t="inlineStr">
        <is>
          <t>corrupt+body</t>
        </is>
      </c>
      <c r="H81" s="28" t="inlineStr">
        <is>
          <t>Attachment flagged; body content processed.</t>
        </is>
      </c>
      <c r="I81" s="29" t="inlineStr">
        <is>
          <t>Edge</t>
        </is>
      </c>
      <c r="J81" s="29" t="inlineStr">
        <is>
          <t>P2</t>
        </is>
      </c>
      <c r="K81" s="30" t="inlineStr">
        <is>
          <t>Not Executed</t>
        </is>
      </c>
      <c r="L81" s="31" t="inlineStr"/>
      <c r="M81" s="31" t="inlineStr"/>
      <c r="N81" s="31" t="inlineStr"/>
      <c r="O81" s="31" t="inlineStr"/>
    </row>
    <row r="82">
      <c r="A82" s="32" t="inlineStr">
        <is>
          <t>FT-ERR-009</t>
        </is>
      </c>
      <c r="B82" s="33" t="inlineStr">
        <is>
          <t>Error Handling</t>
        </is>
      </c>
      <c r="C82" s="34" t="inlineStr">
        <is>
          <t>ERR-009</t>
        </is>
      </c>
      <c r="D82" s="33" t="inlineStr">
        <is>
          <t>Unsupported attachment type (PDF/.msg) flagged; body processed.</t>
        </is>
      </c>
      <c r="E82" s="33" t="inlineStr">
        <is>
          <t>Email w/ PDF + body.</t>
        </is>
      </c>
      <c r="F82" s="33" t="inlineStr">
        <is>
          <t>1. Send.
2. Observe.</t>
        </is>
      </c>
      <c r="G82" s="33" t="inlineStr">
        <is>
          <t>PDF+body</t>
        </is>
      </c>
      <c r="H82" s="33" t="inlineStr">
        <is>
          <t>PDF flagged unsupported; body processed.</t>
        </is>
      </c>
      <c r="I82" s="34" t="inlineStr">
        <is>
          <t>Edge</t>
        </is>
      </c>
      <c r="J82" s="34" t="inlineStr">
        <is>
          <t>P2</t>
        </is>
      </c>
      <c r="K82" s="30" t="inlineStr">
        <is>
          <t>Not Executed</t>
        </is>
      </c>
      <c r="L82" s="31" t="inlineStr"/>
      <c r="M82" s="31" t="inlineStr"/>
      <c r="N82" s="31" t="inlineStr"/>
      <c r="O82" s="31" t="inlineStr"/>
    </row>
    <row r="83">
      <c r="A83" s="27" t="inlineStr">
        <is>
          <t>FT-ERR-010</t>
        </is>
      </c>
      <c r="B83" s="28" t="inlineStr">
        <is>
          <t>Error Handling</t>
        </is>
      </c>
      <c r="C83" s="29" t="inlineStr">
        <is>
          <t>ERR-010</t>
        </is>
      </c>
      <c r="D83" s="28" t="inlineStr">
        <is>
          <t>Unknown/unmapped sender domain: extraction proceeds, CP field LOW_CONFIDENCE.</t>
        </is>
      </c>
      <c r="E83" s="28" t="inlineStr">
        <is>
          <t>Unmapped domain.</t>
        </is>
      </c>
      <c r="F83" s="28" t="inlineStr">
        <is>
          <t>1. Send from unknown domain.
2. Observe.</t>
        </is>
      </c>
      <c r="G83" s="28" t="inlineStr">
        <is>
          <t>unknown domain</t>
        </is>
      </c>
      <c r="H83" s="28" t="inlineStr">
        <is>
          <t>Extraction proceeds; counterparty flagged LOW_CONFIDENCE.</t>
        </is>
      </c>
      <c r="I83" s="29" t="inlineStr">
        <is>
          <t>Edge</t>
        </is>
      </c>
      <c r="J83" s="29" t="inlineStr">
        <is>
          <t>P2</t>
        </is>
      </c>
      <c r="K83" s="30" t="inlineStr">
        <is>
          <t>Not Executed</t>
        </is>
      </c>
      <c r="L83" s="31" t="inlineStr"/>
      <c r="M83" s="31" t="inlineStr"/>
      <c r="N83" s="31" t="inlineStr"/>
      <c r="O83" s="31" t="inlineStr"/>
    </row>
    <row r="84">
      <c r="A84" s="32" t="inlineStr">
        <is>
          <t>FT-NFR-001</t>
        </is>
      </c>
      <c r="B84" s="33" t="inlineStr">
        <is>
          <t>NFR - Availability</t>
        </is>
      </c>
      <c r="C84" s="34" t="inlineStr">
        <is>
          <t>NFR-001</t>
        </is>
      </c>
      <c r="D84" s="33" t="inlineStr">
        <is>
          <t>Solution available during OTC operational hours; downtime outside critical windows.</t>
        </is>
      </c>
      <c r="E84" s="33" t="inlineStr">
        <is>
          <t>Ops calendar known.</t>
        </is>
      </c>
      <c r="F84" s="33" t="inlineStr">
        <is>
          <t>1. Verify uptime during ops hours.</t>
        </is>
      </c>
      <c r="G84" s="33" t="inlineStr">
        <is>
          <t>ops hours</t>
        </is>
      </c>
      <c r="H84" s="33" t="inlineStr">
        <is>
          <t>Available in ops hours; planned downtime off-peak.</t>
        </is>
      </c>
      <c r="I84" s="34" t="inlineStr">
        <is>
          <t>Performance</t>
        </is>
      </c>
      <c r="J84" s="34" t="inlineStr">
        <is>
          <t>P2</t>
        </is>
      </c>
      <c r="K84" s="30" t="inlineStr">
        <is>
          <t>Not Executed</t>
        </is>
      </c>
      <c r="L84" s="31" t="inlineStr"/>
      <c r="M84" s="31" t="inlineStr"/>
      <c r="N84" s="31" t="inlineStr"/>
      <c r="O84" s="31" t="inlineStr"/>
    </row>
    <row r="85">
      <c r="A85" s="27" t="inlineStr">
        <is>
          <t>FT-NFR-002</t>
        </is>
      </c>
      <c r="B85" s="28" t="inlineStr">
        <is>
          <t>NFR - Performance</t>
        </is>
      </c>
      <c r="C85" s="29" t="inlineStr">
        <is>
          <t>NFR-002</t>
        </is>
      </c>
      <c r="D85" s="28" t="inlineStr">
        <is>
          <t>Peak-window volume (month-end) processed without analyst-visible degradation.</t>
        </is>
      </c>
      <c r="E85" s="28" t="inlineStr">
        <is>
          <t>Peak load harness.</t>
        </is>
      </c>
      <c r="F85" s="28" t="inlineStr">
        <is>
          <t>1. Drive month-end volume.
2. Measure.</t>
        </is>
      </c>
      <c r="G85" s="28" t="inlineStr">
        <is>
          <t>peak load</t>
        </is>
      </c>
      <c r="H85" s="28" t="inlineStr">
        <is>
          <t>No analyst-visible degradation.</t>
        </is>
      </c>
      <c r="I85" s="29" t="inlineStr">
        <is>
          <t>Performance</t>
        </is>
      </c>
      <c r="J85" s="29" t="inlineStr">
        <is>
          <t>P1</t>
        </is>
      </c>
      <c r="K85" s="30" t="inlineStr">
        <is>
          <t>Not Executed</t>
        </is>
      </c>
      <c r="L85" s="31" t="inlineStr"/>
      <c r="M85" s="31" t="inlineStr"/>
      <c r="N85" s="31" t="inlineStr"/>
      <c r="O85" s="31" t="inlineStr"/>
    </row>
    <row r="86">
      <c r="A86" s="32" t="inlineStr">
        <is>
          <t>FT-NFR-003</t>
        </is>
      </c>
      <c r="B86" s="33" t="inlineStr">
        <is>
          <t>NFR - Resilience</t>
        </is>
      </c>
      <c r="C86" s="34" t="inlineStr">
        <is>
          <t>NFR-004</t>
        </is>
      </c>
      <c r="D86" s="33" t="inlineStr">
        <is>
          <t>A single cashflow failure is isolated and does not block the queue.</t>
        </is>
      </c>
      <c r="E86" s="33" t="inlineStr">
        <is>
          <t>Queue with many items.</t>
        </is>
      </c>
      <c r="F86" s="33" t="inlineStr">
        <is>
          <t>1. Fail one cashflow.
2. Observe others.</t>
        </is>
      </c>
      <c r="G86" s="33" t="inlineStr">
        <is>
          <t>1 failure</t>
        </is>
      </c>
      <c r="H86" s="33" t="inlineStr">
        <is>
          <t>Failure isolated; others unaffected.</t>
        </is>
      </c>
      <c r="I86" s="34" t="inlineStr">
        <is>
          <t>Negative</t>
        </is>
      </c>
      <c r="J86" s="34" t="inlineStr">
        <is>
          <t>P1</t>
        </is>
      </c>
      <c r="K86" s="30" t="inlineStr">
        <is>
          <t>Not Executed</t>
        </is>
      </c>
      <c r="L86" s="31" t="inlineStr"/>
      <c r="M86" s="31" t="inlineStr"/>
      <c r="N86" s="31" t="inlineStr"/>
      <c r="O86" s="31" t="inlineStr"/>
    </row>
    <row r="87">
      <c r="A87" s="27" t="inlineStr">
        <is>
          <t>FT-NFR-004</t>
        </is>
      </c>
      <c r="B87" s="28" t="inlineStr">
        <is>
          <t>NFR - Browser</t>
        </is>
      </c>
      <c r="C87" s="29" t="inlineStr">
        <is>
          <t>NFR-005</t>
        </is>
      </c>
      <c r="D87" s="28" t="inlineStr">
        <is>
          <t>UIs conform to Nomura browser/accessibility/resolution baseline.</t>
        </is>
      </c>
      <c r="E87" s="28" t="inlineStr">
        <is>
          <t>Baseline browsers.</t>
        </is>
      </c>
      <c r="F87" s="28" t="inlineStr">
        <is>
          <t>1. Load UIs on baseline set.</t>
        </is>
      </c>
      <c r="G87" s="28" t="inlineStr">
        <is>
          <t>baseline</t>
        </is>
      </c>
      <c r="H87" s="28" t="inlineStr">
        <is>
          <t>Renders &amp; functions per baseline.</t>
        </is>
      </c>
      <c r="I87" s="29" t="inlineStr">
        <is>
          <t>Positive</t>
        </is>
      </c>
      <c r="J87" s="29" t="inlineStr">
        <is>
          <t>P3</t>
        </is>
      </c>
      <c r="K87" s="30" t="inlineStr">
        <is>
          <t>Not Executed</t>
        </is>
      </c>
      <c r="L87" s="31" t="inlineStr"/>
      <c r="M87" s="31" t="inlineStr"/>
      <c r="N87" s="31" t="inlineStr"/>
      <c r="O87" s="31" t="inlineStr"/>
    </row>
    <row r="88">
      <c r="A88" s="32" t="inlineStr">
        <is>
          <t>FT-NFR-005</t>
        </is>
      </c>
      <c r="B88" s="33" t="inlineStr">
        <is>
          <t>NFR - Data Residency</t>
        </is>
      </c>
      <c r="C88" s="34" t="inlineStr">
        <is>
          <t>NFR-006</t>
        </is>
      </c>
      <c r="D88" s="33" t="inlineStr">
        <is>
          <t>Data (incl. AI I/O) stays within approved Nomura regions.</t>
        </is>
      </c>
      <c r="E88" s="33" t="inlineStr">
        <is>
          <t>Region controls set.</t>
        </is>
      </c>
      <c r="F88" s="33" t="inlineStr">
        <is>
          <t>1. Trace data &amp; AI calls.</t>
        </is>
      </c>
      <c r="G88" s="33" t="inlineStr">
        <is>
          <t>residency</t>
        </is>
      </c>
      <c r="H88" s="33" t="inlineStr">
        <is>
          <t>No data leaves approved boundary.</t>
        </is>
      </c>
      <c r="I88" s="34" t="inlineStr">
        <is>
          <t>Security</t>
        </is>
      </c>
      <c r="J88" s="34" t="inlineStr">
        <is>
          <t>P1</t>
        </is>
      </c>
      <c r="K88" s="30" t="inlineStr">
        <is>
          <t>Not Executed</t>
        </is>
      </c>
      <c r="L88" s="31" t="inlineStr"/>
      <c r="M88" s="31" t="inlineStr"/>
      <c r="N88" s="31" t="inlineStr"/>
      <c r="O88" s="31" t="inlineStr"/>
    </row>
    <row r="89">
      <c r="A89" s="27" t="inlineStr">
        <is>
          <t>FT-NFR-006</t>
        </is>
      </c>
      <c r="B89" s="28" t="inlineStr">
        <is>
          <t>NFR - Security</t>
        </is>
      </c>
      <c r="C89" s="29" t="inlineStr">
        <is>
          <t>NFR-007</t>
        </is>
      </c>
      <c r="D89" s="28" t="inlineStr">
        <is>
          <t>Service-account credentials held in approved vault; none in code/config.</t>
        </is>
      </c>
      <c r="E89" s="28" t="inlineStr">
        <is>
          <t>Vault configured.</t>
        </is>
      </c>
      <c r="F89" s="28" t="inlineStr">
        <is>
          <t>1. Inspect code/config.
2. Inspect vault.</t>
        </is>
      </c>
      <c r="G89" s="28" t="inlineStr">
        <is>
          <t>secrets scan</t>
        </is>
      </c>
      <c r="H89" s="28" t="inlineStr">
        <is>
          <t>No credentials in code/config; vault used.</t>
        </is>
      </c>
      <c r="I89" s="29" t="inlineStr">
        <is>
          <t>Security</t>
        </is>
      </c>
      <c r="J89" s="29" t="inlineStr">
        <is>
          <t>P1</t>
        </is>
      </c>
      <c r="K89" s="30" t="inlineStr">
        <is>
          <t>Not Executed</t>
        </is>
      </c>
      <c r="L89" s="31" t="inlineStr"/>
      <c r="M89" s="31" t="inlineStr"/>
      <c r="N89" s="31" t="inlineStr"/>
      <c r="O89" s="31" t="inlineStr"/>
    </row>
    <row r="90">
      <c r="A90" s="32" t="inlineStr">
        <is>
          <t>FT-NFR-007</t>
        </is>
      </c>
      <c r="B90" s="33" t="inlineStr">
        <is>
          <t>NFR - Extensibility</t>
        </is>
      </c>
      <c r="C90" s="34" t="inlineStr">
        <is>
          <t>NFR-008</t>
        </is>
      </c>
      <c r="D90" s="33" t="inlineStr">
        <is>
          <t>A new ingestion source can be connected via configuration, not architecture change.</t>
        </is>
      </c>
      <c r="E90" s="33" t="inlineStr">
        <is>
          <t>Extensibility review.</t>
        </is>
      </c>
      <c r="F90" s="33" t="inlineStr">
        <is>
          <t>1. Add mock source via config.</t>
        </is>
      </c>
      <c r="G90" s="33" t="inlineStr">
        <is>
          <t>new source</t>
        </is>
      </c>
      <c r="H90" s="33" t="inlineStr">
        <is>
          <t>Connected via config only.</t>
        </is>
      </c>
      <c r="I90" s="34" t="inlineStr">
        <is>
          <t>Positive</t>
        </is>
      </c>
      <c r="J90" s="34" t="inlineStr">
        <is>
          <t>P3</t>
        </is>
      </c>
      <c r="K90" s="30" t="inlineStr">
        <is>
          <t>Not Executed</t>
        </is>
      </c>
      <c r="L90" s="31" t="inlineStr"/>
      <c r="M90" s="31" t="inlineStr"/>
      <c r="N90" s="31" t="inlineStr"/>
      <c r="O90" s="31" t="inlineStr"/>
    </row>
    <row r="91">
      <c r="A91" s="27" t="inlineStr">
        <is>
          <t>FT-NFR-008</t>
        </is>
      </c>
      <c r="B91" s="28" t="inlineStr">
        <is>
          <t>NFR - Extensibility</t>
        </is>
      </c>
      <c r="C91" s="29" t="inlineStr">
        <is>
          <t>NFR-009</t>
        </is>
      </c>
      <c r="D91" s="28" t="inlineStr">
        <is>
          <t>Matcher has read access designed for broader settlement systems, not only Phase-1 needs.</t>
        </is>
      </c>
      <c r="E91" s="28" t="inlineStr">
        <is>
          <t>Architecture review.</t>
        </is>
      </c>
      <c r="F91" s="28" t="inlineStr">
        <is>
          <t>1. Inspect matcher data access.</t>
        </is>
      </c>
      <c r="G91" s="28" t="inlineStr">
        <is>
          <t>arch review</t>
        </is>
      </c>
      <c r="H91" s="28" t="inlineStr">
        <is>
          <t>Read access spans relevant settlement systems.</t>
        </is>
      </c>
      <c r="I91" s="29" t="inlineStr">
        <is>
          <t>Positive</t>
        </is>
      </c>
      <c r="J91" s="29" t="inlineStr">
        <is>
          <t>P3</t>
        </is>
      </c>
      <c r="K91" s="30" t="inlineStr">
        <is>
          <t>Not Executed</t>
        </is>
      </c>
      <c r="L91" s="31" t="inlineStr"/>
      <c r="M91" s="31" t="inlineStr"/>
      <c r="N91" s="31" t="inlineStr"/>
      <c r="O91" s="31" t="inlineStr"/>
    </row>
  </sheetData>
  <autoFilter ref="A2:O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2026-07-15T12:21:54Z</dcterms:created>
  <dcterms:modified xmlns:dcterms="http://purl.org/dc/terms/" xmlns:xsi="http://www.w3.org/2001/XMLSchema-instance" xsi:type="dcterms:W3CDTF">2026-07-15T12:21:55Z</dcterms:modified>
</cp:coreProperties>
</file>