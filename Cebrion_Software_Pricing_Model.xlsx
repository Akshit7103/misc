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Cost Reconstruction" sheetId="2" state="visible" r:id="rId4"/>
    <sheet name="2. Cost-to-Serve" sheetId="3" state="visible" r:id="rId5"/>
    <sheet name="3. Licence Pricing" sheetId="4" state="visible" r:id="rId6"/>
    <sheet name="4. Services Pricing" sheetId="5" state="visible" r:id="rId7"/>
    <sheet name="5. Comparis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0" authorId="0">
      <text>
        <r>
          <rPr>
            <sz val="10"/>
            <rFont val="Arial"/>
            <family val="2"/>
          </rPr>
          <t xml:space="preserve">This is the number both pricing models try to recover. Even without invoices, this is defensible if your person-day estimates are honest.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e.g. compliance staff time saved + fines/breaches avoided + audit cost reduction.</t>
        </r>
      </text>
    </comment>
    <comment ref="B21" authorId="0">
      <text>
        <r>
          <rPr>
            <sz val="10"/>
            <rFont val="Arial"/>
            <family val="2"/>
          </rPr>
          <t xml:space="preserve">&lt;100% to undercut, &gt;100% if differentiated/premium.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Salary + employer NI + benefits + allocated overhead.</t>
        </r>
      </text>
    </comment>
  </commentList>
</comments>
</file>

<file path=xl/sharedStrings.xml><?xml version="1.0" encoding="utf-8"?>
<sst xmlns="http://schemas.openxmlformats.org/spreadsheetml/2006/main" count="175" uniqueCount="160">
  <si>
    <t xml:space="preserve">Software Pricing Model — Compliance Monitoring &amp; Controls Platform</t>
  </si>
  <si>
    <t xml:space="preserve">Cebrion AI  |  Licence &amp; Services pricing toolkit  |  Markets: UK / India / ME</t>
  </si>
  <si>
    <t xml:space="preserve">How to use this workbook</t>
  </si>
  <si>
    <t xml:space="preserve">You did not track build cost, so we reconstruct it. Work through the tabs in order. Only edit YELLOW cells (blue text). Everything in black is a formula — leave it alone.</t>
  </si>
  <si>
    <t xml:space="preserve">1.  Cost Reconstruction</t>
  </si>
  <si>
    <t xml:space="preserve">Rebuild your historic investment from memory: people-time, your own time, tools/cloud, and third-party costs. This gives you a defensible "total cost to build" even without invoices.</t>
  </si>
  <si>
    <t xml:space="preserve">2.  Cost-to-Serve</t>
  </si>
  <si>
    <t xml:space="preserve">Ongoing annual cost of running, supporting and maintaining the product per customer. Needed for both models — it sets your margin floor.</t>
  </si>
  <si>
    <t xml:space="preserve">3.  Licence Pricing</t>
  </si>
  <si>
    <t xml:space="preserve">Three independent methods (cost-recovery, value-based, market-anchored) plus a recommended blended licence price with tiering. Use when you sell the right to use the software.</t>
  </si>
  <si>
    <t xml:space="preserve">4.  Services Pricing</t>
  </si>
  <si>
    <t xml:space="preserve">Day-rate build-up, blended team rate, and project/managed-service pricing. Use when you sell implementation, configuration and run as a service.</t>
  </si>
  <si>
    <t xml:space="preserve">5.  Comparison &amp; Decision</t>
  </si>
  <si>
    <t xml:space="preserve">Side-by-side 3-year economics of Licence vs Services to support the go-to-market call.</t>
  </si>
  <si>
    <t xml:space="preserve">Colour key:  Yellow = your input   |   Black = calculated   |   Green = pulled from another tab</t>
  </si>
  <si>
    <t xml:space="preserve">Cost Reconstruction — What it cost you to build</t>
  </si>
  <si>
    <t xml:space="preserve">Reconstruct historic investment from memory. Fill yellow cells. Effort in person-days × blended rate.</t>
  </si>
  <si>
    <t xml:space="preserve">A. Internal Effort (your team + your own time)</t>
  </si>
  <si>
    <t xml:space="preserve">Role / Workstream</t>
  </si>
  <si>
    <t xml:space="preserve">Person-days</t>
  </si>
  <si>
    <t xml:space="preserve">Day rate (£)</t>
  </si>
  <si>
    <t xml:space="preserve">Cost (£)</t>
  </si>
  <si>
    <t xml:space="preserve">Notes</t>
  </si>
  <si>
    <t xml:space="preserve">Solution architecture / design</t>
  </si>
  <si>
    <t xml:space="preserve">Your design time</t>
  </si>
  <si>
    <t xml:space="preserve">Backend / engine development</t>
  </si>
  <si>
    <t xml:space="preserve">Core monitoring engine</t>
  </si>
  <si>
    <t xml:space="preserve">Controls &amp; rules logic</t>
  </si>
  <si>
    <t xml:space="preserve">Compliance rule library</t>
  </si>
  <si>
    <t xml:space="preserve">Frontend / dashboards</t>
  </si>
  <si>
    <t xml:space="preserve">UI build</t>
  </si>
  <si>
    <t xml:space="preserve">Integrations / connectors</t>
  </si>
  <si>
    <t xml:space="preserve">Data source hookups</t>
  </si>
  <si>
    <t xml:space="preserve">Testing &amp; QA</t>
  </si>
  <si>
    <t xml:space="preserve">Your own founder time (unpaid)</t>
  </si>
  <si>
    <t xml:space="preserve">Opportunity cost of your hours</t>
  </si>
  <si>
    <t xml:space="preserve">Other</t>
  </si>
  <si>
    <t xml:space="preserve">Subtotal — Internal effort</t>
  </si>
  <si>
    <t xml:space="preserve">B. Direct / Out-of-pocket Costs</t>
  </si>
  <si>
    <t xml:space="preserve">Item</t>
  </si>
  <si>
    <t xml:space="preserve">Cloud / hosting during build (Azure)</t>
  </si>
  <si>
    <t xml:space="preserve">Dev &amp; test environments</t>
  </si>
  <si>
    <t xml:space="preserve">Software licences &amp; dev tools</t>
  </si>
  <si>
    <t xml:space="preserve">IDEs, libraries, CI/CD</t>
  </si>
  <si>
    <t xml:space="preserve">Third-party / contractor spend</t>
  </si>
  <si>
    <t xml:space="preserve">Any outsourced work</t>
  </si>
  <si>
    <t xml:space="preserve">Data / API subscriptions</t>
  </si>
  <si>
    <t xml:space="preserve">Security / pen-test / audit</t>
  </si>
  <si>
    <t xml:space="preserve">Important for compliance product</t>
  </si>
  <si>
    <t xml:space="preserve">Subtotal — Direct costs</t>
  </si>
  <si>
    <t xml:space="preserve">C. Total Build Investment</t>
  </si>
  <si>
    <t xml:space="preserve">Total reconstructed build cost</t>
  </si>
  <si>
    <t xml:space="preserve">Contingency / uncertainty buffer (%)</t>
  </si>
  <si>
    <t xml:space="preserve">Adjusted total investment to recover</t>
  </si>
  <si>
    <t xml:space="preserve">Target recovery period (years)</t>
  </si>
  <si>
    <t xml:space="preserve">Target required return / margin on build (%)</t>
  </si>
  <si>
    <t xml:space="preserve">Cost-to-Serve — Annual cost to run &amp; support the product</t>
  </si>
  <si>
    <t xml:space="preserve">Sets your margin floor. Per-customer figures drive the licence margin; total figure drives services overhead.</t>
  </si>
  <si>
    <t xml:space="preserve">A. Annual Run Cost (per customer, at steady state)</t>
  </si>
  <si>
    <t xml:space="preserve">Annual £ / customer</t>
  </si>
  <si>
    <t xml:space="preserve">Cloud / hosting per customer</t>
  </si>
  <si>
    <t xml:space="preserve">Compute, storage, bandwidth</t>
  </si>
  <si>
    <t xml:space="preserve">Support &amp; customer success (allocated)</t>
  </si>
  <si>
    <t xml:space="preserve">L1/L2 support time</t>
  </si>
  <si>
    <t xml:space="preserve">Maintenance &amp; updates (allocated)</t>
  </si>
  <si>
    <t xml:space="preserve">Patches, rule updates</t>
  </si>
  <si>
    <t xml:space="preserve">Monitoring / security ops (allocated)</t>
  </si>
  <si>
    <t xml:space="preserve">SOC, compliance upkeep</t>
  </si>
  <si>
    <t xml:space="preserve">Account management (allocated)</t>
  </si>
  <si>
    <t xml:space="preserve">Total cost-to-serve per customer / year</t>
  </si>
  <si>
    <t xml:space="preserve">B. Fixed Annual Overhead (whole product line)</t>
  </si>
  <si>
    <t xml:space="preserve">Annual £</t>
  </si>
  <si>
    <t xml:space="preserve">Core product engineering (roadmap)</t>
  </si>
  <si>
    <t xml:space="preserve">Ongoing dev, not customer-specific</t>
  </si>
  <si>
    <t xml:space="preserve">Compliance content / regulatory tracking</t>
  </si>
  <si>
    <t xml:space="preserve">Keeping rules current</t>
  </si>
  <si>
    <t xml:space="preserve">Sales &amp; marketing (allocated)</t>
  </si>
  <si>
    <t xml:space="preserve">G&amp;A / admin (allocated)</t>
  </si>
  <si>
    <t xml:space="preserve">Total fixed annual overhead</t>
  </si>
  <si>
    <t xml:space="preserve">Licence Pricing — Annual subscription per customer</t>
  </si>
  <si>
    <t xml:space="preserve">Three methods triangulate to a recommended price. Edit yellow assumptions; pick the price you can defend.</t>
  </si>
  <si>
    <t xml:space="preserve">Method 1 — Cost Recovery (bottom-up floor)</t>
  </si>
  <si>
    <t xml:space="preserve">Adjusted build investment to recover</t>
  </si>
  <si>
    <t xml:space="preserve">Recovery period (years)</t>
  </si>
  <si>
    <t xml:space="preserve">Required return / margin on build</t>
  </si>
  <si>
    <t xml:space="preserve">Expected paying customers over recovery period</t>
  </si>
  <si>
    <t xml:space="preserve">Annual cost-to-serve per customer</t>
  </si>
  <si>
    <t xml:space="preserve">Build recovery per customer per year</t>
  </si>
  <si>
    <t xml:space="preserve">Licence price — cost-recovery floor</t>
  </si>
  <si>
    <t xml:space="preserve">Method 2 — Value-Based (customer ROI)</t>
  </si>
  <si>
    <t xml:space="preserve">Annual value delivered to customer (£)</t>
  </si>
  <si>
    <t xml:space="preserve">Share of value you capture (%)</t>
  </si>
  <si>
    <t xml:space="preserve">Licence price — value-based</t>
  </si>
  <si>
    <t xml:space="preserve">Method 3 — Market-Anchored (competitor reference)</t>
  </si>
  <si>
    <t xml:space="preserve">Comparable competitor annual price (£)</t>
  </si>
  <si>
    <t xml:space="preserve">Your positioning vs competitor (% of their price)</t>
  </si>
  <si>
    <t xml:space="preserve">Licence price — market-anchored</t>
  </si>
  <si>
    <t xml:space="preserve">Recommended Licence Price</t>
  </si>
  <si>
    <t xml:space="preserve">Cost-recovery floor</t>
  </si>
  <si>
    <t xml:space="preserve">Value-based ceiling</t>
  </si>
  <si>
    <t xml:space="preserve">Market reference</t>
  </si>
  <si>
    <t xml:space="preserve">Weight: cost-recovery / value / market</t>
  </si>
  <si>
    <t xml:space="preserve">Market weight</t>
  </si>
  <si>
    <t xml:space="preserve">RECOMMENDED ANNUAL LICENCE PRICE</t>
  </si>
  <si>
    <t xml:space="preserve">Gross margin at recommended price</t>
  </si>
  <si>
    <t xml:space="preserve">Check: price above cost-recovery floor?</t>
  </si>
  <si>
    <t xml:space="preserve">Suggested Tiering (multiplier on recommended price)</t>
  </si>
  <si>
    <t xml:space="preserve">Tier</t>
  </si>
  <si>
    <t xml:space="preserve">Multiplier</t>
  </si>
  <si>
    <t xml:space="preserve">Annual price (£)</t>
  </si>
  <si>
    <t xml:space="preserve">Essentials (single entity)</t>
  </si>
  <si>
    <t xml:space="preserve">Professional (multi-entity)</t>
  </si>
  <si>
    <t xml:space="preserve">Enterprise (group + custom)</t>
  </si>
  <si>
    <t xml:space="preserve">One-time implementation fee (optional)</t>
  </si>
  <si>
    <t xml:space="preserve">Services Pricing — Day rates, project &amp; managed service</t>
  </si>
  <si>
    <t xml:space="preserve">Build up a defensible day rate from cost, then price projects and an annual managed-service.</t>
  </si>
  <si>
    <t xml:space="preserve">A. Day-Rate Build-Up (per consultant)</t>
  </si>
  <si>
    <t xml:space="preserve">Driver</t>
  </si>
  <si>
    <t xml:space="preserve">Value</t>
  </si>
  <si>
    <t xml:space="preserve">Fully-loaded annual cost of consultant (£)</t>
  </si>
  <si>
    <t xml:space="preserve">Billable days per year</t>
  </si>
  <si>
    <t xml:space="preserve">Internal cost per day</t>
  </si>
  <si>
    <t xml:space="preserve">Target gross margin on services (%)</t>
  </si>
  <si>
    <t xml:space="preserve">Calculated day rate (cost / (1-margin))</t>
  </si>
  <si>
    <t xml:space="preserve">B. Blended Team Rate</t>
  </si>
  <si>
    <t xml:space="preserve">Role</t>
  </si>
  <si>
    <t xml:space="preserve"># people</t>
  </si>
  <si>
    <t xml:space="preserve">Day-rate weight</t>
  </si>
  <si>
    <t xml:space="preserve">Solution architect</t>
  </si>
  <si>
    <t xml:space="preserve">Senior consultant</t>
  </si>
  <si>
    <t xml:space="preserve">Consultant</t>
  </si>
  <si>
    <t xml:space="preserve">Analyst</t>
  </si>
  <si>
    <t xml:space="preserve">Blended day rate</t>
  </si>
  <si>
    <t xml:space="preserve">C. Implementation Project Pricing</t>
  </si>
  <si>
    <t xml:space="preserve">Phase</t>
  </si>
  <si>
    <t xml:space="preserve">Days</t>
  </si>
  <si>
    <t xml:space="preserve">Discovery &amp; assessment</t>
  </si>
  <si>
    <t xml:space="preserve">Configuration &amp; setup</t>
  </si>
  <si>
    <t xml:space="preserve">Integration</t>
  </si>
  <si>
    <t xml:space="preserve">Testing &amp; UAT</t>
  </si>
  <si>
    <t xml:space="preserve">Training &amp; go-live</t>
  </si>
  <si>
    <t xml:space="preserve">Total project fee</t>
  </si>
  <si>
    <t xml:space="preserve">D. Annual Managed Service (run + support)</t>
  </si>
  <si>
    <t xml:space="preserve">Annual support days included</t>
  </si>
  <si>
    <t xml:space="preserve">Support cost (days x blended rate)</t>
  </si>
  <si>
    <t xml:space="preserve">Target margin on managed service (%)</t>
  </si>
  <si>
    <t xml:space="preserve">Annual managed-service fee</t>
  </si>
  <si>
    <t xml:space="preserve">Decision View — Licence vs Services (per customer, 3 years)</t>
  </si>
  <si>
    <t xml:space="preserve">Assumes services = one-time project + annual managed service. Licence = annual subscription.</t>
  </si>
  <si>
    <t xml:space="preserve">Metric</t>
  </si>
  <si>
    <t xml:space="preserve">Licence model</t>
  </si>
  <si>
    <t xml:space="preserve">Services model</t>
  </si>
  <si>
    <t xml:space="preserve">Year 1 revenue / customer</t>
  </si>
  <si>
    <t xml:space="preserve">Year 2 revenue / customer</t>
  </si>
  <si>
    <t xml:space="preserve">Year 3 revenue / customer</t>
  </si>
  <si>
    <t xml:space="preserve">3-year total revenue / customer</t>
  </si>
  <si>
    <t xml:space="preserve">3-year cost-to-serve / customer</t>
  </si>
  <si>
    <t xml:space="preserve">3-year gross profit / customer</t>
  </si>
  <si>
    <t xml:space="preserve">Scaling note</t>
  </si>
  <si>
    <t xml:space="preserve">Licence scales with near-zero marginal cost — best for volume/recurring ARR and a sellable asset valuation. Services scales with headcount and bills sooner — better cash early and lower customer risk, but margin is people-bound. Many firms lead with services to fund the product, then shift the same customers onto licence once proven.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</si>
</sst>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£#,##0;&quot;(£&quot;#,##0\);\-"/>
    <numFmt numFmtId="167" formatCode="0.0%"/>
    <numFmt numFmtId="168" formatCode="@"/>
    <numFmt numFmtId="169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23.8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3" t="s">
        <v>6</v>
      </c>
    </row>
    <row r="12" customFormat="false" ht="23.85" hidden="false" customHeight="false" outlineLevel="0" collapsed="false">
      <c r="B12" s="4" t="s">
        <v>7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8</v>
      </c>
    </row>
    <row r="15" customFormat="false" ht="23.8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10</v>
      </c>
    </row>
    <row r="18" customFormat="false" ht="23.85" hidden="false" customHeight="false" outlineLevel="0" collapsed="false">
      <c r="B18" s="4" t="s">
        <v>11</v>
      </c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3" t="s">
        <v>12</v>
      </c>
    </row>
    <row r="21" customFormat="false" ht="15" hidden="false" customHeight="false" outlineLevel="0" collapsed="false">
      <c r="B21" s="4" t="s">
        <v>13</v>
      </c>
    </row>
    <row r="22" customFormat="false" ht="15" hidden="false" customHeight="false" outlineLevel="0" collapsed="false">
      <c r="B22" s="4"/>
    </row>
    <row r="23" customFormat="false" ht="15" hidden="false" customHeight="false" outlineLevel="0" collapsed="false">
      <c r="B23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30"/>
  </cols>
  <sheetData>
    <row r="2" customFormat="false" ht="17.35" hidden="false" customHeight="false" outlineLevel="0" collapsed="false">
      <c r="B2" s="1" t="s">
        <v>15</v>
      </c>
    </row>
    <row r="3" customFormat="false" ht="15" hidden="false" customHeight="false" outlineLevel="0" collapsed="false">
      <c r="B3" s="2" t="s">
        <v>16</v>
      </c>
    </row>
    <row r="5" customFormat="false" ht="15" hidden="false" customHeight="false" outlineLevel="0" collapsed="false">
      <c r="B5" s="6" t="s">
        <v>17</v>
      </c>
      <c r="C5" s="7"/>
      <c r="D5" s="7"/>
      <c r="E5" s="7"/>
      <c r="F5" s="7"/>
      <c r="G5" s="7"/>
    </row>
    <row r="6" customFormat="false" ht="15" hidden="false" customHeight="false" outlineLevel="0" collapsed="false">
      <c r="B6" s="8" t="s">
        <v>18</v>
      </c>
      <c r="C6" s="8" t="s">
        <v>19</v>
      </c>
      <c r="D6" s="8" t="s">
        <v>20</v>
      </c>
      <c r="E6" s="8" t="s">
        <v>21</v>
      </c>
      <c r="F6" s="8"/>
      <c r="G6" s="8" t="s">
        <v>22</v>
      </c>
    </row>
    <row r="7" customFormat="false" ht="15" hidden="false" customHeight="false" outlineLevel="0" collapsed="false">
      <c r="B7" s="9" t="s">
        <v>23</v>
      </c>
      <c r="C7" s="10" t="n">
        <v>25</v>
      </c>
      <c r="D7" s="11" t="n">
        <v>650</v>
      </c>
      <c r="E7" s="12" t="n">
        <f aca="false">C7*D7</f>
        <v>16250</v>
      </c>
      <c r="G7" s="13" t="s">
        <v>24</v>
      </c>
    </row>
    <row r="8" customFormat="false" ht="15" hidden="false" customHeight="false" outlineLevel="0" collapsed="false">
      <c r="B8" s="9" t="s">
        <v>25</v>
      </c>
      <c r="C8" s="10" t="n">
        <v>80</v>
      </c>
      <c r="D8" s="11" t="n">
        <v>500</v>
      </c>
      <c r="E8" s="12" t="n">
        <f aca="false">C8*D8</f>
        <v>40000</v>
      </c>
      <c r="G8" s="13" t="s">
        <v>26</v>
      </c>
    </row>
    <row r="9" customFormat="false" ht="15" hidden="false" customHeight="false" outlineLevel="0" collapsed="false">
      <c r="B9" s="9" t="s">
        <v>27</v>
      </c>
      <c r="C9" s="10" t="n">
        <v>45</v>
      </c>
      <c r="D9" s="11" t="n">
        <v>500</v>
      </c>
      <c r="E9" s="12" t="n">
        <f aca="false">C9*D9</f>
        <v>22500</v>
      </c>
      <c r="G9" s="13" t="s">
        <v>28</v>
      </c>
    </row>
    <row r="10" customFormat="false" ht="15" hidden="false" customHeight="false" outlineLevel="0" collapsed="false">
      <c r="B10" s="9" t="s">
        <v>29</v>
      </c>
      <c r="C10" s="10" t="n">
        <v>40</v>
      </c>
      <c r="D10" s="11" t="n">
        <v>450</v>
      </c>
      <c r="E10" s="12" t="n">
        <f aca="false">C10*D10</f>
        <v>18000</v>
      </c>
      <c r="G10" s="13" t="s">
        <v>30</v>
      </c>
    </row>
    <row r="11" customFormat="false" ht="15" hidden="false" customHeight="false" outlineLevel="0" collapsed="false">
      <c r="B11" s="9" t="s">
        <v>31</v>
      </c>
      <c r="C11" s="10" t="n">
        <v>30</v>
      </c>
      <c r="D11" s="11" t="n">
        <v>500</v>
      </c>
      <c r="E11" s="12" t="n">
        <f aca="false">C11*D11</f>
        <v>15000</v>
      </c>
      <c r="G11" s="13" t="s">
        <v>32</v>
      </c>
    </row>
    <row r="12" customFormat="false" ht="15" hidden="false" customHeight="false" outlineLevel="0" collapsed="false">
      <c r="B12" s="9" t="s">
        <v>33</v>
      </c>
      <c r="C12" s="10" t="n">
        <v>25</v>
      </c>
      <c r="D12" s="11" t="n">
        <v>400</v>
      </c>
      <c r="E12" s="12" t="n">
        <f aca="false">C12*D12</f>
        <v>10000</v>
      </c>
      <c r="G12" s="13"/>
    </row>
    <row r="13" customFormat="false" ht="15" hidden="false" customHeight="false" outlineLevel="0" collapsed="false">
      <c r="B13" s="9" t="s">
        <v>34</v>
      </c>
      <c r="C13" s="10" t="n">
        <v>60</v>
      </c>
      <c r="D13" s="11" t="n">
        <v>800</v>
      </c>
      <c r="E13" s="12" t="n">
        <f aca="false">C13*D13</f>
        <v>48000</v>
      </c>
      <c r="G13" s="13" t="s">
        <v>35</v>
      </c>
    </row>
    <row r="14" customFormat="false" ht="15" hidden="false" customHeight="false" outlineLevel="0" collapsed="false">
      <c r="B14" s="9" t="s">
        <v>36</v>
      </c>
      <c r="C14" s="10" t="n">
        <v>0</v>
      </c>
      <c r="D14" s="11" t="n">
        <v>500</v>
      </c>
      <c r="E14" s="12" t="n">
        <f aca="false">C14*D14</f>
        <v>0</v>
      </c>
      <c r="G14" s="13"/>
    </row>
    <row r="15" customFormat="false" ht="15" hidden="false" customHeight="false" outlineLevel="0" collapsed="false">
      <c r="B15" s="14" t="s">
        <v>37</v>
      </c>
      <c r="C15" s="15"/>
      <c r="D15" s="15"/>
      <c r="E15" s="16" t="n">
        <f aca="false">SUM(E7:E14)</f>
        <v>169750</v>
      </c>
      <c r="G15" s="17"/>
    </row>
    <row r="17" customFormat="false" ht="15" hidden="false" customHeight="false" outlineLevel="0" collapsed="false">
      <c r="B17" s="6" t="s">
        <v>38</v>
      </c>
      <c r="C17" s="7"/>
      <c r="D17" s="7"/>
      <c r="E17" s="7"/>
      <c r="F17" s="7"/>
      <c r="G17" s="7"/>
    </row>
    <row r="18" customFormat="false" ht="15" hidden="false" customHeight="false" outlineLevel="0" collapsed="false">
      <c r="B18" s="8" t="s">
        <v>39</v>
      </c>
      <c r="C18" s="8"/>
      <c r="D18" s="8"/>
      <c r="E18" s="8" t="s">
        <v>21</v>
      </c>
      <c r="F18" s="8"/>
      <c r="G18" s="8" t="s">
        <v>22</v>
      </c>
    </row>
    <row r="19" customFormat="false" ht="15" hidden="false" customHeight="false" outlineLevel="0" collapsed="false">
      <c r="B19" s="9" t="s">
        <v>40</v>
      </c>
      <c r="C19" s="18"/>
      <c r="D19" s="18"/>
      <c r="E19" s="11" t="n">
        <v>8000</v>
      </c>
      <c r="G19" s="13" t="s">
        <v>41</v>
      </c>
    </row>
    <row r="20" customFormat="false" ht="15" hidden="false" customHeight="false" outlineLevel="0" collapsed="false">
      <c r="B20" s="9" t="s">
        <v>42</v>
      </c>
      <c r="C20" s="18"/>
      <c r="D20" s="18"/>
      <c r="E20" s="11" t="n">
        <v>4000</v>
      </c>
      <c r="G20" s="13" t="s">
        <v>43</v>
      </c>
    </row>
    <row r="21" customFormat="false" ht="15" hidden="false" customHeight="false" outlineLevel="0" collapsed="false">
      <c r="B21" s="9" t="s">
        <v>44</v>
      </c>
      <c r="C21" s="18"/>
      <c r="D21" s="18"/>
      <c r="E21" s="11" t="n">
        <v>12000</v>
      </c>
      <c r="G21" s="13" t="s">
        <v>45</v>
      </c>
    </row>
    <row r="22" customFormat="false" ht="15" hidden="false" customHeight="false" outlineLevel="0" collapsed="false">
      <c r="B22" s="9" t="s">
        <v>46</v>
      </c>
      <c r="C22" s="18"/>
      <c r="D22" s="18"/>
      <c r="E22" s="11" t="n">
        <v>3000</v>
      </c>
      <c r="G22" s="13"/>
    </row>
    <row r="23" customFormat="false" ht="15" hidden="false" customHeight="false" outlineLevel="0" collapsed="false">
      <c r="B23" s="9" t="s">
        <v>47</v>
      </c>
      <c r="C23" s="18"/>
      <c r="D23" s="18"/>
      <c r="E23" s="11" t="n">
        <v>5000</v>
      </c>
      <c r="G23" s="13" t="s">
        <v>48</v>
      </c>
    </row>
    <row r="24" customFormat="false" ht="15" hidden="false" customHeight="false" outlineLevel="0" collapsed="false">
      <c r="B24" s="9" t="s">
        <v>36</v>
      </c>
      <c r="C24" s="18"/>
      <c r="D24" s="18"/>
      <c r="E24" s="11" t="n">
        <v>0</v>
      </c>
      <c r="G24" s="13"/>
    </row>
    <row r="25" customFormat="false" ht="15" hidden="false" customHeight="false" outlineLevel="0" collapsed="false">
      <c r="B25" s="14" t="s">
        <v>49</v>
      </c>
      <c r="C25" s="15"/>
      <c r="D25" s="15"/>
      <c r="E25" s="16" t="n">
        <f aca="false">SUM(E19:E24)</f>
        <v>32000</v>
      </c>
      <c r="G25" s="17"/>
    </row>
    <row r="27" customFormat="false" ht="15" hidden="false" customHeight="false" outlineLevel="0" collapsed="false">
      <c r="B27" s="6" t="s">
        <v>50</v>
      </c>
      <c r="C27" s="7"/>
      <c r="D27" s="7"/>
      <c r="E27" s="7"/>
      <c r="F27" s="7"/>
      <c r="G27" s="7"/>
    </row>
    <row r="28" customFormat="false" ht="15" hidden="false" customHeight="false" outlineLevel="0" collapsed="false">
      <c r="B28" s="19" t="s">
        <v>51</v>
      </c>
      <c r="E28" s="20" t="n">
        <f aca="false">E15+E25</f>
        <v>201750</v>
      </c>
    </row>
    <row r="29" customFormat="false" ht="15" hidden="false" customHeight="false" outlineLevel="0" collapsed="false">
      <c r="B29" s="9" t="s">
        <v>52</v>
      </c>
      <c r="E29" s="21" t="n">
        <v>0.15</v>
      </c>
    </row>
    <row r="30" customFormat="false" ht="15" hidden="false" customHeight="false" outlineLevel="0" collapsed="false">
      <c r="B30" s="22" t="s">
        <v>53</v>
      </c>
      <c r="E30" s="23" t="n">
        <f aca="false">E28*(1+E29)</f>
        <v>232012.5</v>
      </c>
    </row>
    <row r="31" customFormat="false" ht="15" hidden="false" customHeight="false" outlineLevel="0" collapsed="false">
      <c r="B31" s="9" t="s">
        <v>54</v>
      </c>
      <c r="E31" s="10" t="n">
        <v>3</v>
      </c>
    </row>
    <row r="32" customFormat="false" ht="15" hidden="false" customHeight="false" outlineLevel="0" collapsed="false">
      <c r="B32" s="9" t="s">
        <v>55</v>
      </c>
      <c r="E32" s="21" t="n">
        <v>0.3</v>
      </c>
    </row>
  </sheetData>
  <mergeCells count="6">
    <mergeCell ref="C19:D19"/>
    <mergeCell ref="C20:D20"/>
    <mergeCell ref="C21:D21"/>
    <mergeCell ref="C22:D22"/>
    <mergeCell ref="C23:D23"/>
    <mergeCell ref="C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30"/>
  </cols>
  <sheetData>
    <row r="2" customFormat="false" ht="17.35" hidden="false" customHeight="false" outlineLevel="0" collapsed="false">
      <c r="B2" s="1" t="s">
        <v>56</v>
      </c>
    </row>
    <row r="3" customFormat="false" ht="15" hidden="false" customHeight="false" outlineLevel="0" collapsed="false">
      <c r="B3" s="2" t="s">
        <v>57</v>
      </c>
    </row>
    <row r="5" customFormat="false" ht="15" hidden="false" customHeight="false" outlineLevel="0" collapsed="false">
      <c r="B5" s="6" t="s">
        <v>58</v>
      </c>
      <c r="C5" s="7"/>
      <c r="D5" s="7"/>
      <c r="E5" s="7"/>
    </row>
    <row r="6" customFormat="false" ht="15" hidden="false" customHeight="false" outlineLevel="0" collapsed="false">
      <c r="B6" s="8" t="s">
        <v>39</v>
      </c>
      <c r="C6" s="8" t="s">
        <v>59</v>
      </c>
      <c r="D6" s="8"/>
      <c r="E6" s="8" t="s">
        <v>22</v>
      </c>
    </row>
    <row r="7" customFormat="false" ht="15" hidden="false" customHeight="false" outlineLevel="0" collapsed="false">
      <c r="B7" s="9" t="s">
        <v>60</v>
      </c>
      <c r="C7" s="11" t="n">
        <v>6000</v>
      </c>
      <c r="E7" s="13" t="s">
        <v>61</v>
      </c>
    </row>
    <row r="8" customFormat="false" ht="15" hidden="false" customHeight="false" outlineLevel="0" collapsed="false">
      <c r="B8" s="9" t="s">
        <v>62</v>
      </c>
      <c r="C8" s="11" t="n">
        <v>4000</v>
      </c>
      <c r="E8" s="13" t="s">
        <v>63</v>
      </c>
    </row>
    <row r="9" customFormat="false" ht="15" hidden="false" customHeight="false" outlineLevel="0" collapsed="false">
      <c r="B9" s="9" t="s">
        <v>64</v>
      </c>
      <c r="C9" s="11" t="n">
        <v>3500</v>
      </c>
      <c r="E9" s="13" t="s">
        <v>65</v>
      </c>
    </row>
    <row r="10" customFormat="false" ht="15" hidden="false" customHeight="false" outlineLevel="0" collapsed="false">
      <c r="B10" s="9" t="s">
        <v>66</v>
      </c>
      <c r="C10" s="11" t="n">
        <v>2500</v>
      </c>
      <c r="E10" s="13" t="s">
        <v>67</v>
      </c>
    </row>
    <row r="11" customFormat="false" ht="15" hidden="false" customHeight="false" outlineLevel="0" collapsed="false">
      <c r="B11" s="9" t="s">
        <v>68</v>
      </c>
      <c r="C11" s="11" t="n">
        <v>2000</v>
      </c>
      <c r="E11" s="13"/>
    </row>
    <row r="12" customFormat="false" ht="15" hidden="false" customHeight="false" outlineLevel="0" collapsed="false">
      <c r="B12" s="9" t="s">
        <v>36</v>
      </c>
      <c r="C12" s="11" t="n">
        <v>0</v>
      </c>
      <c r="E12" s="13"/>
    </row>
    <row r="13" customFormat="false" ht="15" hidden="false" customHeight="false" outlineLevel="0" collapsed="false">
      <c r="B13" s="22" t="s">
        <v>69</v>
      </c>
      <c r="C13" s="23" t="n">
        <f aca="false">SUM(C7:C12)</f>
        <v>18000</v>
      </c>
    </row>
    <row r="15" customFormat="false" ht="15" hidden="false" customHeight="false" outlineLevel="0" collapsed="false">
      <c r="B15" s="6" t="s">
        <v>70</v>
      </c>
      <c r="C15" s="7"/>
      <c r="D15" s="7"/>
      <c r="E15" s="7"/>
    </row>
    <row r="16" customFormat="false" ht="15" hidden="false" customHeight="false" outlineLevel="0" collapsed="false">
      <c r="B16" s="8" t="s">
        <v>39</v>
      </c>
      <c r="C16" s="8" t="s">
        <v>71</v>
      </c>
      <c r="D16" s="8"/>
      <c r="E16" s="8" t="s">
        <v>22</v>
      </c>
    </row>
    <row r="17" customFormat="false" ht="15" hidden="false" customHeight="false" outlineLevel="0" collapsed="false">
      <c r="B17" s="9" t="s">
        <v>72</v>
      </c>
      <c r="C17" s="11" t="n">
        <v>90000</v>
      </c>
      <c r="E17" s="13" t="s">
        <v>73</v>
      </c>
    </row>
    <row r="18" customFormat="false" ht="15" hidden="false" customHeight="false" outlineLevel="0" collapsed="false">
      <c r="B18" s="9" t="s">
        <v>74</v>
      </c>
      <c r="C18" s="11" t="n">
        <v>30000</v>
      </c>
      <c r="E18" s="13" t="s">
        <v>75</v>
      </c>
    </row>
    <row r="19" customFormat="false" ht="15" hidden="false" customHeight="false" outlineLevel="0" collapsed="false">
      <c r="B19" s="9" t="s">
        <v>76</v>
      </c>
      <c r="C19" s="11" t="n">
        <v>40000</v>
      </c>
      <c r="E19" s="13"/>
    </row>
    <row r="20" customFormat="false" ht="15" hidden="false" customHeight="false" outlineLevel="0" collapsed="false">
      <c r="B20" s="9" t="s">
        <v>77</v>
      </c>
      <c r="C20" s="11" t="n">
        <v>25000</v>
      </c>
      <c r="E20" s="13"/>
    </row>
    <row r="21" customFormat="false" ht="15" hidden="false" customHeight="false" outlineLevel="0" collapsed="false">
      <c r="B21" s="22" t="s">
        <v>78</v>
      </c>
      <c r="C21" s="23" t="n">
        <f aca="false">SUM(C17:C20)</f>
        <v>185000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28"/>
  </cols>
  <sheetData>
    <row r="2" customFormat="false" ht="17.35" hidden="false" customHeight="false" outlineLevel="0" collapsed="false">
      <c r="B2" s="1" t="s">
        <v>79</v>
      </c>
    </row>
    <row r="3" customFormat="false" ht="15" hidden="false" customHeight="false" outlineLevel="0" collapsed="false">
      <c r="B3" s="2" t="s">
        <v>80</v>
      </c>
    </row>
    <row r="5" customFormat="false" ht="15" hidden="false" customHeight="false" outlineLevel="0" collapsed="false">
      <c r="B5" s="6" t="s">
        <v>81</v>
      </c>
      <c r="C5" s="7"/>
      <c r="D5" s="7"/>
    </row>
    <row r="6" customFormat="false" ht="15" hidden="false" customHeight="false" outlineLevel="0" collapsed="false">
      <c r="B6" s="9" t="s">
        <v>82</v>
      </c>
      <c r="C6" s="24" t="n">
        <f aca="false">'1. Cost Reconstruction'!E30</f>
        <v>232012.5</v>
      </c>
    </row>
    <row r="7" customFormat="false" ht="15" hidden="false" customHeight="false" outlineLevel="0" collapsed="false">
      <c r="B7" s="9" t="s">
        <v>83</v>
      </c>
      <c r="C7" s="25" t="n">
        <f aca="false">'1. Cost Reconstruction'!E31</f>
        <v>3</v>
      </c>
    </row>
    <row r="8" customFormat="false" ht="15" hidden="false" customHeight="false" outlineLevel="0" collapsed="false">
      <c r="B8" s="9" t="s">
        <v>84</v>
      </c>
      <c r="C8" s="26" t="n">
        <f aca="false">'1. Cost Reconstruction'!E32</f>
        <v>0.3</v>
      </c>
    </row>
    <row r="9" customFormat="false" ht="15" hidden="false" customHeight="false" outlineLevel="0" collapsed="false">
      <c r="B9" s="9" t="s">
        <v>85</v>
      </c>
      <c r="C9" s="10" t="n">
        <v>12</v>
      </c>
    </row>
    <row r="10" customFormat="false" ht="15" hidden="false" customHeight="false" outlineLevel="0" collapsed="false">
      <c r="B10" s="9" t="s">
        <v>86</v>
      </c>
      <c r="C10" s="24" t="n">
        <f aca="false">'2. Cost-to-Serve'!C13</f>
        <v>18000</v>
      </c>
    </row>
    <row r="11" customFormat="false" ht="15" hidden="false" customHeight="false" outlineLevel="0" collapsed="false">
      <c r="B11" s="9" t="s">
        <v>87</v>
      </c>
      <c r="C11" s="12" t="n">
        <f aca="false">(C6*(1+C8))/C7/C9</f>
        <v>8378.22916666667</v>
      </c>
    </row>
    <row r="12" customFormat="false" ht="15" hidden="false" customHeight="false" outlineLevel="0" collapsed="false">
      <c r="B12" s="22" t="s">
        <v>88</v>
      </c>
      <c r="C12" s="23" t="n">
        <f aca="false">C11+C10</f>
        <v>26378.2291666667</v>
      </c>
    </row>
    <row r="14" customFormat="false" ht="15" hidden="false" customHeight="false" outlineLevel="0" collapsed="false">
      <c r="B14" s="6" t="s">
        <v>89</v>
      </c>
      <c r="C14" s="7"/>
      <c r="D14" s="7"/>
    </row>
    <row r="15" customFormat="false" ht="15" hidden="false" customHeight="false" outlineLevel="0" collapsed="false">
      <c r="B15" s="9" t="s">
        <v>90</v>
      </c>
      <c r="C15" s="11" t="n">
        <v>120000</v>
      </c>
    </row>
    <row r="16" customFormat="false" ht="15" hidden="false" customHeight="false" outlineLevel="0" collapsed="false">
      <c r="B16" s="9" t="s">
        <v>91</v>
      </c>
      <c r="C16" s="21" t="n">
        <v>0.2</v>
      </c>
    </row>
    <row r="17" customFormat="false" ht="15" hidden="false" customHeight="false" outlineLevel="0" collapsed="false">
      <c r="B17" s="22" t="s">
        <v>92</v>
      </c>
      <c r="C17" s="23" t="n">
        <f aca="false">C15*C16</f>
        <v>24000</v>
      </c>
    </row>
    <row r="19" customFormat="false" ht="15" hidden="false" customHeight="false" outlineLevel="0" collapsed="false">
      <c r="B19" s="6" t="s">
        <v>93</v>
      </c>
      <c r="C19" s="7"/>
      <c r="D19" s="7"/>
    </row>
    <row r="20" customFormat="false" ht="15" hidden="false" customHeight="false" outlineLevel="0" collapsed="false">
      <c r="B20" s="9" t="s">
        <v>94</v>
      </c>
      <c r="C20" s="11" t="n">
        <v>60000</v>
      </c>
    </row>
    <row r="21" customFormat="false" ht="15" hidden="false" customHeight="false" outlineLevel="0" collapsed="false">
      <c r="B21" s="9" t="s">
        <v>95</v>
      </c>
      <c r="C21" s="21" t="n">
        <v>0.85</v>
      </c>
    </row>
    <row r="22" customFormat="false" ht="15" hidden="false" customHeight="false" outlineLevel="0" collapsed="false">
      <c r="B22" s="22" t="s">
        <v>96</v>
      </c>
      <c r="C22" s="23" t="n">
        <f aca="false">C20*C21</f>
        <v>51000</v>
      </c>
    </row>
    <row r="24" customFormat="false" ht="15" hidden="false" customHeight="false" outlineLevel="0" collapsed="false">
      <c r="B24" s="6" t="s">
        <v>97</v>
      </c>
      <c r="C24" s="7"/>
      <c r="D24" s="7"/>
    </row>
    <row r="25" customFormat="false" ht="15" hidden="false" customHeight="false" outlineLevel="0" collapsed="false">
      <c r="B25" s="9" t="s">
        <v>98</v>
      </c>
      <c r="C25" s="12" t="n">
        <f aca="false">C12</f>
        <v>26378.2291666667</v>
      </c>
    </row>
    <row r="26" customFormat="false" ht="15" hidden="false" customHeight="false" outlineLevel="0" collapsed="false">
      <c r="B26" s="9" t="s">
        <v>99</v>
      </c>
      <c r="C26" s="12" t="n">
        <f aca="false">C17</f>
        <v>24000</v>
      </c>
    </row>
    <row r="27" customFormat="false" ht="15" hidden="false" customHeight="false" outlineLevel="0" collapsed="false">
      <c r="B27" s="9" t="s">
        <v>100</v>
      </c>
      <c r="C27" s="12" t="n">
        <f aca="false">C22</f>
        <v>51000</v>
      </c>
    </row>
    <row r="28" customFormat="false" ht="15" hidden="false" customHeight="false" outlineLevel="0" collapsed="false">
      <c r="B28" s="13" t="s">
        <v>101</v>
      </c>
      <c r="C28" s="21" t="n">
        <v>0.25</v>
      </c>
      <c r="D28" s="21" t="n">
        <v>0.4</v>
      </c>
    </row>
    <row r="29" customFormat="false" ht="15" hidden="false" customHeight="false" outlineLevel="0" collapsed="false">
      <c r="B29" s="13" t="s">
        <v>102</v>
      </c>
      <c r="C29" s="21" t="n">
        <v>0.35</v>
      </c>
    </row>
    <row r="30" customFormat="false" ht="15" hidden="false" customHeight="false" outlineLevel="0" collapsed="false">
      <c r="B30" s="27" t="s">
        <v>103</v>
      </c>
      <c r="C30" s="28" t="n">
        <f aca="false">C25*C28+C26*C28+C27*C29</f>
        <v>30444.5572916667</v>
      </c>
    </row>
    <row r="31" customFormat="false" ht="15" hidden="false" customHeight="false" outlineLevel="0" collapsed="false">
      <c r="B31" s="9" t="s">
        <v>104</v>
      </c>
      <c r="C31" s="29" t="n">
        <f aca="false">(C30-C10)/C30</f>
        <v>0.408761315608718</v>
      </c>
    </row>
    <row r="32" customFormat="false" ht="15" hidden="false" customHeight="false" outlineLevel="0" collapsed="false">
      <c r="B32" s="13" t="s">
        <v>105</v>
      </c>
      <c r="C32" s="30" t="str">
        <f aca="false">IF(C30&gt;=C25,"OK","BELOW FLOOR")</f>
        <v>OK</v>
      </c>
    </row>
    <row r="34" customFormat="false" ht="15" hidden="false" customHeight="false" outlineLevel="0" collapsed="false">
      <c r="B34" s="6" t="s">
        <v>106</v>
      </c>
      <c r="C34" s="7"/>
      <c r="D34" s="7"/>
    </row>
    <row r="35" customFormat="false" ht="15" hidden="false" customHeight="false" outlineLevel="0" collapsed="false">
      <c r="B35" s="8" t="s">
        <v>107</v>
      </c>
      <c r="C35" s="8" t="s">
        <v>108</v>
      </c>
      <c r="D35" s="8" t="s">
        <v>109</v>
      </c>
    </row>
    <row r="36" customFormat="false" ht="15" hidden="false" customHeight="false" outlineLevel="0" collapsed="false">
      <c r="B36" s="9" t="s">
        <v>110</v>
      </c>
      <c r="C36" s="31" t="n">
        <v>0.6</v>
      </c>
      <c r="D36" s="12" t="n">
        <f aca="false">$C$30*C36</f>
        <v>18266.734375</v>
      </c>
    </row>
    <row r="37" customFormat="false" ht="15" hidden="false" customHeight="false" outlineLevel="0" collapsed="false">
      <c r="B37" s="9" t="s">
        <v>111</v>
      </c>
      <c r="C37" s="31" t="n">
        <v>1</v>
      </c>
      <c r="D37" s="12" t="n">
        <f aca="false">$C$30*C37</f>
        <v>30444.5572916667</v>
      </c>
    </row>
    <row r="38" customFormat="false" ht="15" hidden="false" customHeight="false" outlineLevel="0" collapsed="false">
      <c r="B38" s="9" t="s">
        <v>112</v>
      </c>
      <c r="C38" s="31" t="n">
        <v>1.8</v>
      </c>
      <c r="D38" s="12" t="n">
        <f aca="false">$C$30*C38</f>
        <v>54800.203125</v>
      </c>
    </row>
    <row r="39" customFormat="false" ht="15" hidden="false" customHeight="false" outlineLevel="0" collapsed="false">
      <c r="B39" s="9" t="s">
        <v>113</v>
      </c>
      <c r="D39" s="11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5" min="3" style="0" width="16"/>
    <col collapsed="false" customWidth="true" hidden="false" outlineLevel="0" max="6" min="6" style="0" width="26"/>
  </cols>
  <sheetData>
    <row r="2" customFormat="false" ht="17.35" hidden="false" customHeight="false" outlineLevel="0" collapsed="false">
      <c r="B2" s="1" t="s">
        <v>114</v>
      </c>
    </row>
    <row r="3" customFormat="false" ht="15" hidden="false" customHeight="false" outlineLevel="0" collapsed="false">
      <c r="B3" s="2" t="s">
        <v>115</v>
      </c>
    </row>
    <row r="5" customFormat="false" ht="15" hidden="false" customHeight="false" outlineLevel="0" collapsed="false">
      <c r="B5" s="6" t="s">
        <v>116</v>
      </c>
      <c r="C5" s="7"/>
      <c r="D5" s="7"/>
      <c r="E5" s="7"/>
      <c r="F5" s="7"/>
    </row>
    <row r="6" customFormat="false" ht="15" hidden="false" customHeight="false" outlineLevel="0" collapsed="false">
      <c r="B6" s="8" t="s">
        <v>117</v>
      </c>
      <c r="C6" s="8" t="s">
        <v>118</v>
      </c>
      <c r="D6" s="8"/>
      <c r="E6" s="8"/>
      <c r="F6" s="8" t="s">
        <v>22</v>
      </c>
    </row>
    <row r="7" customFormat="false" ht="15" hidden="false" customHeight="false" outlineLevel="0" collapsed="false">
      <c r="B7" s="9" t="s">
        <v>119</v>
      </c>
      <c r="C7" s="11" t="n">
        <v>95000</v>
      </c>
    </row>
    <row r="8" customFormat="false" ht="15" hidden="false" customHeight="false" outlineLevel="0" collapsed="false">
      <c r="B8" s="9" t="s">
        <v>120</v>
      </c>
      <c r="C8" s="10" t="n">
        <v>200</v>
      </c>
    </row>
    <row r="9" customFormat="false" ht="15" hidden="false" customHeight="false" outlineLevel="0" collapsed="false">
      <c r="B9" s="9" t="s">
        <v>121</v>
      </c>
      <c r="C9" s="12" t="n">
        <f aca="false">C7/C8</f>
        <v>475</v>
      </c>
    </row>
    <row r="10" customFormat="false" ht="15" hidden="false" customHeight="false" outlineLevel="0" collapsed="false">
      <c r="B10" s="9" t="s">
        <v>122</v>
      </c>
      <c r="C10" s="21" t="n">
        <v>0.45</v>
      </c>
    </row>
    <row r="11" customFormat="false" ht="15" hidden="false" customHeight="false" outlineLevel="0" collapsed="false">
      <c r="B11" s="22" t="s">
        <v>123</v>
      </c>
      <c r="C11" s="23" t="n">
        <f aca="false">C9/(1-C10)</f>
        <v>863.636363636364</v>
      </c>
    </row>
    <row r="13" customFormat="false" ht="15" hidden="false" customHeight="false" outlineLevel="0" collapsed="false">
      <c r="B13" s="6" t="s">
        <v>124</v>
      </c>
      <c r="C13" s="7"/>
      <c r="D13" s="7"/>
      <c r="E13" s="7"/>
      <c r="F13" s="7"/>
    </row>
    <row r="14" customFormat="false" ht="15" hidden="false" customHeight="false" outlineLevel="0" collapsed="false">
      <c r="B14" s="8" t="s">
        <v>125</v>
      </c>
      <c r="C14" s="8" t="s">
        <v>20</v>
      </c>
      <c r="D14" s="8" t="s">
        <v>126</v>
      </c>
      <c r="E14" s="8" t="s">
        <v>127</v>
      </c>
      <c r="F14" s="8" t="s">
        <v>22</v>
      </c>
    </row>
    <row r="15" customFormat="false" ht="15" hidden="false" customHeight="false" outlineLevel="0" collapsed="false">
      <c r="B15" s="9" t="s">
        <v>128</v>
      </c>
      <c r="C15" s="11" t="n">
        <v>1100</v>
      </c>
      <c r="D15" s="10" t="n">
        <v>1</v>
      </c>
      <c r="E15" s="12" t="n">
        <f aca="false">C15*D15</f>
        <v>1100</v>
      </c>
    </row>
    <row r="16" customFormat="false" ht="15" hidden="false" customHeight="false" outlineLevel="0" collapsed="false">
      <c r="B16" s="9" t="s">
        <v>129</v>
      </c>
      <c r="C16" s="11" t="n">
        <v>900</v>
      </c>
      <c r="D16" s="10" t="n">
        <v>2</v>
      </c>
      <c r="E16" s="12" t="n">
        <f aca="false">C16*D16</f>
        <v>1800</v>
      </c>
    </row>
    <row r="17" customFormat="false" ht="15" hidden="false" customHeight="false" outlineLevel="0" collapsed="false">
      <c r="B17" s="9" t="s">
        <v>130</v>
      </c>
      <c r="C17" s="11" t="n">
        <v>650</v>
      </c>
      <c r="D17" s="10" t="n">
        <v>2</v>
      </c>
      <c r="E17" s="12" t="n">
        <f aca="false">C17*D17</f>
        <v>1300</v>
      </c>
    </row>
    <row r="18" customFormat="false" ht="15" hidden="false" customHeight="false" outlineLevel="0" collapsed="false">
      <c r="B18" s="9" t="s">
        <v>131</v>
      </c>
      <c r="C18" s="11" t="n">
        <v>450</v>
      </c>
      <c r="D18" s="10" t="n">
        <v>1</v>
      </c>
      <c r="E18" s="12" t="n">
        <f aca="false">C18*D18</f>
        <v>450</v>
      </c>
    </row>
    <row r="19" customFormat="false" ht="15" hidden="false" customHeight="false" outlineLevel="0" collapsed="false">
      <c r="B19" s="22" t="s">
        <v>132</v>
      </c>
      <c r="C19" s="23" t="n">
        <f aca="false">SUM(E15:E18)/SUM(D15:D18)</f>
        <v>775</v>
      </c>
    </row>
    <row r="21" customFormat="false" ht="15" hidden="false" customHeight="false" outlineLevel="0" collapsed="false">
      <c r="B21" s="6" t="s">
        <v>133</v>
      </c>
      <c r="C21" s="7"/>
      <c r="D21" s="7"/>
      <c r="E21" s="7"/>
      <c r="F21" s="7"/>
    </row>
    <row r="22" customFormat="false" ht="15" hidden="false" customHeight="false" outlineLevel="0" collapsed="false">
      <c r="B22" s="8" t="s">
        <v>134</v>
      </c>
      <c r="C22" s="8" t="s">
        <v>135</v>
      </c>
      <c r="D22" s="8" t="s">
        <v>20</v>
      </c>
      <c r="E22" s="8" t="s">
        <v>21</v>
      </c>
      <c r="F22" s="8" t="s">
        <v>22</v>
      </c>
    </row>
    <row r="23" customFormat="false" ht="15" hidden="false" customHeight="false" outlineLevel="0" collapsed="false">
      <c r="B23" s="9" t="s">
        <v>136</v>
      </c>
      <c r="C23" s="10" t="n">
        <v>10</v>
      </c>
      <c r="D23" s="12" t="n">
        <f aca="false">$C$19</f>
        <v>775</v>
      </c>
      <c r="E23" s="12" t="n">
        <f aca="false">C23*D23</f>
        <v>7750</v>
      </c>
    </row>
    <row r="24" customFormat="false" ht="15" hidden="false" customHeight="false" outlineLevel="0" collapsed="false">
      <c r="B24" s="9" t="s">
        <v>137</v>
      </c>
      <c r="C24" s="10" t="n">
        <v>20</v>
      </c>
      <c r="D24" s="12" t="n">
        <f aca="false">$C$19</f>
        <v>775</v>
      </c>
      <c r="E24" s="12" t="n">
        <f aca="false">C24*D24</f>
        <v>15500</v>
      </c>
    </row>
    <row r="25" customFormat="false" ht="15" hidden="false" customHeight="false" outlineLevel="0" collapsed="false">
      <c r="B25" s="9" t="s">
        <v>138</v>
      </c>
      <c r="C25" s="10" t="n">
        <v>15</v>
      </c>
      <c r="D25" s="12" t="n">
        <f aca="false">$C$19</f>
        <v>775</v>
      </c>
      <c r="E25" s="12" t="n">
        <f aca="false">C25*D25</f>
        <v>11625</v>
      </c>
    </row>
    <row r="26" customFormat="false" ht="15" hidden="false" customHeight="false" outlineLevel="0" collapsed="false">
      <c r="B26" s="9" t="s">
        <v>139</v>
      </c>
      <c r="C26" s="10" t="n">
        <v>10</v>
      </c>
      <c r="D26" s="12" t="n">
        <f aca="false">$C$19</f>
        <v>775</v>
      </c>
      <c r="E26" s="12" t="n">
        <f aca="false">C26*D26</f>
        <v>7750</v>
      </c>
    </row>
    <row r="27" customFormat="false" ht="15" hidden="false" customHeight="false" outlineLevel="0" collapsed="false">
      <c r="B27" s="9" t="s">
        <v>140</v>
      </c>
      <c r="C27" s="10" t="n">
        <v>8</v>
      </c>
      <c r="D27" s="12" t="n">
        <f aca="false">$C$19</f>
        <v>775</v>
      </c>
      <c r="E27" s="12" t="n">
        <f aca="false">C27*D27</f>
        <v>6200</v>
      </c>
    </row>
    <row r="28" customFormat="false" ht="15" hidden="false" customHeight="false" outlineLevel="0" collapsed="false">
      <c r="B28" s="22" t="s">
        <v>141</v>
      </c>
      <c r="C28" s="32"/>
      <c r="D28" s="12" t="n">
        <f aca="false">SUM(D23:D27)/SUM(C23:C27)</f>
        <v>61.5079365079365</v>
      </c>
      <c r="E28" s="23" t="n">
        <f aca="false">SUM(E23:E27)</f>
        <v>48825</v>
      </c>
    </row>
    <row r="30" customFormat="false" ht="15" hidden="false" customHeight="false" outlineLevel="0" collapsed="false">
      <c r="B30" s="6" t="s">
        <v>142</v>
      </c>
      <c r="C30" s="7"/>
      <c r="D30" s="7"/>
      <c r="E30" s="7"/>
      <c r="F30" s="7"/>
    </row>
    <row r="31" customFormat="false" ht="15" hidden="false" customHeight="false" outlineLevel="0" collapsed="false">
      <c r="B31" s="9" t="s">
        <v>86</v>
      </c>
      <c r="C31" s="24" t="n">
        <f aca="false">'2. Cost-to-Serve'!C13</f>
        <v>18000</v>
      </c>
    </row>
    <row r="32" customFormat="false" ht="15" hidden="false" customHeight="false" outlineLevel="0" collapsed="false">
      <c r="B32" s="9" t="s">
        <v>143</v>
      </c>
      <c r="C32" s="10" t="n">
        <v>24</v>
      </c>
    </row>
    <row r="33" customFormat="false" ht="15" hidden="false" customHeight="false" outlineLevel="0" collapsed="false">
      <c r="B33" s="9" t="s">
        <v>144</v>
      </c>
      <c r="C33" s="12" t="n">
        <f aca="false">C32*C19</f>
        <v>18600</v>
      </c>
    </row>
    <row r="34" customFormat="false" ht="15" hidden="false" customHeight="false" outlineLevel="0" collapsed="false">
      <c r="B34" s="9" t="s">
        <v>145</v>
      </c>
      <c r="C34" s="21" t="n">
        <v>0.4</v>
      </c>
    </row>
    <row r="35" customFormat="false" ht="15" hidden="false" customHeight="false" outlineLevel="0" collapsed="false">
      <c r="B35" s="22" t="s">
        <v>146</v>
      </c>
      <c r="C35" s="23" t="n">
        <f aca="false">(C31+C33)/(1-C34)</f>
        <v>61000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8"/>
  </cols>
  <sheetData>
    <row r="2" customFormat="false" ht="17.35" hidden="false" customHeight="false" outlineLevel="0" collapsed="false">
      <c r="B2" s="1" t="s">
        <v>147</v>
      </c>
    </row>
    <row r="3" customFormat="false" ht="15" hidden="false" customHeight="false" outlineLevel="0" collapsed="false">
      <c r="B3" s="2" t="s">
        <v>148</v>
      </c>
    </row>
    <row r="5" customFormat="false" ht="15" hidden="false" customHeight="false" outlineLevel="0" collapsed="false">
      <c r="B5" s="33" t="s">
        <v>149</v>
      </c>
      <c r="C5" s="33" t="s">
        <v>150</v>
      </c>
      <c r="D5" s="33" t="s">
        <v>151</v>
      </c>
    </row>
    <row r="6" customFormat="false" ht="15" hidden="false" customHeight="false" outlineLevel="0" collapsed="false">
      <c r="B6" s="9" t="s">
        <v>152</v>
      </c>
      <c r="C6" s="24" t="n">
        <f aca="false">'3. Licence Pricing'!C30</f>
        <v>30444.5572916667</v>
      </c>
      <c r="D6" s="24" t="n">
        <f aca="false">'4. Services Pricing'!E28+'4. Services Pricing'!C35</f>
        <v>109825</v>
      </c>
    </row>
    <row r="7" customFormat="false" ht="15" hidden="false" customHeight="false" outlineLevel="0" collapsed="false">
      <c r="B7" s="9" t="s">
        <v>153</v>
      </c>
      <c r="C7" s="24" t="n">
        <f aca="false">'3. Licence Pricing'!C30</f>
        <v>30444.5572916667</v>
      </c>
      <c r="D7" s="24" t="n">
        <f aca="false">'4. Services Pricing'!C35</f>
        <v>61000</v>
      </c>
    </row>
    <row r="8" customFormat="false" ht="15" hidden="false" customHeight="false" outlineLevel="0" collapsed="false">
      <c r="B8" s="9" t="s">
        <v>154</v>
      </c>
      <c r="C8" s="24" t="n">
        <f aca="false">'3. Licence Pricing'!C30</f>
        <v>30444.5572916667</v>
      </c>
      <c r="D8" s="24" t="n">
        <f aca="false">'4. Services Pricing'!C35</f>
        <v>61000</v>
      </c>
    </row>
    <row r="9" customFormat="false" ht="15" hidden="false" customHeight="false" outlineLevel="0" collapsed="false">
      <c r="B9" s="14" t="s">
        <v>155</v>
      </c>
      <c r="C9" s="16" t="n">
        <f aca="false">SUM(C6:C8)</f>
        <v>91333.671875</v>
      </c>
      <c r="D9" s="16" t="n">
        <f aca="false">SUM(D6:D8)</f>
        <v>231825</v>
      </c>
    </row>
    <row r="10" customFormat="false" ht="15" hidden="false" customHeight="false" outlineLevel="0" collapsed="false">
      <c r="B10" s="9" t="s">
        <v>156</v>
      </c>
      <c r="C10" s="24" t="n">
        <f aca="false">'2. Cost-to-Serve'!C13*3</f>
        <v>54000</v>
      </c>
      <c r="D10" s="24" t="n">
        <f aca="false">'2. Cost-to-Serve'!C13*3</f>
        <v>54000</v>
      </c>
    </row>
    <row r="11" customFormat="false" ht="15" hidden="false" customHeight="false" outlineLevel="0" collapsed="false">
      <c r="B11" s="22" t="s">
        <v>157</v>
      </c>
      <c r="C11" s="23" t="n">
        <f aca="false">C9-C10</f>
        <v>37333.671875</v>
      </c>
      <c r="D11" s="23" t="n">
        <f aca="false">D9-D10</f>
        <v>177825</v>
      </c>
    </row>
    <row r="13" customFormat="false" ht="15" hidden="false" customHeight="false" outlineLevel="0" collapsed="false">
      <c r="B13" s="19" t="s">
        <v>158</v>
      </c>
    </row>
    <row r="14" customFormat="false" ht="15" hidden="false" customHeight="true" outlineLevel="0" collapsed="false">
      <c r="B14" s="34" t="s">
        <v>159</v>
      </c>
      <c r="C14" s="34"/>
      <c r="D14" s="34"/>
    </row>
    <row r="15" customFormat="false" ht="15" hidden="false" customHeight="false" outlineLevel="0" collapsed="false">
      <c r="B15" s="34"/>
      <c r="C15" s="34"/>
      <c r="D15" s="34"/>
    </row>
    <row r="16" customFormat="false" ht="15" hidden="false" customHeight="false" outlineLevel="0" collapsed="false">
      <c r="B16" s="34"/>
      <c r="C16" s="34"/>
      <c r="D16" s="34"/>
    </row>
    <row r="17" customFormat="false" ht="15" hidden="false" customHeight="false" outlineLevel="0" collapsed="false">
      <c r="B17" s="34"/>
      <c r="C17" s="34"/>
      <c r="D17" s="34"/>
    </row>
  </sheetData>
  <mergeCells count="1">
    <mergeCell ref="B14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2026-06-24T08:21:40Z</dcterms:created>
  <dc:creator>openpyxl</dc:creator>
  <dc:description/>
  <dc:language>en-US</dc:language>
  <cp:lastModifiedBy/>
  <dcterms:modified xsi:type="dcterms:W3CDTF">2026-06-24T08:21:40Z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