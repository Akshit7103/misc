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esheet" sheetId="2" state="visible" r:id="rId2"/>
    <sheet xmlns:r="http://schemas.openxmlformats.org/officeDocument/2006/relationships" name="1. CCM" sheetId="3" state="visible" r:id="rId3"/>
    <sheet xmlns:r="http://schemas.openxmlformats.org/officeDocument/2006/relationships" name="2. Pre-Audit Checks" sheetId="4" state="visible" r:id="rId4"/>
    <sheet xmlns:r="http://schemas.openxmlformats.org/officeDocument/2006/relationships" name="3. VKYC Audit" sheetId="5" state="visible" r:id="rId5"/>
    <sheet xmlns:r="http://schemas.openxmlformats.org/officeDocument/2006/relationships" name="4. KYC Audit" sheetId="6" state="visible" r:id="rId6"/>
    <sheet xmlns:r="http://schemas.openxmlformats.org/officeDocument/2006/relationships" name="5. Checklist Automation" sheetId="7" state="visible" r:id="rId7"/>
    <sheet xmlns:r="http://schemas.openxmlformats.org/officeDocument/2006/relationships" name="6. Data Analytics" sheetId="8" state="visible" r:id="rId8"/>
    <sheet xmlns:r="http://schemas.openxmlformats.org/officeDocument/2006/relationships" name="7. ALCM" sheetId="9" state="visible" r:id="rId9"/>
    <sheet xmlns:r="http://schemas.openxmlformats.org/officeDocument/2006/relationships" name="8. Agentic AI" sheetId="10" state="visible" r:id="rId10"/>
    <sheet xmlns:r="http://schemas.openxmlformats.org/officeDocument/2006/relationships" name="9. ChatBot" sheetId="11" state="visible" r:id="rId11"/>
  </sheets>
  <definedNames/>
  <calcPr calcId="124519" fullCalcOnLoad="1"/>
</workbook>
</file>

<file path=xl/styles.xml><?xml version="1.0" encoding="utf-8"?>
<styleSheet xmlns="http://schemas.openxmlformats.org/spreadsheetml/2006/main">
  <numFmts count="4">
    <numFmt numFmtId="164" formatCode="[&gt;=10000000]#\,##\,##\,##0;[&gt;=100000]#\,##\,##0;#,##0"/>
    <numFmt numFmtId="165" formatCode="#,##0;-#,##0;&quot;-&quot;"/>
    <numFmt numFmtId="166" formatCode="0.0%"/>
    <numFmt numFmtId="167" formatCode="[&gt;=10000000]#\,##\,##\,##0;[&gt;=100000]#\,##\,##0;#,##0;&quot;-&quot;"/>
  </numFmts>
  <fonts count="27">
    <font>
      <name val="Calibri"/>
      <family val="2"/>
      <color theme="1"/>
      <sz val="11"/>
      <scheme val="minor"/>
    </font>
    <font>
      <name val="Calibri"/>
      <b val="1"/>
      <color rgb="0010385A"/>
      <sz val="14"/>
    </font>
    <font>
      <name val="Calibri"/>
      <i val="1"/>
      <color rgb="0064748B"/>
      <sz val="9"/>
    </font>
    <font>
      <name val="Calibri"/>
      <b val="1"/>
      <color rgb="001E293B"/>
      <sz val="10"/>
    </font>
    <font>
      <name val="Calibri"/>
      <b val="1"/>
      <color rgb="00FFFFFF"/>
      <sz val="9"/>
    </font>
    <font>
      <name val="Calibri"/>
      <b val="1"/>
      <color rgb="001E293B"/>
      <sz val="9"/>
    </font>
    <font>
      <name val="Calibri"/>
      <color rgb="001E293B"/>
      <sz val="9"/>
    </font>
    <font>
      <name val="Calibri"/>
      <b val="1"/>
      <color rgb="0010385A"/>
      <sz val="9"/>
    </font>
    <font>
      <name val="Calibri"/>
      <b val="1"/>
      <color rgb="00FFFFFF"/>
      <sz val="8"/>
    </font>
    <font>
      <name val="Calibri"/>
      <color rgb="001E293B"/>
      <sz val="8"/>
    </font>
    <font>
      <name val="Calibri"/>
      <b val="1"/>
      <color rgb="0010385A"/>
      <sz val="10"/>
    </font>
    <font>
      <name val="Calibri"/>
      <b val="1"/>
      <color rgb="0064748B"/>
      <sz val="9"/>
    </font>
    <font>
      <name val="Calibri"/>
      <b val="1"/>
      <i val="1"/>
      <color rgb="0010385A"/>
      <sz val="10"/>
    </font>
    <font>
      <name val="Calibri"/>
      <b val="1"/>
      <color rgb="00FFFFFF"/>
      <sz val="10"/>
    </font>
    <font>
      <name val="Calibri"/>
      <color rgb="0064748B"/>
      <sz val="8"/>
    </font>
    <font>
      <name val="Calibri"/>
      <b val="1"/>
      <color rgb="001E293B"/>
      <sz val="11"/>
    </font>
    <font>
      <name val="Calibri"/>
      <b val="1"/>
      <color rgb="001E293B"/>
      <sz val="8"/>
    </font>
    <font>
      <name val="Calibri"/>
      <i val="1"/>
      <color rgb="0064748B"/>
      <sz val="8"/>
    </font>
    <font>
      <name val="Calibri"/>
      <b val="1"/>
      <color rgb="0010385A"/>
      <sz val="16"/>
    </font>
    <font>
      <name val="Calibri"/>
      <i val="1"/>
      <color rgb="0064748B"/>
      <sz val="10"/>
    </font>
    <font>
      <name val="Calibri"/>
      <i val="1"/>
      <color rgb="0094A3B8"/>
      <sz val="9"/>
    </font>
    <font>
      <name val="Calibri"/>
      <b val="1"/>
      <color rgb="007C2D12"/>
      <sz val="9"/>
    </font>
    <font>
      <name val="Calibri"/>
      <color rgb="000563C1"/>
      <sz val="9"/>
    </font>
    <font>
      <name val="Calibri"/>
      <color rgb="000563C1"/>
      <sz val="9"/>
      <u val="single"/>
    </font>
    <font>
      <name val="Calibri"/>
      <b val="1"/>
      <color rgb="0064748B"/>
      <sz val="8"/>
    </font>
    <font>
      <name val="Calibri"/>
      <b val="1"/>
      <color rgb="0010385A"/>
      <sz val="11"/>
    </font>
    <font>
      <name val="Calibri"/>
      <color rgb="00334155"/>
      <sz val="9"/>
    </font>
  </fonts>
  <fills count="10">
    <fill>
      <patternFill/>
    </fill>
    <fill>
      <patternFill patternType="gray125"/>
    </fill>
    <fill>
      <patternFill patternType="solid">
        <fgColor rgb="00D9D9D9"/>
      </patternFill>
    </fill>
    <fill>
      <patternFill patternType="solid">
        <fgColor rgb="00DCE6F1"/>
      </patternFill>
    </fill>
    <fill>
      <patternFill patternType="solid">
        <fgColor rgb="0010385A"/>
      </patternFill>
    </fill>
    <fill>
      <patternFill patternType="solid">
        <fgColor rgb="00E7A33E"/>
      </patternFill>
    </fill>
    <fill>
      <patternFill patternType="solid">
        <fgColor rgb="00F2F2F2"/>
      </patternFill>
    </fill>
    <fill>
      <patternFill patternType="solid">
        <fgColor rgb="00E57200"/>
      </patternFill>
    </fill>
    <fill>
      <patternFill patternType="solid">
        <fgColor rgb="00FCD5B4"/>
      </patternFill>
    </fill>
    <fill>
      <patternFill patternType="solid">
        <fgColor rgb="00FF9999"/>
      </patternFill>
    </fill>
  </fills>
  <borders count="7">
    <border>
      <left/>
      <right/>
      <top/>
      <bottom/>
      <diagonal/>
    </border>
    <border>
      <left style="thin">
        <color rgb="009BB0C4"/>
      </left>
      <right style="thin">
        <color rgb="009BB0C4"/>
      </right>
      <top style="thin">
        <color rgb="009BB0C4"/>
      </top>
      <bottom style="thin">
        <color rgb="009BB0C4"/>
      </bottom>
    </border>
    <border>
      <left style="thin">
        <color rgb="00B37C1E"/>
      </left>
      <right style="thin">
        <color rgb="00B37C1E"/>
      </right>
      <top style="thin">
        <color rgb="00B37C1E"/>
      </top>
      <bottom style="thin">
        <color rgb="00B37C1E"/>
      </bottom>
    </border>
    <border>
      <left/>
      <right/>
      <top style="thin">
        <color rgb="009BB0C4"/>
      </top>
      <bottom/>
      <diagonal/>
    </border>
    <border>
      <left/>
      <right style="thin">
        <color rgb="009BB0C4"/>
      </right>
      <top style="thin">
        <color rgb="009BB0C4"/>
      </top>
      <bottom/>
      <diagonal/>
    </border>
    <border>
      <left/>
      <right/>
      <top style="thin">
        <color rgb="009BB0C4"/>
      </top>
      <bottom style="thin">
        <color rgb="009BB0C4"/>
      </bottom>
      <diagonal/>
    </border>
    <border>
      <left/>
      <right style="thin">
        <color rgb="009BB0C4"/>
      </right>
      <top style="thin">
        <color rgb="009BB0C4"/>
      </top>
      <bottom style="thin">
        <color rgb="009BB0C4"/>
      </bottom>
      <diagonal/>
    </border>
  </borders>
  <cellStyleXfs count="1">
    <xf numFmtId="0" fontId="0" fillId="0" borderId="0"/>
  </cellStyleXfs>
  <cellXfs count="88">
    <xf numFmtId="0" fontId="0" fillId="0" borderId="0" pivotButton="0" quotePrefix="0" xfId="0"/>
    <xf numFmtId="0" fontId="18" fillId="0" borderId="0" applyAlignment="1" pivotButton="0" quotePrefix="0" xfId="0">
      <alignment vertical="center"/>
    </xf>
    <xf numFmtId="0" fontId="19" fillId="0" borderId="0" applyAlignment="1" pivotButton="0" quotePrefix="0" xfId="0">
      <alignment vertical="center"/>
    </xf>
    <xf numFmtId="0" fontId="4" fillId="5" borderId="2" applyAlignment="1" pivotButton="0" quotePrefix="0" xfId="0">
      <alignment horizontal="center" vertical="center"/>
    </xf>
    <xf numFmtId="0" fontId="20" fillId="0" borderId="0" applyAlignment="1" pivotButton="0" quotePrefix="0" xfId="0">
      <alignment vertical="center"/>
    </xf>
    <xf numFmtId="0" fontId="21" fillId="8" borderId="1" applyAlignment="1" pivotButton="0" quotePrefix="0" xfId="0">
      <alignment horizontal="center" vertical="center"/>
    </xf>
    <xf numFmtId="0" fontId="0" fillId="8" borderId="1" pivotButton="0" quotePrefix="0" xfId="0"/>
    <xf numFmtId="0" fontId="4" fillId="4" borderId="1" applyAlignment="1" pivotButton="0" quotePrefix="0" xfId="0">
      <alignment horizontal="center" vertical="center" wrapText="1"/>
    </xf>
    <xf numFmtId="0" fontId="6" fillId="0" borderId="1" applyAlignment="1" pivotButton="0" quotePrefix="0" xfId="0">
      <alignment horizontal="center" vertical="center"/>
    </xf>
    <xf numFmtId="0" fontId="23" fillId="0" borderId="1" applyAlignment="1" pivotButton="0" quotePrefix="0" xfId="0">
      <alignment vertical="center"/>
    </xf>
    <xf numFmtId="3" fontId="6" fillId="0" borderId="1" applyAlignment="1" pivotButton="0" quotePrefix="0" xfId="0">
      <alignment horizontal="right" vertical="center"/>
    </xf>
    <xf numFmtId="164" fontId="6" fillId="0" borderId="1" applyAlignment="1" pivotButton="0" quotePrefix="0" xfId="0">
      <alignment horizontal="right" vertical="center"/>
    </xf>
    <xf numFmtId="164" fontId="6" fillId="3" borderId="1" applyAlignment="1" pivotButton="0" quotePrefix="0" xfId="0">
      <alignment horizontal="right" vertical="center"/>
    </xf>
    <xf numFmtId="166" fontId="6" fillId="0" borderId="1" applyAlignment="1" pivotButton="0" quotePrefix="0" xfId="0">
      <alignment horizontal="center" vertical="center"/>
    </xf>
    <xf numFmtId="166" fontId="5" fillId="0" borderId="1" applyAlignment="1" pivotButton="0" quotePrefix="0" xfId="0">
      <alignment horizontal="center" vertical="center"/>
    </xf>
    <xf numFmtId="0" fontId="6" fillId="7" borderId="1" applyAlignment="1" pivotButton="0" quotePrefix="0" xfId="0">
      <alignment vertical="center"/>
    </xf>
    <xf numFmtId="0" fontId="13" fillId="7" borderId="1" applyAlignment="1" pivotButton="0" quotePrefix="0" xfId="0">
      <alignment vertical="center"/>
    </xf>
    <xf numFmtId="3" fontId="13" fillId="7" borderId="1" applyAlignment="1" pivotButton="0" quotePrefix="0" xfId="0">
      <alignment horizontal="center" vertical="center"/>
    </xf>
    <xf numFmtId="3" fontId="13" fillId="7" borderId="1" applyAlignment="1" pivotButton="0" quotePrefix="0" xfId="0">
      <alignment horizontal="right" vertical="center"/>
    </xf>
    <xf numFmtId="164" fontId="13" fillId="7" borderId="1" applyAlignment="1" pivotButton="0" quotePrefix="0" xfId="0">
      <alignment horizontal="right" vertical="center"/>
    </xf>
    <xf numFmtId="166" fontId="13" fillId="7" borderId="1" applyAlignment="1" pivotButton="0" quotePrefix="0" xfId="0">
      <alignment horizontal="center" vertical="center"/>
    </xf>
    <xf numFmtId="0" fontId="24" fillId="6" borderId="1" applyAlignment="1" pivotButton="0" quotePrefix="0" xfId="0">
      <alignment horizontal="center" vertical="center"/>
    </xf>
    <xf numFmtId="0" fontId="0" fillId="6" borderId="1" pivotButton="0" quotePrefix="0" xfId="0"/>
    <xf numFmtId="3" fontId="1" fillId="0" borderId="1" applyAlignment="1" pivotButton="0" quotePrefix="0" xfId="0">
      <alignment horizontal="center" vertical="center"/>
    </xf>
    <xf numFmtId="0" fontId="0" fillId="0" borderId="1" pivotButton="0" quotePrefix="0" xfId="0"/>
    <xf numFmtId="164" fontId="1" fillId="0" borderId="1" applyAlignment="1" pivotButton="0" quotePrefix="0" xfId="0">
      <alignment horizontal="center" vertical="center"/>
    </xf>
    <xf numFmtId="166" fontId="1" fillId="0" borderId="1" applyAlignment="1" pivotButton="0" quotePrefix="0" xfId="0">
      <alignment horizontal="center" vertical="center"/>
    </xf>
    <xf numFmtId="0" fontId="25" fillId="0" borderId="0" applyAlignment="1" pivotButton="0" quotePrefix="0" xfId="0">
      <alignment vertical="center"/>
    </xf>
    <xf numFmtId="0" fontId="4" fillId="4"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vertical="center"/>
    </xf>
    <xf numFmtId="165" fontId="6" fillId="0" borderId="1" applyAlignment="1" pivotButton="0" quotePrefix="0" xfId="0">
      <alignment horizontal="right" vertical="center"/>
    </xf>
    <xf numFmtId="167" fontId="6" fillId="0" borderId="1" applyAlignment="1" pivotButton="0" quotePrefix="0" xfId="0">
      <alignment horizontal="right" vertical="center"/>
    </xf>
    <xf numFmtId="0" fontId="3" fillId="2" borderId="1" applyAlignment="1" pivotButton="0" quotePrefix="0" xfId="0">
      <alignment horizontal="center" vertical="center"/>
    </xf>
    <xf numFmtId="0" fontId="6" fillId="2" borderId="1" applyAlignment="1" pivotButton="0" quotePrefix="0" xfId="0">
      <alignment vertical="center"/>
    </xf>
    <xf numFmtId="3" fontId="3" fillId="2" borderId="1" applyAlignment="1" pivotButton="0" quotePrefix="0" xfId="0">
      <alignment horizontal="right" vertical="center"/>
    </xf>
    <xf numFmtId="166" fontId="3" fillId="2" borderId="1" applyAlignment="1" pivotButton="0" quotePrefix="0" xfId="0">
      <alignment horizontal="center" vertical="center"/>
    </xf>
    <xf numFmtId="164" fontId="3" fillId="2" borderId="1" applyAlignment="1" pivotButton="0" quotePrefix="0" xfId="0">
      <alignment horizontal="right" vertical="center"/>
    </xf>
    <xf numFmtId="0" fontId="26" fillId="0" borderId="0" applyAlignment="1" pivotButton="0" quotePrefix="0" xfId="0">
      <alignment vertical="center" wrapText="1"/>
    </xf>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vertical="center"/>
    </xf>
    <xf numFmtId="2" fontId="3" fillId="3" borderId="1" applyAlignment="1" pivotButton="0" quotePrefix="0" xfId="0">
      <alignment horizontal="center" vertical="center"/>
    </xf>
    <xf numFmtId="2" fontId="6" fillId="0" borderId="1" applyAlignment="1" pivotButton="0" quotePrefix="0" xfId="0">
      <alignment horizontal="right" vertical="center"/>
    </xf>
    <xf numFmtId="4" fontId="6" fillId="0" borderId="1" applyAlignment="1" pivotButton="0" quotePrefix="0" xfId="0">
      <alignment horizontal="right" vertical="center"/>
    </xf>
    <xf numFmtId="0" fontId="7" fillId="0" borderId="0" applyAlignment="1" pivotButton="0" quotePrefix="0" xfId="0">
      <alignment vertical="center"/>
    </xf>
    <xf numFmtId="0" fontId="4" fillId="4" borderId="1" applyAlignment="1" pivotButton="0" quotePrefix="0" xfId="0">
      <alignment vertical="center"/>
    </xf>
    <xf numFmtId="0" fontId="8" fillId="4" borderId="1" applyAlignment="1" pivotButton="0" quotePrefix="0" xfId="0">
      <alignment horizontal="center" vertical="center"/>
    </xf>
    <xf numFmtId="0" fontId="5" fillId="2" borderId="1" applyAlignment="1" pivotButton="0" quotePrefix="0" xfId="0">
      <alignment vertical="center"/>
    </xf>
    <xf numFmtId="3" fontId="9" fillId="0" borderId="1" applyAlignment="1" pivotButton="0" quotePrefix="0" xfId="0">
      <alignment horizontal="center" vertical="center"/>
    </xf>
    <xf numFmtId="0" fontId="10" fillId="0" borderId="0" applyAlignment="1" pivotButton="0" quotePrefix="0" xfId="0">
      <alignment vertical="center"/>
    </xf>
    <xf numFmtId="0" fontId="11" fillId="0" borderId="0" applyAlignment="1" pivotButton="0" quotePrefix="0" xfId="0">
      <alignment horizontal="right" vertical="center"/>
    </xf>
    <xf numFmtId="0" fontId="5" fillId="6" borderId="1" applyAlignment="1" pivotButton="0" quotePrefix="0" xfId="0">
      <alignment vertical="center"/>
    </xf>
    <xf numFmtId="0" fontId="5" fillId="3" borderId="1" applyAlignment="1" pivotButton="0" quotePrefix="0" xfId="0">
      <alignment vertical="center"/>
    </xf>
    <xf numFmtId="0" fontId="12" fillId="0" borderId="0" applyAlignment="1" pivotButton="0" quotePrefix="0" xfId="0">
      <alignment vertical="center"/>
    </xf>
    <xf numFmtId="164" fontId="5" fillId="0" borderId="1" applyAlignment="1" pivotButton="0" quotePrefix="0" xfId="0">
      <alignment horizontal="right" vertical="center"/>
    </xf>
    <xf numFmtId="0" fontId="8" fillId="4" borderId="1" applyAlignment="1" pivotButton="0" quotePrefix="0" xfId="0">
      <alignment horizontal="center" vertical="center" wrapText="1"/>
    </xf>
    <xf numFmtId="0" fontId="4" fillId="7" borderId="1" applyAlignment="1" pivotButton="0" quotePrefix="0" xfId="0">
      <alignment horizontal="center" vertical="center"/>
    </xf>
    <xf numFmtId="0" fontId="9" fillId="0" borderId="1" applyAlignment="1" pivotButton="0" quotePrefix="0" xfId="0">
      <alignment horizontal="center" vertical="center"/>
    </xf>
    <xf numFmtId="3" fontId="6" fillId="3" borderId="1" applyAlignment="1" pivotButton="0" quotePrefix="0" xfId="0">
      <alignment horizontal="center" vertical="center"/>
    </xf>
    <xf numFmtId="165" fontId="5" fillId="0" borderId="1" applyAlignment="1" pivotButton="0" quotePrefix="0" xfId="0">
      <alignment horizontal="center" vertical="center"/>
    </xf>
    <xf numFmtId="165" fontId="5" fillId="2" borderId="1" applyAlignment="1" pivotButton="0" quotePrefix="0" xfId="0">
      <alignment horizontal="center" vertical="center"/>
    </xf>
    <xf numFmtId="165" fontId="13" fillId="7" borderId="1" applyAlignment="1" pivotButton="0" quotePrefix="0" xfId="0">
      <alignment horizontal="center" vertical="center"/>
    </xf>
    <xf numFmtId="0" fontId="5" fillId="0" borderId="0" applyAlignment="1" pivotButton="0" quotePrefix="0" xfId="0">
      <alignment horizontal="right" vertical="center"/>
    </xf>
    <xf numFmtId="166" fontId="14" fillId="0" borderId="0" applyAlignment="1" pivotButton="0" quotePrefix="0" xfId="0">
      <alignment horizontal="center" vertical="center"/>
    </xf>
    <xf numFmtId="0" fontId="0" fillId="2" borderId="1" pivotButton="0" quotePrefix="0" xfId="0"/>
    <xf numFmtId="0" fontId="5" fillId="2" borderId="1" applyAlignment="1" pivotButton="0" quotePrefix="0" xfId="0">
      <alignment horizontal="center" vertical="center"/>
    </xf>
    <xf numFmtId="0" fontId="5" fillId="6" borderId="1" applyAlignment="1" pivotButton="0" quotePrefix="0" xfId="0">
      <alignment horizontal="center" vertical="center"/>
    </xf>
    <xf numFmtId="0" fontId="3" fillId="6" borderId="1" applyAlignment="1" pivotButton="0" quotePrefix="0" xfId="0">
      <alignment vertical="center"/>
    </xf>
    <xf numFmtId="164" fontId="15" fillId="3" borderId="1" applyAlignment="1" pivotButton="0" quotePrefix="0" xfId="0">
      <alignment horizontal="right" vertical="center"/>
    </xf>
    <xf numFmtId="0" fontId="5" fillId="8" borderId="1" applyAlignment="1" pivotButton="0" quotePrefix="0" xfId="0">
      <alignment horizontal="center" vertical="center"/>
    </xf>
    <xf numFmtId="0" fontId="5" fillId="2" borderId="1" applyAlignment="1" pivotButton="0" quotePrefix="0" xfId="0">
      <alignment horizontal="center" vertical="center" wrapText="1"/>
    </xf>
    <xf numFmtId="0" fontId="5" fillId="0" borderId="1" applyAlignment="1" pivotButton="0" quotePrefix="0" xfId="0">
      <alignment vertical="center"/>
    </xf>
    <xf numFmtId="0" fontId="0" fillId="3" borderId="1" pivotButton="0" quotePrefix="0" xfId="0"/>
    <xf numFmtId="9" fontId="6" fillId="0" borderId="1" applyAlignment="1" pivotButton="0" quotePrefix="0" xfId="0">
      <alignment horizontal="right" vertical="center"/>
    </xf>
    <xf numFmtId="9" fontId="5" fillId="0" borderId="1" applyAlignment="1" pivotButton="0" quotePrefix="0" xfId="0">
      <alignment horizontal="right" vertical="center"/>
    </xf>
    <xf numFmtId="9" fontId="5" fillId="3" borderId="1" applyAlignment="1" pivotButton="0" quotePrefix="0" xfId="0">
      <alignment horizontal="right" vertical="center"/>
    </xf>
    <xf numFmtId="0" fontId="6" fillId="6" borderId="1" applyAlignment="1" pivotButton="0" quotePrefix="0" xfId="0">
      <alignment vertical="center"/>
    </xf>
    <xf numFmtId="165" fontId="3" fillId="2" borderId="1" applyAlignment="1" pivotButton="0" quotePrefix="0" xfId="0">
      <alignment horizontal="right" vertical="center"/>
    </xf>
    <xf numFmtId="167" fontId="3" fillId="2" borderId="1" applyAlignment="1" pivotButton="0" quotePrefix="0" xfId="0">
      <alignment horizontal="right" vertical="center"/>
    </xf>
    <xf numFmtId="0" fontId="3" fillId="0" borderId="0" applyAlignment="1" pivotButton="0" quotePrefix="0" xfId="0">
      <alignment horizontal="right" vertical="center"/>
    </xf>
    <xf numFmtId="166" fontId="15" fillId="9" borderId="1" applyAlignment="1" pivotButton="0" quotePrefix="0" xfId="0">
      <alignment horizontal="center" vertical="center"/>
    </xf>
    <xf numFmtId="0" fontId="16" fillId="6" borderId="1" applyAlignment="1" pivotButton="0" quotePrefix="0" xfId="0">
      <alignment horizontal="center" vertical="center"/>
    </xf>
    <xf numFmtId="9" fontId="15" fillId="9" borderId="1" applyAlignment="1" pivotButton="0" quotePrefix="0" xfId="0">
      <alignment horizontal="center" vertical="center"/>
    </xf>
    <xf numFmtId="0" fontId="0" fillId="9" borderId="1" pivotButton="0" quotePrefix="0" xfId="0"/>
    <xf numFmtId="0" fontId="6" fillId="3" borderId="1" applyAlignment="1" pivotButton="0" quotePrefix="0" xfId="0">
      <alignment vertical="center"/>
    </xf>
    <xf numFmtId="0" fontId="17" fillId="0" borderId="0" applyAlignment="1" pivotButton="0" quotePrefix="0" xfId="0">
      <alignment vertical="center"/>
    </xf>
    <xf numFmtId="0" fontId="1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Effort by Workstream (hours)</a:t>
            </a:r>
          </a:p>
        </rich>
      </tx>
    </title>
    <plotArea>
      <barChart>
        <barDir val="bar"/>
        <grouping val="clustered"/>
        <ser>
          <idx val="0"/>
          <order val="0"/>
          <tx>
            <strRef>
              <f>'Summary'!D6</f>
            </strRef>
          </tx>
          <spPr>
            <a:ln xmlns:a="http://schemas.openxmlformats.org/drawingml/2006/main">
              <a:prstDash val="solid"/>
            </a:ln>
          </spPr>
          <cat>
            <numRef>
              <f>'Summary'!$B$7:$B$15</f>
            </numRef>
          </cat>
          <val>
            <numRef>
              <f>'Summary'!$D$7:$D$15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25</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atesheet'!A1" TargetMode="External" Id="rId1"/><Relationship Type="http://schemas.openxmlformats.org/officeDocument/2006/relationships/hyperlink" Target="#'1. CCM'!A1" TargetMode="External" Id="rId2"/><Relationship Type="http://schemas.openxmlformats.org/officeDocument/2006/relationships/hyperlink" Target="#'2. Pre-Audit Checks'!A1" TargetMode="External" Id="rId3"/><Relationship Type="http://schemas.openxmlformats.org/officeDocument/2006/relationships/hyperlink" Target="#'3. VKYC Audit'!A1" TargetMode="External" Id="rId4"/><Relationship Type="http://schemas.openxmlformats.org/officeDocument/2006/relationships/hyperlink" Target="#'4. KYC Audit'!A1" TargetMode="External" Id="rId5"/><Relationship Type="http://schemas.openxmlformats.org/officeDocument/2006/relationships/hyperlink" Target="#'5. Checklist Automation'!A1" TargetMode="External" Id="rId6"/><Relationship Type="http://schemas.openxmlformats.org/officeDocument/2006/relationships/hyperlink" Target="#'6. Data Analytics'!A1" TargetMode="External" Id="rId7"/><Relationship Type="http://schemas.openxmlformats.org/officeDocument/2006/relationships/hyperlink" Target="#'7. ALCM'!A1" TargetMode="External" Id="rId8"/><Relationship Type="http://schemas.openxmlformats.org/officeDocument/2006/relationships/hyperlink" Target="#'8. Agentic AI'!A1" TargetMode="External" Id="rId9"/><Relationship Type="http://schemas.openxmlformats.org/officeDocument/2006/relationships/hyperlink" Target="#'9. ChatBot'!A1" TargetMode="External" Id="rId10"/><Relationship Type="http://schemas.openxmlformats.org/officeDocument/2006/relationships/drawing" Target="/xl/drawings/drawing1.xml" Id="rId11"/></Relationships>
</file>

<file path=xl/worksheets/_rels/sheet2.xml.rels><Relationships xmlns="http://schemas.openxmlformats.org/package/2006/relationships"><Relationship Type="http://schemas.openxmlformats.org/officeDocument/2006/relationships/hyperlink" Target="#'Summary'!A1" TargetMode="External" Id="rId1"/></Relationships>
</file>

<file path=xl/worksheets/_rels/sheet3.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4.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5.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6.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7.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8.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9.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10.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_rels/sheet11.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Ratesheet'!A1" TargetMode="External" Id="rId2"/></Relationships>
</file>

<file path=xl/worksheets/sheet1.xml><?xml version="1.0" encoding="utf-8"?>
<worksheet xmlns="http://schemas.openxmlformats.org/spreadsheetml/2006/main" xmlns:ns1="http://schemas.openxmlformats.org/officeDocument/2006/relationships">
  <sheetPr>
    <tabColor rgb="0010385A"/>
    <outlinePr summaryBelow="1" summaryRight="1"/>
    <pageSetUpPr/>
  </sheetPr>
  <dimension ref="A1:M61"/>
  <sheetViews>
    <sheetView showGridLines="0" workbookViewId="0">
      <pane ySplit="6" topLeftCell="A7" activePane="bottomLeft" state="frozen"/>
      <selection pane="bottomLeft" activeCell="A1" sqref="A1"/>
    </sheetView>
  </sheetViews>
  <sheetFormatPr baseColWidth="8" defaultRowHeight="15"/>
  <cols>
    <col width="5" customWidth="1" min="1" max="1"/>
    <col width="46" customWidth="1" min="2" max="2"/>
    <col width="8" customWidth="1" min="3" max="3"/>
    <col width="10" customWidth="1" min="4" max="4"/>
    <col width="10" customWidth="1" min="5" max="5"/>
    <col width="16" customWidth="1" min="6" max="6"/>
    <col width="16" customWidth="1" min="7" max="7"/>
    <col width="10" customWidth="1" min="8" max="8"/>
    <col width="15" customWidth="1" min="9" max="9"/>
    <col width="13" customWidth="1" min="10" max="10"/>
    <col width="15" customWidth="1" min="11" max="11"/>
    <col width="15" customWidth="1" min="12" max="12"/>
    <col width="11" customWidth="1" min="13" max="13"/>
  </cols>
  <sheetData>
    <row r="1">
      <c r="A1" s="1" t="inlineStr">
        <is>
          <t>YES BANK  |  AI Powered Audit Intelligence System</t>
        </is>
      </c>
    </row>
    <row r="2">
      <c r="A2" s="2" t="inlineStr">
        <is>
          <t>Programme Effort Estimate &amp; Commercial Summary  -  Protiviti India (R&amp;C)</t>
        </is>
      </c>
      <c r="M2" s="3" t="inlineStr">
        <is>
          <t>Ratesheet</t>
        </is>
      </c>
    </row>
    <row r="3">
      <c r="A3" s="4" t="inlineStr">
        <is>
          <t>Basis: RFI ver 1.2 dated 14/08/2026  |  Rates: India - R&amp;C card @ 1 USD = INR 80.5  |  Fixed Fee (Inclusive of Outlays)</t>
        </is>
      </c>
    </row>
    <row r="4">
      <c r="A4" s="5" t="inlineStr">
        <is>
          <t>DOMESTIC PRICING BASIS  -  effort halved uniformly across every activity line (all 9 workstreams, all 207 tasks, all grades) against the initial estimate. Recovery % and contribution margin are unchanged.</t>
        </is>
      </c>
      <c r="B4" s="6" t="n"/>
      <c r="C4" s="6" t="n"/>
      <c r="D4" s="6" t="n"/>
      <c r="E4" s="6" t="n"/>
      <c r="F4" s="6" t="n"/>
      <c r="G4" s="6" t="n"/>
      <c r="H4" s="6" t="n"/>
      <c r="I4" s="6" t="n"/>
      <c r="J4" s="6" t="n"/>
      <c r="K4" s="6" t="n"/>
      <c r="L4" s="6" t="n"/>
      <c r="M4" s="6" t="n"/>
    </row>
    <row r="6" ht="32" customHeight="1">
      <c r="A6" s="7" t="inlineStr">
        <is>
          <t>#</t>
        </is>
      </c>
      <c r="B6" s="7" t="inlineStr">
        <is>
          <t>Workstream</t>
        </is>
      </c>
      <c r="C6" s="7" t="inlineStr">
        <is>
          <t>Tasks</t>
        </is>
      </c>
      <c r="D6" s="7" t="inlineStr">
        <is>
          <t>Hours</t>
        </is>
      </c>
      <c r="E6" s="7" t="inlineStr">
        <is>
          <t>Person-
Days</t>
        </is>
      </c>
      <c r="F6" s="7" t="inlineStr">
        <is>
          <t>Standard Fee
(INR)</t>
        </is>
      </c>
      <c r="G6" s="7" t="inlineStr">
        <is>
          <t>Proposed Fee
(INR)</t>
        </is>
      </c>
      <c r="H6" s="7" t="inlineStr">
        <is>
          <t>Recovery
%</t>
        </is>
      </c>
      <c r="I6" s="7" t="inlineStr">
        <is>
          <t>Staff Cost
(INR)</t>
        </is>
      </c>
      <c r="J6" s="7" t="inlineStr">
        <is>
          <t>Mgmt Fee
5% (INR)</t>
        </is>
      </c>
      <c r="K6" s="7" t="inlineStr">
        <is>
          <t>Direct Cost
(INR)</t>
        </is>
      </c>
      <c r="L6" s="7" t="inlineStr">
        <is>
          <t>Contribution
(INR)</t>
        </is>
      </c>
      <c r="M6" s="7" t="inlineStr">
        <is>
          <t>Net CM
%</t>
        </is>
      </c>
    </row>
    <row r="7">
      <c r="A7" s="8" t="n">
        <v>1</v>
      </c>
      <c r="B7" s="9" t="inlineStr">
        <is>
          <t>Continuous Control Monitoring (CCM)</t>
        </is>
      </c>
      <c r="C7" s="8" t="n">
        <v>23</v>
      </c>
      <c r="D7" s="10">
        <f>'1. CCM'!V31</f>
        <v>2499</v>
      </c>
      <c r="E7" s="10">
        <f>D7/8</f>
        <v>312.375</v>
      </c>
      <c r="F7" s="11">
        <f>'1. CCM'!$AB$5</f>
        <v>16708220</v>
      </c>
      <c r="G7" s="12">
        <f>'1. CCM'!G39</f>
        <v>6000000</v>
      </c>
      <c r="H7" s="13">
        <f>IFERROR(G7/F7,0)</f>
        <v>0.3591046802112972</v>
      </c>
      <c r="I7" s="11">
        <f>'1. CCM'!$AB$6</f>
        <v>4297200</v>
      </c>
      <c r="J7" s="11">
        <f>G7*5%</f>
        <v>300000</v>
      </c>
      <c r="K7" s="11">
        <f>I7+J7</f>
        <v>4597200</v>
      </c>
      <c r="L7" s="11">
        <f>G7-K7</f>
        <v>1402800</v>
      </c>
      <c r="M7" s="14">
        <f>IFERROR(L7/G7,0)</f>
        <v>0.2338</v>
      </c>
    </row>
    <row r="8">
      <c r="A8" s="8" t="n">
        <v>2</v>
      </c>
      <c r="B8" s="9" t="inlineStr">
        <is>
          <t>Pre-Audit Checks Automation</t>
        </is>
      </c>
      <c r="C8" s="8" t="n">
        <v>22</v>
      </c>
      <c r="D8" s="10">
        <f>'2. Pre-Audit Checks'!V30</f>
        <v>2185</v>
      </c>
      <c r="E8" s="10">
        <f>D8/8</f>
        <v>273.125</v>
      </c>
      <c r="F8" s="11">
        <f>'2. Pre-Audit Checks'!$AB$5</f>
        <v>14252160</v>
      </c>
      <c r="G8" s="12">
        <f>'2. Pre-Audit Checks'!G38</f>
        <v>5000000</v>
      </c>
      <c r="H8" s="13">
        <f>IFERROR(G8/F8,0)</f>
        <v>0.35082401544748304</v>
      </c>
      <c r="I8" s="11">
        <f>'2. Pre-Audit Checks'!$AB$6</f>
        <v>3627768</v>
      </c>
      <c r="J8" s="11">
        <f>G8*5%</f>
        <v>250000</v>
      </c>
      <c r="K8" s="11">
        <f>I8+J8</f>
        <v>3877768</v>
      </c>
      <c r="L8" s="11">
        <f>G8-K8</f>
        <v>1122232</v>
      </c>
      <c r="M8" s="14">
        <f>IFERROR(L8/G8,0)</f>
        <v>0.2244464</v>
      </c>
    </row>
    <row r="9">
      <c r="A9" s="8" t="n">
        <v>3</v>
      </c>
      <c r="B9" s="9" t="inlineStr">
        <is>
          <t>VKYC Audit Automation</t>
        </is>
      </c>
      <c r="C9" s="8" t="n">
        <v>20</v>
      </c>
      <c r="D9" s="10">
        <f>'3. VKYC Audit'!V28</f>
        <v>1625</v>
      </c>
      <c r="E9" s="10">
        <f>D9/8</f>
        <v>203.125</v>
      </c>
      <c r="F9" s="11">
        <f>'3. VKYC Audit'!$AB$5</f>
        <v>10865330</v>
      </c>
      <c r="G9" s="12">
        <f>'3. VKYC Audit'!G36</f>
        <v>4250000</v>
      </c>
      <c r="H9" s="13">
        <f>IFERROR(G9/F9,0)</f>
        <v>0.39115240862449646</v>
      </c>
      <c r="I9" s="11">
        <f>'3. VKYC Audit'!$AB$6</f>
        <v>2780592</v>
      </c>
      <c r="J9" s="11">
        <f>G9*5%</f>
        <v>212500</v>
      </c>
      <c r="K9" s="11">
        <f>I9+J9</f>
        <v>2993092</v>
      </c>
      <c r="L9" s="11">
        <f>G9-K9</f>
        <v>1256908</v>
      </c>
      <c r="M9" s="14">
        <f>IFERROR(L9/G9,0)</f>
        <v>0.2957430588235294</v>
      </c>
    </row>
    <row r="10">
      <c r="A10" s="8" t="n">
        <v>4</v>
      </c>
      <c r="B10" s="9" t="inlineStr">
        <is>
          <t>KYC Audit Automation</t>
        </is>
      </c>
      <c r="C10" s="8" t="n">
        <v>25</v>
      </c>
      <c r="D10" s="10">
        <f>'4. KYC Audit'!V33</f>
        <v>2333</v>
      </c>
      <c r="E10" s="10">
        <f>D10/8</f>
        <v>291.625</v>
      </c>
      <c r="F10" s="11">
        <f>'4. KYC Audit'!$AB$5</f>
        <v>14999420</v>
      </c>
      <c r="G10" s="12">
        <f>'4. KYC Audit'!G41</f>
        <v>5500000</v>
      </c>
      <c r="H10" s="13">
        <f>IFERROR(G10/F10,0)</f>
        <v>0.36668084499267306</v>
      </c>
      <c r="I10" s="11">
        <f>'4. KYC Audit'!$AB$6</f>
        <v>3796320</v>
      </c>
      <c r="J10" s="11">
        <f>G10*5%</f>
        <v>275000</v>
      </c>
      <c r="K10" s="11">
        <f>I10+J10</f>
        <v>4071320</v>
      </c>
      <c r="L10" s="11">
        <f>G10-K10</f>
        <v>1428680</v>
      </c>
      <c r="M10" s="14">
        <f>IFERROR(L10/G10,0)</f>
        <v>0.25976</v>
      </c>
    </row>
    <row r="11">
      <c r="A11" s="8" t="n">
        <v>5</v>
      </c>
      <c r="B11" s="9" t="inlineStr">
        <is>
          <t>Audit Checklist Automation</t>
        </is>
      </c>
      <c r="C11" s="8" t="n">
        <v>20</v>
      </c>
      <c r="D11" s="10">
        <f>'5. Checklist Automation'!V28</f>
        <v>1287</v>
      </c>
      <c r="E11" s="10">
        <f>D11/8</f>
        <v>160.875</v>
      </c>
      <c r="F11" s="11">
        <f>'5. Checklist Automation'!$AB$5</f>
        <v>8438810</v>
      </c>
      <c r="G11" s="12">
        <f>'5. Checklist Automation'!G36</f>
        <v>3250000</v>
      </c>
      <c r="H11" s="13">
        <f>IFERROR(G11/F11,0)</f>
        <v>0.38512539090227177</v>
      </c>
      <c r="I11" s="11">
        <f>'5. Checklist Automation'!$AB$6</f>
        <v>2152848</v>
      </c>
      <c r="J11" s="11">
        <f>G11*5%</f>
        <v>162500</v>
      </c>
      <c r="K11" s="11">
        <f>I11+J11</f>
        <v>2315348</v>
      </c>
      <c r="L11" s="11">
        <f>G11-K11</f>
        <v>934652</v>
      </c>
      <c r="M11" s="14">
        <f>IFERROR(L11/G11,0)</f>
        <v>0.28758523076923076</v>
      </c>
    </row>
    <row r="12">
      <c r="A12" s="8" t="n">
        <v>6</v>
      </c>
      <c r="B12" s="9" t="inlineStr">
        <is>
          <t>Data Analytics for Internal Audit (AI/ML)</t>
        </is>
      </c>
      <c r="C12" s="8" t="n">
        <v>26</v>
      </c>
      <c r="D12" s="10">
        <f>'6. Data Analytics'!V34</f>
        <v>2542</v>
      </c>
      <c r="E12" s="10">
        <f>D12/8</f>
        <v>317.75</v>
      </c>
      <c r="F12" s="11">
        <f>'6. Data Analytics'!$AB$5</f>
        <v>16830130</v>
      </c>
      <c r="G12" s="12">
        <f>'6. Data Analytics'!G42</f>
        <v>6750000</v>
      </c>
      <c r="H12" s="13">
        <f>IFERROR(G12/F12,0)</f>
        <v>0.4010664207584849</v>
      </c>
      <c r="I12" s="11">
        <f>'6. Data Analytics'!$AB$6</f>
        <v>4322544</v>
      </c>
      <c r="J12" s="11">
        <f>G12*5%</f>
        <v>337500</v>
      </c>
      <c r="K12" s="11">
        <f>I12+J12</f>
        <v>4660044</v>
      </c>
      <c r="L12" s="11">
        <f>G12-K12</f>
        <v>2089956</v>
      </c>
      <c r="M12" s="14">
        <f>IFERROR(L12/G12,0)</f>
        <v>0.3096231111111111</v>
      </c>
    </row>
    <row r="13">
      <c r="A13" s="8" t="n">
        <v>7</v>
      </c>
      <c r="B13" s="9" t="inlineStr">
        <is>
          <t>Audit Life Cycle Management (ALCM)</t>
        </is>
      </c>
      <c r="C13" s="8" t="n">
        <v>23</v>
      </c>
      <c r="D13" s="10">
        <f>'7. ALCM'!V31</f>
        <v>2133</v>
      </c>
      <c r="E13" s="10">
        <f>D13/8</f>
        <v>266.625</v>
      </c>
      <c r="F13" s="11">
        <f>'7. ALCM'!$AB$5</f>
        <v>13756660</v>
      </c>
      <c r="G13" s="12">
        <f>'7. ALCM'!G39</f>
        <v>4750000</v>
      </c>
      <c r="H13" s="13">
        <f>IFERROR(G13/F13,0)</f>
        <v>0.3452873008419195</v>
      </c>
      <c r="I13" s="11">
        <f>'7. ALCM'!$AB$6</f>
        <v>3493176</v>
      </c>
      <c r="J13" s="11">
        <f>G13*5%</f>
        <v>237500</v>
      </c>
      <c r="K13" s="11">
        <f>I13+J13</f>
        <v>3730676</v>
      </c>
      <c r="L13" s="11">
        <f>G13-K13</f>
        <v>1019324</v>
      </c>
      <c r="M13" s="14">
        <f>IFERROR(L13/G13,0)</f>
        <v>0.21459452631578949</v>
      </c>
    </row>
    <row r="14">
      <c r="A14" s="8" t="n">
        <v>8</v>
      </c>
      <c r="B14" s="9" t="inlineStr">
        <is>
          <t>Agentic AI for Audit Functions</t>
        </is>
      </c>
      <c r="C14" s="8" t="n">
        <v>28</v>
      </c>
      <c r="D14" s="10">
        <f>'8. Agentic AI'!V36</f>
        <v>3168</v>
      </c>
      <c r="E14" s="10">
        <f>D14/8</f>
        <v>396</v>
      </c>
      <c r="F14" s="11">
        <f>'8. Agentic AI'!$AB$5</f>
        <v>21105589.999999996</v>
      </c>
      <c r="G14" s="12">
        <f>'8. Agentic AI'!G44</f>
        <v>8750000</v>
      </c>
      <c r="H14" s="13">
        <f>IFERROR(G14/F14,0)</f>
        <v>0.4145821083419133</v>
      </c>
      <c r="I14" s="11">
        <f>'8. Agentic AI'!$AB$6</f>
        <v>5428344</v>
      </c>
      <c r="J14" s="11">
        <f>G14*5%</f>
        <v>437500</v>
      </c>
      <c r="K14" s="11">
        <f>I14+J14</f>
        <v>5865844</v>
      </c>
      <c r="L14" s="11">
        <f>G14-K14</f>
        <v>2884156</v>
      </c>
      <c r="M14" s="14">
        <f>IFERROR(L14/G14,0)</f>
        <v>0.3296178285714286</v>
      </c>
    </row>
    <row r="15">
      <c r="A15" s="8" t="n">
        <v>9</v>
      </c>
      <c r="B15" s="9" t="inlineStr">
        <is>
          <t>ChatBot for Policies, SOPs &amp; Document Retrieval</t>
        </is>
      </c>
      <c r="C15" s="8" t="n">
        <v>20</v>
      </c>
      <c r="D15" s="10">
        <f>'9. ChatBot'!V28</f>
        <v>1319</v>
      </c>
      <c r="E15" s="10">
        <f>D15/8</f>
        <v>164.875</v>
      </c>
      <c r="F15" s="11">
        <f>'9. ChatBot'!$AB$5</f>
        <v>8575590</v>
      </c>
      <c r="G15" s="12">
        <f>'9. ChatBot'!G36</f>
        <v>3250000</v>
      </c>
      <c r="H15" s="13">
        <f>IFERROR(G15/F15,0)</f>
        <v>0.37898267058010005</v>
      </c>
      <c r="I15" s="11">
        <f>'9. ChatBot'!$AB$6</f>
        <v>2198736</v>
      </c>
      <c r="J15" s="11">
        <f>G15*5%</f>
        <v>162500</v>
      </c>
      <c r="K15" s="11">
        <f>I15+J15</f>
        <v>2361236</v>
      </c>
      <c r="L15" s="11">
        <f>G15-K15</f>
        <v>888764</v>
      </c>
      <c r="M15" s="14">
        <f>IFERROR(L15/G15,0)</f>
        <v>0.27346584615384617</v>
      </c>
    </row>
    <row r="16">
      <c r="A16" s="15" t="n"/>
      <c r="B16" s="16" t="inlineStr">
        <is>
          <t>PROGRAMME TOTAL</t>
        </is>
      </c>
      <c r="C16" s="17">
        <f>SUM(C7:C15)</f>
        <v>207</v>
      </c>
      <c r="D16" s="18">
        <f>SUM(D7:D15)</f>
        <v>19091</v>
      </c>
      <c r="E16" s="18">
        <f>SUM(E7:E15)</f>
        <v>2386.375</v>
      </c>
      <c r="F16" s="19">
        <f>SUM(F7:F15)</f>
        <v>125531910</v>
      </c>
      <c r="G16" s="19">
        <f>SUM(G7:G15)</f>
        <v>47500000</v>
      </c>
      <c r="H16" s="20">
        <f>IFERROR(G16/F16,0)</f>
        <v>0.37838984525926517</v>
      </c>
      <c r="I16" s="19">
        <f>SUM(I7:I15)</f>
        <v>32097528</v>
      </c>
      <c r="J16" s="19">
        <f>SUM(J7:J15)</f>
        <v>2375000</v>
      </c>
      <c r="K16" s="19">
        <f>SUM(K7:K15)</f>
        <v>34472528</v>
      </c>
      <c r="L16" s="19">
        <f>SUM(L7:L15)</f>
        <v>13027472</v>
      </c>
      <c r="M16" s="20">
        <f>IFERROR(L16/G16,0)</f>
        <v>0.2742625684210526</v>
      </c>
    </row>
    <row r="18">
      <c r="A18" s="21" t="inlineStr">
        <is>
          <t>TOTAL EFFORT (HOURS)</t>
        </is>
      </c>
      <c r="B18" s="22" t="n"/>
      <c r="C18" s="22" t="n"/>
      <c r="D18" s="21" t="inlineStr">
        <is>
          <t>PERSON-DAYS (8H)</t>
        </is>
      </c>
      <c r="E18" s="22" t="n"/>
      <c r="F18" s="22" t="n"/>
      <c r="G18" s="21" t="inlineStr">
        <is>
          <t>STANDARD FEE (INR)</t>
        </is>
      </c>
      <c r="H18" s="22" t="n"/>
      <c r="I18" s="22" t="n"/>
      <c r="J18" s="21" t="inlineStr">
        <is>
          <t>PROPOSED FEE (INR)</t>
        </is>
      </c>
      <c r="K18" s="22" t="n"/>
      <c r="L18" s="22" t="n"/>
    </row>
    <row r="19">
      <c r="A19" s="23">
        <f>D16</f>
        <v>19091</v>
      </c>
      <c r="B19" s="24" t="n"/>
      <c r="C19" s="24" t="n"/>
      <c r="D19" s="23">
        <f>E16</f>
        <v>2386.375</v>
      </c>
      <c r="E19" s="24" t="n"/>
      <c r="F19" s="24" t="n"/>
      <c r="G19" s="25">
        <f>F16</f>
        <v>125531910</v>
      </c>
      <c r="H19" s="24" t="n"/>
      <c r="I19" s="24" t="n"/>
      <c r="J19" s="25">
        <f>G16</f>
        <v>47500000</v>
      </c>
      <c r="K19" s="24" t="n"/>
      <c r="L19" s="24" t="n"/>
    </row>
    <row r="21">
      <c r="A21" s="21" t="inlineStr">
        <is>
          <t>BUDGETED RECOVERY %</t>
        </is>
      </c>
      <c r="B21" s="22" t="n"/>
      <c r="C21" s="22" t="n"/>
      <c r="D21" s="21" t="inlineStr">
        <is>
          <t>NET CONTRIBUTION MARGIN %</t>
        </is>
      </c>
      <c r="E21" s="22" t="n"/>
      <c r="F21" s="22" t="n"/>
      <c r="G21" s="21" t="inlineStr">
        <is>
          <t>NET REVENUE / HOUR (INR)</t>
        </is>
      </c>
      <c r="H21" s="22" t="n"/>
      <c r="I21" s="22" t="n"/>
      <c r="J21" s="21" t="inlineStr">
        <is>
          <t>BLENDED COST / HOUR (INR)</t>
        </is>
      </c>
      <c r="K21" s="22" t="n"/>
      <c r="L21" s="22" t="n"/>
    </row>
    <row r="22">
      <c r="A22" s="26">
        <f>H16</f>
        <v>0.37838984525926517</v>
      </c>
      <c r="B22" s="24" t="n"/>
      <c r="C22" s="24" t="n"/>
      <c r="D22" s="26">
        <f>M16</f>
        <v>0.2742625684210526</v>
      </c>
      <c r="E22" s="24" t="n"/>
      <c r="F22" s="24" t="n"/>
      <c r="G22" s="23">
        <f>IFERROR(G16/D16,0)</f>
        <v>2488.083390079095</v>
      </c>
      <c r="H22" s="24" t="n"/>
      <c r="I22" s="24" t="n"/>
      <c r="J22" s="23">
        <f>IFERROR(I16/D16,0)</f>
        <v>1681.2910795662879</v>
      </c>
      <c r="K22" s="24" t="n"/>
      <c r="L22" s="24" t="n"/>
    </row>
    <row r="25">
      <c r="A25" s="27" t="inlineStr">
        <is>
          <t>PROGRAMME GRADE MIX</t>
        </is>
      </c>
    </row>
    <row r="26">
      <c r="A26" s="28" t="inlineStr">
        <is>
          <t>Grade</t>
        </is>
      </c>
      <c r="B26" s="28" t="inlineStr">
        <is>
          <t>Designation</t>
        </is>
      </c>
      <c r="C26" s="28" t="inlineStr">
        <is>
          <t>Hours</t>
        </is>
      </c>
      <c r="D26" s="28" t="inlineStr">
        <is>
          <t>Mix %</t>
        </is>
      </c>
      <c r="E26" s="28" t="inlineStr">
        <is>
          <t>Cost (INR)</t>
        </is>
      </c>
    </row>
    <row r="27">
      <c r="A27" s="29" t="inlineStr">
        <is>
          <t>MD</t>
        </is>
      </c>
      <c r="B27" s="30" t="inlineStr">
        <is>
          <t>Managing Director</t>
        </is>
      </c>
      <c r="C27" s="31">
        <f>'1. CCM'!J31+'2. Pre-Audit Checks'!J30+'3. VKYC Audit'!J28+'4. KYC Audit'!J33+'5. Checklist Automation'!J28+'6. Data Analytics'!J34+'7. ALCM'!J31+'8. Agentic AI'!J36+'9. ChatBot'!J28</f>
        <v>43</v>
      </c>
      <c r="D27" s="13">
        <f>IFERROR(C27/$C$39,0)</f>
        <v>0.0022523702268084436</v>
      </c>
      <c r="E27" s="32">
        <f>C27*Ratesheet!$F$7</f>
        <v>928799.9999999999</v>
      </c>
    </row>
    <row r="28">
      <c r="A28" s="29" t="inlineStr">
        <is>
          <t>SD</t>
        </is>
      </c>
      <c r="B28" s="30" t="inlineStr">
        <is>
          <t>Senior Director</t>
        </is>
      </c>
      <c r="C28" s="31">
        <f>'1. CCM'!K31+'2. Pre-Audit Checks'!K30+'3. VKYC Audit'!K28+'4. KYC Audit'!K33+'5. Checklist Automation'!K28+'6. Data Analytics'!K34+'7. ALCM'!K31+'8. Agentic AI'!K36+'9. ChatBot'!K28</f>
        <v>0</v>
      </c>
      <c r="D28" s="13">
        <f>IFERROR(C28/$C$39,0)</f>
        <v>0</v>
      </c>
      <c r="E28" s="32">
        <f>C28*Ratesheet!$F$8</f>
        <v>0</v>
      </c>
    </row>
    <row r="29">
      <c r="A29" s="29" t="inlineStr">
        <is>
          <t>DIR</t>
        </is>
      </c>
      <c r="B29" s="30" t="inlineStr">
        <is>
          <t>Director</t>
        </is>
      </c>
      <c r="C29" s="31">
        <f>'1. CCM'!L31+'2. Pre-Audit Checks'!L30+'3. VKYC Audit'!L28+'4. KYC Audit'!L33+'5. Checklist Automation'!L28+'6. Data Analytics'!L34+'7. ALCM'!L31+'8. Agentic AI'!L36+'9. ChatBot'!L28</f>
        <v>452</v>
      </c>
      <c r="D29" s="13">
        <f>IFERROR(C29/$C$39,0)</f>
        <v>0.023676077732963176</v>
      </c>
      <c r="E29" s="32">
        <f>C29*Ratesheet!$F$9</f>
        <v>4339200</v>
      </c>
    </row>
    <row r="30">
      <c r="A30" s="29" t="inlineStr">
        <is>
          <t>AD</t>
        </is>
      </c>
      <c r="B30" s="30" t="inlineStr">
        <is>
          <t>Associate Director</t>
        </is>
      </c>
      <c r="C30" s="31">
        <f>'1. CCM'!M31+'2. Pre-Audit Checks'!M30+'3. VKYC Audit'!M28+'4. KYC Audit'!M33+'5. Checklist Automation'!M28+'6. Data Analytics'!M34+'7. ALCM'!M31+'8. Agentic AI'!M36+'9. ChatBot'!M28</f>
        <v>1330</v>
      </c>
      <c r="D30" s="13">
        <f>IFERROR(C30/$C$39,0)</f>
        <v>0.06966633492221466</v>
      </c>
      <c r="E30" s="32">
        <f>C30*Ratesheet!$F$10</f>
        <v>7341600</v>
      </c>
    </row>
    <row r="31">
      <c r="A31" s="29" t="inlineStr">
        <is>
          <t>SR. MGR</t>
        </is>
      </c>
      <c r="B31" s="30" t="inlineStr">
        <is>
          <t>Senior Manager</t>
        </is>
      </c>
      <c r="C31" s="31">
        <f>'1. CCM'!N31+'2. Pre-Audit Checks'!N30+'3. VKYC Audit'!N28+'4. KYC Audit'!N33+'5. Checklist Automation'!N28+'6. Data Analytics'!N34+'7. ALCM'!N31+'8. Agentic AI'!N36+'9. ChatBot'!N28</f>
        <v>890</v>
      </c>
      <c r="D31" s="13">
        <f>IFERROR(C31/$C$39,0)</f>
        <v>0.046618825624639884</v>
      </c>
      <c r="E31" s="32">
        <f>C31*Ratesheet!$F$11</f>
        <v>3310800</v>
      </c>
    </row>
    <row r="32">
      <c r="A32" s="29" t="inlineStr">
        <is>
          <t>MGR</t>
        </is>
      </c>
      <c r="B32" s="30" t="inlineStr">
        <is>
          <t>Manager</t>
        </is>
      </c>
      <c r="C32" s="31">
        <f>'1. CCM'!O31+'2. Pre-Audit Checks'!O30+'3. VKYC Audit'!O28+'4. KYC Audit'!O33+'5. Checklist Automation'!O28+'6. Data Analytics'!O34+'7. ALCM'!O31+'8. Agentic AI'!O36+'9. ChatBot'!O28</f>
        <v>0</v>
      </c>
      <c r="D32" s="13">
        <f>IFERROR(C32/$C$39,0)</f>
        <v>0</v>
      </c>
      <c r="E32" s="32">
        <f>C32*Ratesheet!$F$12</f>
        <v>0</v>
      </c>
    </row>
    <row r="33">
      <c r="A33" s="29" t="inlineStr">
        <is>
          <t>DM</t>
        </is>
      </c>
      <c r="B33" s="30" t="inlineStr">
        <is>
          <t>Deputy Manager</t>
        </is>
      </c>
      <c r="C33" s="31">
        <f>'1. CCM'!P31+'2. Pre-Audit Checks'!P30+'3. VKYC Audit'!P28+'4. KYC Audit'!P33+'5. Checklist Automation'!P28+'6. Data Analytics'!P34+'7. ALCM'!P31+'8. Agentic AI'!P36+'9. ChatBot'!P28</f>
        <v>2836</v>
      </c>
      <c r="D33" s="13">
        <f>IFERROR(C33/$C$39,0)</f>
        <v>0.14855167356345922</v>
      </c>
      <c r="E33" s="32">
        <f>C33*Ratesheet!$F$13</f>
        <v>4594320</v>
      </c>
    </row>
    <row r="34">
      <c r="A34" s="29" t="inlineStr">
        <is>
          <t>SR. CONS.</t>
        </is>
      </c>
      <c r="B34" s="30" t="inlineStr">
        <is>
          <t>Senior Consultant</t>
        </is>
      </c>
      <c r="C34" s="31">
        <f>'1. CCM'!Q31+'2. Pre-Audit Checks'!Q30+'3. VKYC Audit'!Q28+'4. KYC Audit'!Q33+'5. Checklist Automation'!Q28+'6. Data Analytics'!Q34+'7. ALCM'!Q31+'8. Agentic AI'!Q36+'9. ChatBot'!Q28</f>
        <v>3636</v>
      </c>
      <c r="D34" s="13">
        <f>IFERROR(C34/$C$39,0)</f>
        <v>0.1904562359226861</v>
      </c>
      <c r="E34" s="32">
        <f>C34*Ratesheet!$F$14</f>
        <v>4035960</v>
      </c>
    </row>
    <row r="35">
      <c r="A35" s="29" t="inlineStr">
        <is>
          <t>CON3</t>
        </is>
      </c>
      <c r="B35" s="30" t="inlineStr">
        <is>
          <t>Consultant 3</t>
        </is>
      </c>
      <c r="C35" s="31">
        <f>'1. CCM'!R31+'2. Pre-Audit Checks'!R30+'3. VKYC Audit'!R28+'4. KYC Audit'!R33+'5. Checklist Automation'!R28+'6. Data Analytics'!R34+'7. ALCM'!R31+'8. Agentic AI'!R36+'9. ChatBot'!R28</f>
        <v>4952</v>
      </c>
      <c r="D35" s="13">
        <f>IFERROR(C35/$C$39,0)</f>
        <v>0.25938924100361427</v>
      </c>
      <c r="E35" s="32">
        <f>C35*Ratesheet!$F$15</f>
        <v>4278528</v>
      </c>
    </row>
    <row r="36">
      <c r="A36" s="29" t="inlineStr">
        <is>
          <t>CON2</t>
        </is>
      </c>
      <c r="B36" s="30" t="inlineStr">
        <is>
          <t>Consultant 2</t>
        </is>
      </c>
      <c r="C36" s="31">
        <f>'1. CCM'!S31+'2. Pre-Audit Checks'!S30+'3. VKYC Audit'!S28+'4. KYC Audit'!S33+'5. Checklist Automation'!S28+'6. Data Analytics'!S34+'7. ALCM'!S31+'8. Agentic AI'!S36+'9. ChatBot'!S28</f>
        <v>4952</v>
      </c>
      <c r="D36" s="13">
        <f>IFERROR(C36/$C$39,0)</f>
        <v>0.25938924100361427</v>
      </c>
      <c r="E36" s="32">
        <f>C36*Ratesheet!$F$16</f>
        <v>3268320</v>
      </c>
    </row>
    <row r="37">
      <c r="A37" s="29" t="inlineStr">
        <is>
          <t>CON1</t>
        </is>
      </c>
      <c r="B37" s="30" t="inlineStr">
        <is>
          <t>Consultant 1</t>
        </is>
      </c>
      <c r="C37" s="31">
        <f>'1. CCM'!T31+'2. Pre-Audit Checks'!T30+'3. VKYC Audit'!T28+'4. KYC Audit'!T33+'5. Checklist Automation'!T28+'6. Data Analytics'!T34+'7. ALCM'!T31+'8. Agentic AI'!T36+'9. ChatBot'!T28</f>
        <v>0</v>
      </c>
      <c r="D37" s="13">
        <f>IFERROR(C37/$C$39,0)</f>
        <v>0</v>
      </c>
      <c r="E37" s="32">
        <f>C37*Ratesheet!$F$17</f>
        <v>0</v>
      </c>
    </row>
    <row r="38">
      <c r="A38" s="29" t="inlineStr">
        <is>
          <t>ANLST.</t>
        </is>
      </c>
      <c r="B38" s="30" t="inlineStr">
        <is>
          <t>Analyst</t>
        </is>
      </c>
      <c r="C38" s="31">
        <f>'1. CCM'!U31+'2. Pre-Audit Checks'!U30+'3. VKYC Audit'!U28+'4. KYC Audit'!U33+'5. Checklist Automation'!U28+'6. Data Analytics'!U34+'7. ALCM'!U31+'8. Agentic AI'!U36+'9. ChatBot'!U28</f>
        <v>0</v>
      </c>
      <c r="D38" s="13">
        <f>IFERROR(C38/$C$39,0)</f>
        <v>0</v>
      </c>
      <c r="E38" s="32">
        <f>C38*Ratesheet!$F$18</f>
        <v>0</v>
      </c>
    </row>
    <row r="39">
      <c r="A39" s="33" t="inlineStr">
        <is>
          <t>TOTAL</t>
        </is>
      </c>
      <c r="B39" s="34" t="n"/>
      <c r="C39" s="35">
        <f>SUM(C27:C38)</f>
        <v>19091</v>
      </c>
      <c r="D39" s="36">
        <f>SUM(D27:D38)</f>
        <v>1</v>
      </c>
      <c r="E39" s="37">
        <f>SUM(E27:E38)</f>
        <v>32097528</v>
      </c>
    </row>
    <row r="47">
      <c r="A47" s="27" t="inlineStr">
        <is>
          <t>BASIS OF ESTIMATE &amp; KEY ASSUMPTIONS</t>
        </is>
      </c>
    </row>
    <row r="48" ht="24" customHeight="1">
      <c r="A48" s="38" t="inlineStr">
        <is>
          <t>0.  DOMESTIC BASIS: hours on every activity line have been halved against the initial estimate, per review direction. Because Standard Fee, Staff Cost and Proposed Fee all scale with hours, Recovery % and Net CM % are unchanged. Delivery risk of the reduced effort is called out in note 13.</t>
        </is>
      </c>
    </row>
    <row r="49" ht="24" customHeight="1">
      <c r="A49" s="38" t="inlineStr">
        <is>
          <t>1.  Effort is built bottom-up: each workstream is decomposed into delivery tasks and loaded by resource grade. Standard Fee = hours x India-R&amp;C chargeout rates; Staff Cost = hours x cost rates (Ratesheet tab).</t>
        </is>
      </c>
    </row>
    <row r="50" ht="24" customHeight="1">
      <c r="A50" s="38" t="inlineStr">
        <is>
          <t>2.  Proposed Fee is a commercial input (blue cells, column G / cell D on each tool sheet). Recovery % and Contribution Margin recalculate automatically. Change the fee, not the derived cells.</t>
        </is>
      </c>
    </row>
    <row r="51" ht="24" customHeight="1">
      <c r="A51" s="38" t="inlineStr">
        <is>
          <t>3.  Direct Cost = standard staff cost + 5% management fee, consistent with the Protiviti project template. Outlays / OPE are budgeted at NIL - see assumption 7.</t>
        </is>
      </c>
    </row>
    <row r="52" ht="24" customHeight="1">
      <c r="A52" s="38" t="inlineStr">
        <is>
          <t>4.  Delivery assumed from India (Home Office, R&amp;C service line). No sub-contractor or other-office cost included.</t>
        </is>
      </c>
    </row>
    <row r="53" ht="24" customHeight="1">
      <c r="A53" s="38" t="inlineStr">
        <is>
          <t>5.  Excludes: hardware, OS and Oracle DB licences (supplied by YES BANK per RFI 5.3); GPU infrastructure for in-perimeter LLM hosting; third-party software, middleware and tool licences; ATS / AMC beyond go-live.</t>
        </is>
      </c>
    </row>
    <row r="54" ht="24" customHeight="1">
      <c r="A54" s="38" t="inlineStr">
        <is>
          <t>6.  Excludes post go-live onsite L1 &amp; L2 support resources (RFI 3.2 item 9) - to be priced separately as a recurring annual managed-service line.</t>
        </is>
      </c>
    </row>
    <row r="55" ht="24" customHeight="1">
      <c r="A55" s="38" t="inlineStr">
        <is>
          <t>7.  Outlays are NIL in this build. Travel to YES BANK House (Santacruz, Mumbai), LLM / API consumption, vector-store and OCR licences must be added to the Expenses sheet before submission, or they erode the contribution margin directly.</t>
        </is>
      </c>
    </row>
    <row r="56" ht="24" customHeight="1">
      <c r="A56" s="38" t="inlineStr">
        <is>
          <t>8.  Assumes the 5,000+ concurrent-user NFR is clarified downward to Internal Audit population. If literal, add load-tier infrastructure and performance-engineering effort.</t>
        </is>
      </c>
    </row>
    <row r="57" ht="24" customHeight="1">
      <c r="A57" s="38" t="inlineStr">
        <is>
          <t>9.  Assumes ALCM replaces Pentana (migration utility included). If ALCM must instead integrate with a retained Pentana, workstream 7 reduces and workstream 1 integration effort increases.</t>
        </is>
      </c>
    </row>
    <row r="58" ht="24" customHeight="1">
      <c r="A58" s="38" t="inlineStr">
        <is>
          <t>10. 'Integration' tasks are scoped at the source-system counts named in the RFI. Each additional source system beyond that list is a change request.</t>
        </is>
      </c>
    </row>
    <row r="59" ht="24" customHeight="1">
      <c r="A59" s="38" t="inlineStr">
        <is>
          <t>11. Excludes prototype / FSD / wireframe effort required at RFI response stage - that is pre-sales investment, not delivery effort.</t>
        </is>
      </c>
    </row>
    <row r="60" ht="24" customHeight="1">
      <c r="A60" s="38" t="inlineStr">
        <is>
          <t>12. Indicative schedule at this effort level: 12-15 months at an average of 6-7 FTE, assuming workstreams 1, 2 and 7 run first and 6 &amp; 8 follow the data foundation.</t>
        </is>
      </c>
    </row>
    <row r="61" ht="24" customHeight="1">
      <c r="A61" s="38" t="inlineStr">
        <is>
          <t>13. DELIVERY RISK OF THE HALVED BASIS: the scope in the RFI is unchanged, so this estimate now assumes significant reuse of existing Protiviti accelerators (the CCM rules engine, dashboard and workflow assets already built), an agile fixed-capacity model rather than fixed-scope, and YES BANK-side ownership of data extracts, environment provisioning and UAT execution. If those three assumptions do not hold, effort reverts toward the original basis.</t>
        </is>
      </c>
    </row>
  </sheetData>
  <mergeCells count="31">
    <mergeCell ref="G19:I19"/>
    <mergeCell ref="A4:M4"/>
    <mergeCell ref="A18:C18"/>
    <mergeCell ref="G18:I18"/>
    <mergeCell ref="A53:M53"/>
    <mergeCell ref="A21:C21"/>
    <mergeCell ref="A52:M52"/>
    <mergeCell ref="J22:L22"/>
    <mergeCell ref="A58:M58"/>
    <mergeCell ref="A22:C22"/>
    <mergeCell ref="D18:F18"/>
    <mergeCell ref="A48:M48"/>
    <mergeCell ref="A59:M59"/>
    <mergeCell ref="A49:M49"/>
    <mergeCell ref="J21:L21"/>
    <mergeCell ref="A51:M51"/>
    <mergeCell ref="A60:M60"/>
    <mergeCell ref="A19:C19"/>
    <mergeCell ref="G22:I22"/>
    <mergeCell ref="J18:L18"/>
    <mergeCell ref="A61:M61"/>
    <mergeCell ref="G21:I21"/>
    <mergeCell ref="A54:M54"/>
    <mergeCell ref="D19:F19"/>
    <mergeCell ref="J19:L19"/>
    <mergeCell ref="D22:F22"/>
    <mergeCell ref="A50:M50"/>
    <mergeCell ref="A56:M56"/>
    <mergeCell ref="A55:M55"/>
    <mergeCell ref="D21:F21"/>
    <mergeCell ref="A57:M57"/>
  </mergeCells>
  <hyperlinks>
    <hyperlink ref="M2" ns1:id="rId1"/>
    <hyperlink ref="B7" ns1:id="rId2"/>
    <hyperlink ref="B8" ns1:id="rId3"/>
    <hyperlink ref="B9" ns1:id="rId4"/>
    <hyperlink ref="B10" ns1:id="rId5"/>
    <hyperlink ref="B11" ns1:id="rId6"/>
    <hyperlink ref="B12" ns1:id="rId7"/>
    <hyperlink ref="B13" ns1:id="rId8"/>
    <hyperlink ref="B14" ns1:id="rId9"/>
    <hyperlink ref="B15" ns1:id="rId10"/>
  </hyperlinks>
  <pageMargins left="0.75" right="0.75" top="1" bottom="1" header="0.5" footer="0.5"/>
  <drawing ns1:id="rId11"/>
</worksheet>
</file>

<file path=xl/worksheets/sheet2.xml><?xml version="1.0" encoding="utf-8"?>
<worksheet xmlns="http://schemas.openxmlformats.org/spreadsheetml/2006/main" xmlns:ns1="http://schemas.openxmlformats.org/officeDocument/2006/relationships">
  <sheetPr>
    <tabColor rgb="0064748B"/>
    <outlinePr summaryBelow="1" summaryRight="1"/>
    <pageSetUpPr/>
  </sheetPr>
  <dimension ref="A1:M24"/>
  <sheetViews>
    <sheetView showGridLines="0" workbookViewId="0">
      <selection activeCell="A1" sqref="A1"/>
    </sheetView>
  </sheetViews>
  <sheetFormatPr baseColWidth="8" defaultRowHeight="15"/>
  <cols>
    <col width="18" customWidth="1" min="1" max="1"/>
    <col width="22" customWidth="1" min="2" max="2"/>
    <col width="17" customWidth="1" min="3" max="3"/>
    <col width="17" customWidth="1" min="4" max="4"/>
    <col width="17" customWidth="1" min="5" max="5"/>
    <col width="17"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39" t="inlineStr">
        <is>
          <t>R A T E S H E E T   -   India / R&amp;C</t>
        </is>
      </c>
    </row>
    <row r="2">
      <c r="A2" s="40" t="inlineStr">
        <is>
          <t>Chargeout &amp; cost rates per the Protiviti India project template (effective 1-Jul-23). All source rates in USD; INR derived at the FX rate below.</t>
        </is>
      </c>
    </row>
    <row r="4">
      <c r="A4" s="41" t="inlineStr">
        <is>
          <t>FX Rate (INR per USD)</t>
        </is>
      </c>
      <c r="C4" s="42" t="n">
        <v>80.5</v>
      </c>
      <c r="H4" s="3" t="inlineStr">
        <is>
          <t>&lt; Summary</t>
        </is>
      </c>
    </row>
    <row r="6">
      <c r="A6" s="7" t="inlineStr">
        <is>
          <t>Grade</t>
        </is>
      </c>
      <c r="B6" s="7" t="inlineStr">
        <is>
          <t>Designation</t>
        </is>
      </c>
      <c r="C6" s="7" t="inlineStr">
        <is>
          <t>Chargeout USD/hr</t>
        </is>
      </c>
      <c r="D6" s="7" t="inlineStr">
        <is>
          <t>Cost USD/hr</t>
        </is>
      </c>
      <c r="E6" s="7" t="inlineStr">
        <is>
          <t>Chargeout INR/hr</t>
        </is>
      </c>
      <c r="F6" s="7" t="inlineStr">
        <is>
          <t>Cost INR/hr</t>
        </is>
      </c>
    </row>
    <row r="7">
      <c r="A7" s="29" t="inlineStr">
        <is>
          <t>MD</t>
        </is>
      </c>
      <c r="B7" s="30" t="inlineStr">
        <is>
          <t>Managing Director</t>
        </is>
      </c>
      <c r="C7" s="43" t="n">
        <v>373.0434782608696</v>
      </c>
      <c r="D7" s="43" t="n">
        <v>268.3229813664596</v>
      </c>
      <c r="E7" s="44">
        <f>C7*$C$4</f>
        <v>30030</v>
      </c>
      <c r="F7" s="44">
        <f>D7*$C$4</f>
        <v>21599.999999999996</v>
      </c>
    </row>
    <row r="8">
      <c r="A8" s="29" t="inlineStr">
        <is>
          <t>SD</t>
        </is>
      </c>
      <c r="B8" s="30" t="inlineStr">
        <is>
          <t>Senior Director</t>
        </is>
      </c>
      <c r="C8" s="43" t="n">
        <v>310.5590062111801</v>
      </c>
      <c r="D8" s="43" t="n">
        <v>124.2236024844721</v>
      </c>
      <c r="E8" s="44">
        <f>C8*$C$4</f>
        <v>25000</v>
      </c>
      <c r="F8" s="44">
        <f>D8*$C$4</f>
        <v>10000</v>
      </c>
    </row>
    <row r="9">
      <c r="A9" s="29" t="inlineStr">
        <is>
          <t>DIR</t>
        </is>
      </c>
      <c r="B9" s="30" t="inlineStr">
        <is>
          <t>Director</t>
        </is>
      </c>
      <c r="C9" s="43" t="n">
        <v>274.2857142857143</v>
      </c>
      <c r="D9" s="43" t="n">
        <v>119.2546583850932</v>
      </c>
      <c r="E9" s="44">
        <f>C9*$C$4</f>
        <v>22080</v>
      </c>
      <c r="F9" s="44">
        <f>D9*$C$4</f>
        <v>9600</v>
      </c>
    </row>
    <row r="10">
      <c r="A10" s="29" t="inlineStr">
        <is>
          <t>AD</t>
        </is>
      </c>
      <c r="B10" s="30" t="inlineStr">
        <is>
          <t>Associate Director</t>
        </is>
      </c>
      <c r="C10" s="43" t="n">
        <v>217.888198757764</v>
      </c>
      <c r="D10" s="43" t="n">
        <v>68.57142857142857</v>
      </c>
      <c r="E10" s="44">
        <f>C10*$C$4</f>
        <v>17540</v>
      </c>
      <c r="F10" s="44">
        <f>D10*$C$4</f>
        <v>5520</v>
      </c>
    </row>
    <row r="11">
      <c r="A11" s="29" t="inlineStr">
        <is>
          <t>SR. MGR</t>
        </is>
      </c>
      <c r="B11" s="30" t="inlineStr">
        <is>
          <t>Senior Manager</t>
        </is>
      </c>
      <c r="C11" s="43" t="n">
        <v>185.2173913043478</v>
      </c>
      <c r="D11" s="43" t="n">
        <v>46.2111801242236</v>
      </c>
      <c r="E11" s="44">
        <f>C11*$C$4</f>
        <v>14909.999999999998</v>
      </c>
      <c r="F11" s="44">
        <f>D11*$C$4</f>
        <v>3720</v>
      </c>
    </row>
    <row r="12">
      <c r="A12" s="29" t="inlineStr">
        <is>
          <t>MGR</t>
        </is>
      </c>
      <c r="B12" s="30" t="inlineStr">
        <is>
          <t>Manager</t>
        </is>
      </c>
      <c r="C12" s="43" t="n">
        <v>125.2173913043478</v>
      </c>
      <c r="D12" s="43" t="n">
        <v>31.30434782608696</v>
      </c>
      <c r="E12" s="44">
        <f>C12*$C$4</f>
        <v>10080</v>
      </c>
      <c r="F12" s="44">
        <f>D12*$C$4</f>
        <v>2520</v>
      </c>
    </row>
    <row r="13">
      <c r="A13" s="29" t="inlineStr">
        <is>
          <t>DM</t>
        </is>
      </c>
      <c r="B13" s="30" t="inlineStr">
        <is>
          <t>Deputy Manager</t>
        </is>
      </c>
      <c r="C13" s="43" t="n">
        <v>93.54037267080746</v>
      </c>
      <c r="D13" s="43" t="n">
        <v>20.12422360248447</v>
      </c>
      <c r="E13" s="44">
        <f>C13*$C$4</f>
        <v>7530</v>
      </c>
      <c r="F13" s="44">
        <f>D13*$C$4</f>
        <v>1620.0000000000002</v>
      </c>
    </row>
    <row r="14">
      <c r="A14" s="29" t="inlineStr">
        <is>
          <t>SR. CONS.</t>
        </is>
      </c>
      <c r="B14" s="30" t="inlineStr">
        <is>
          <t>Senior Consultant</t>
        </is>
      </c>
      <c r="C14" s="43" t="n">
        <v>62.60869565217391</v>
      </c>
      <c r="D14" s="43" t="n">
        <v>13.7888198757764</v>
      </c>
      <c r="E14" s="44">
        <f>C14*$C$4</f>
        <v>5040</v>
      </c>
      <c r="F14" s="44">
        <f>D14*$C$4</f>
        <v>1110</v>
      </c>
    </row>
    <row r="15">
      <c r="A15" s="29" t="inlineStr">
        <is>
          <t>CON3</t>
        </is>
      </c>
      <c r="B15" s="30" t="inlineStr">
        <is>
          <t>Consultant 3</t>
        </is>
      </c>
      <c r="C15" s="43" t="n">
        <v>49.44099378881987</v>
      </c>
      <c r="D15" s="43" t="n">
        <v>10.73291925465839</v>
      </c>
      <c r="E15" s="44">
        <f>C15*$C$4</f>
        <v>3980</v>
      </c>
      <c r="F15" s="44">
        <f>D15*$C$4</f>
        <v>864.0000000000001</v>
      </c>
    </row>
    <row r="16">
      <c r="A16" s="29" t="inlineStr">
        <is>
          <t>CON2</t>
        </is>
      </c>
      <c r="B16" s="30" t="inlineStr">
        <is>
          <t>Consultant 2</t>
        </is>
      </c>
      <c r="C16" s="43" t="n">
        <v>45.83850931677019</v>
      </c>
      <c r="D16" s="43" t="n">
        <v>8.198757763975156</v>
      </c>
      <c r="E16" s="44">
        <f>C16*$C$4</f>
        <v>3690</v>
      </c>
      <c r="F16" s="44">
        <f>D16*$C$4</f>
        <v>660</v>
      </c>
    </row>
    <row r="17">
      <c r="A17" s="29" t="inlineStr">
        <is>
          <t>CON1</t>
        </is>
      </c>
      <c r="B17" s="30" t="inlineStr">
        <is>
          <t>Consultant 1</t>
        </is>
      </c>
      <c r="C17" s="43" t="n">
        <v>39.75155279503105</v>
      </c>
      <c r="D17" s="43" t="n">
        <v>6.260869565217392</v>
      </c>
      <c r="E17" s="44">
        <f>C17*$C$4</f>
        <v>3199.9999999999995</v>
      </c>
      <c r="F17" s="44">
        <f>D17*$C$4</f>
        <v>504</v>
      </c>
    </row>
    <row r="18">
      <c r="A18" s="29" t="inlineStr">
        <is>
          <t>ANLST.</t>
        </is>
      </c>
      <c r="B18" s="30" t="inlineStr">
        <is>
          <t>Analyst</t>
        </is>
      </c>
      <c r="C18" s="43" t="n">
        <v>20.24844720496894</v>
      </c>
      <c r="D18" s="43" t="n">
        <v>3.726708074534161</v>
      </c>
      <c r="E18" s="44">
        <f>C18*$C$4</f>
        <v>1630</v>
      </c>
      <c r="F18" s="44">
        <f>D18*$C$4</f>
        <v>300</v>
      </c>
    </row>
    <row r="21">
      <c r="A21" s="45" t="inlineStr">
        <is>
          <t>LOOKUP ROW  (used by every tool sheet - do not reorder)</t>
        </is>
      </c>
    </row>
    <row r="22">
      <c r="A22" s="46" t="inlineStr">
        <is>
          <t>Grade</t>
        </is>
      </c>
      <c r="B22" s="47" t="inlineStr">
        <is>
          <t>MD</t>
        </is>
      </c>
      <c r="C22" s="47" t="inlineStr">
        <is>
          <t>SD</t>
        </is>
      </c>
      <c r="D22" s="47" t="inlineStr">
        <is>
          <t>DIR</t>
        </is>
      </c>
      <c r="E22" s="47" t="inlineStr">
        <is>
          <t>AD</t>
        </is>
      </c>
      <c r="F22" s="47" t="inlineStr">
        <is>
          <t>SR. MGR</t>
        </is>
      </c>
      <c r="G22" s="47" t="inlineStr">
        <is>
          <t>MGR</t>
        </is>
      </c>
      <c r="H22" s="47" t="inlineStr">
        <is>
          <t>DM</t>
        </is>
      </c>
      <c r="I22" s="47" t="inlineStr">
        <is>
          <t>SR. CONS.</t>
        </is>
      </c>
      <c r="J22" s="47" t="inlineStr">
        <is>
          <t>CON3</t>
        </is>
      </c>
      <c r="K22" s="47" t="inlineStr">
        <is>
          <t>CON2</t>
        </is>
      </c>
      <c r="L22" s="47" t="inlineStr">
        <is>
          <t>CON1</t>
        </is>
      </c>
      <c r="M22" s="47" t="inlineStr">
        <is>
          <t>ANLST.</t>
        </is>
      </c>
    </row>
    <row r="23">
      <c r="A23" s="48" t="inlineStr">
        <is>
          <t>Chargeout INR/hr</t>
        </is>
      </c>
      <c r="B23" s="49">
        <f>$E$7</f>
        <v>30030</v>
      </c>
      <c r="C23" s="49">
        <f>$E$8</f>
        <v>25000</v>
      </c>
      <c r="D23" s="49">
        <f>$E$9</f>
        <v>22080</v>
      </c>
      <c r="E23" s="49">
        <f>$E$10</f>
        <v>17540</v>
      </c>
      <c r="F23" s="49">
        <f>$E$11</f>
        <v>14909.999999999998</v>
      </c>
      <c r="G23" s="49">
        <f>$E$12</f>
        <v>10080</v>
      </c>
      <c r="H23" s="49">
        <f>$E$13</f>
        <v>7530</v>
      </c>
      <c r="I23" s="49">
        <f>$E$14</f>
        <v>5040</v>
      </c>
      <c r="J23" s="49">
        <f>$E$15</f>
        <v>3980</v>
      </c>
      <c r="K23" s="49">
        <f>$E$16</f>
        <v>3690</v>
      </c>
      <c r="L23" s="49">
        <f>$E$17</f>
        <v>3199.9999999999995</v>
      </c>
      <c r="M23" s="49">
        <f>$E$18</f>
        <v>1630</v>
      </c>
    </row>
    <row r="24">
      <c r="A24" s="48" t="inlineStr">
        <is>
          <t>Cost INR/hr</t>
        </is>
      </c>
      <c r="B24" s="49">
        <f>$F$7</f>
        <v>21599.999999999996</v>
      </c>
      <c r="C24" s="49">
        <f>$F$8</f>
        <v>10000</v>
      </c>
      <c r="D24" s="49">
        <f>$F$9</f>
        <v>9600</v>
      </c>
      <c r="E24" s="49">
        <f>$F$10</f>
        <v>5520</v>
      </c>
      <c r="F24" s="49">
        <f>$F$11</f>
        <v>3720</v>
      </c>
      <c r="G24" s="49">
        <f>$F$12</f>
        <v>2520</v>
      </c>
      <c r="H24" s="49">
        <f>$F$13</f>
        <v>1620.0000000000002</v>
      </c>
      <c r="I24" s="49">
        <f>$F$14</f>
        <v>1110</v>
      </c>
      <c r="J24" s="49">
        <f>$F$15</f>
        <v>864.0000000000001</v>
      </c>
      <c r="K24" s="49">
        <f>$F$16</f>
        <v>660</v>
      </c>
      <c r="L24" s="49">
        <f>$F$17</f>
        <v>504</v>
      </c>
      <c r="M24" s="49">
        <f>$F$18</f>
        <v>300</v>
      </c>
    </row>
  </sheetData>
  <hyperlinks>
    <hyperlink ref="H4" ns1:id="rId1"/>
  </hyperlinks>
  <pageMargins left="0.75" right="0.75" top="1" bottom="1" header="0.5" footer="0.5"/>
</worksheet>
</file>

<file path=xl/worksheets/sheet3.xml><?xml version="1.0" encoding="utf-8"?>
<worksheet xmlns="http://schemas.openxmlformats.org/spreadsheetml/2006/main" xmlns:ns1="http://schemas.openxmlformats.org/officeDocument/2006/relationships">
  <sheetPr>
    <tabColor rgb="00E57200"/>
    <outlinePr summaryBelow="1" summaryRight="1"/>
    <pageSetUpPr/>
  </sheetPr>
  <dimension ref="A1:AB52"/>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SUMPRODUCT(J31:U31,Ratesheet!$B$23:$M$23)</f>
        <v>16708220</v>
      </c>
    </row>
    <row r="6" ht="26" customHeight="1">
      <c r="A6" s="52" t="inlineStr">
        <is>
          <t>Project Description:</t>
        </is>
      </c>
      <c r="B6" s="24" t="n"/>
      <c r="C6" s="53" t="inlineStr">
        <is>
          <t>Continuous Control Monitoring (CCM)</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SUMPRODUCT(J31:U31,Ratesheet!$B$24:$M$24)</f>
        <v>4297200</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IFERROR(AB5/V31,0)</f>
        <v>6685.962384953981</v>
      </c>
    </row>
    <row r="8">
      <c r="A8" s="52" t="inlineStr">
        <is>
          <t>Project Type:</t>
        </is>
      </c>
      <c r="B8" s="24" t="n"/>
      <c r="C8" s="53" t="inlineStr">
        <is>
          <t>Fixed Fee (Incl. Outlays)</t>
        </is>
      </c>
      <c r="D8" s="24" t="n"/>
      <c r="F8" s="30" t="inlineStr">
        <is>
          <t>Requirement Gathering, Control Universe &amp; Feasibility Study</t>
        </is>
      </c>
      <c r="G8" s="24" t="n"/>
      <c r="H8" s="58" t="inlineStr">
        <is>
          <t>India</t>
        </is>
      </c>
      <c r="I8" s="58" t="inlineStr">
        <is>
          <t>R&amp;C</t>
        </is>
      </c>
      <c r="J8" s="59" t="n">
        <v>2</v>
      </c>
      <c r="K8" s="59" t="n"/>
      <c r="L8" s="59" t="n">
        <v>12</v>
      </c>
      <c r="M8" s="59" t="n">
        <v>12</v>
      </c>
      <c r="N8" s="59" t="n"/>
      <c r="O8" s="59" t="n"/>
      <c r="P8" s="59" t="n">
        <v>20</v>
      </c>
      <c r="Q8" s="59" t="n">
        <v>20</v>
      </c>
      <c r="R8" s="59" t="n">
        <v>24</v>
      </c>
      <c r="S8" s="59" t="n">
        <v>24</v>
      </c>
      <c r="T8" s="59" t="n"/>
      <c r="U8" s="59" t="n"/>
      <c r="V8" s="60">
        <f>SUM(J8:U8)</f>
        <v>114</v>
      </c>
      <c r="Z8" s="30" t="inlineStr">
        <is>
          <t>Blended cost / hr</t>
        </is>
      </c>
      <c r="AA8" s="24" t="n"/>
      <c r="AB8" s="10">
        <f>IFERROR(AB6/V31,0)</f>
        <v>1719.5678271308523</v>
      </c>
    </row>
    <row r="9">
      <c r="F9" s="30" t="inlineStr">
        <is>
          <t>Technical Architecture, Design &amp; Planning</t>
        </is>
      </c>
      <c r="G9" s="24" t="n"/>
      <c r="H9" s="58" t="inlineStr">
        <is>
          <t>India</t>
        </is>
      </c>
      <c r="I9" s="58" t="inlineStr">
        <is>
          <t>R&amp;C</t>
        </is>
      </c>
      <c r="J9" s="59" t="n">
        <v>2</v>
      </c>
      <c r="K9" s="59" t="n"/>
      <c r="L9" s="59" t="n">
        <v>16</v>
      </c>
      <c r="M9" s="59" t="n">
        <v>16</v>
      </c>
      <c r="N9" s="59" t="n"/>
      <c r="O9" s="59" t="n"/>
      <c r="P9" s="59" t="n">
        <v>20</v>
      </c>
      <c r="Q9" s="59" t="n">
        <v>20</v>
      </c>
      <c r="R9" s="59" t="n">
        <v>20</v>
      </c>
      <c r="S9" s="59" t="n">
        <v>20</v>
      </c>
      <c r="T9" s="59" t="n"/>
      <c r="U9" s="59" t="n"/>
      <c r="V9" s="60">
        <f>SUM(J9:U9)</f>
        <v>114</v>
      </c>
    </row>
    <row r="10">
      <c r="F10" s="30" t="inlineStr">
        <is>
          <t>Data Model &amp; Database Design</t>
        </is>
      </c>
      <c r="G10" s="24" t="n"/>
      <c r="H10" s="58" t="inlineStr">
        <is>
          <t>India</t>
        </is>
      </c>
      <c r="I10" s="58" t="inlineStr">
        <is>
          <t>R&amp;C</t>
        </is>
      </c>
      <c r="J10" s="59" t="n">
        <v>1</v>
      </c>
      <c r="K10" s="59" t="n"/>
      <c r="L10" s="59" t="n">
        <v>6</v>
      </c>
      <c r="M10" s="59" t="n">
        <v>8</v>
      </c>
      <c r="N10" s="59" t="n"/>
      <c r="O10" s="59" t="n"/>
      <c r="P10" s="59" t="n">
        <v>16</v>
      </c>
      <c r="Q10" s="59" t="n">
        <v>16</v>
      </c>
      <c r="R10" s="59" t="n">
        <v>24</v>
      </c>
      <c r="S10" s="59" t="n">
        <v>24</v>
      </c>
      <c r="T10" s="59" t="n"/>
      <c r="U10" s="59" t="n"/>
      <c r="V10" s="60">
        <f>SUM(J10:U10)</f>
        <v>95</v>
      </c>
    </row>
    <row r="11">
      <c r="F11" s="30" t="inlineStr">
        <is>
          <t>Data Warehouse &amp; Source System Ingestion Framework</t>
        </is>
      </c>
      <c r="G11" s="24" t="n"/>
      <c r="H11" s="58" t="inlineStr">
        <is>
          <t>India</t>
        </is>
      </c>
      <c r="I11" s="58" t="inlineStr">
        <is>
          <t>R&amp;C</t>
        </is>
      </c>
      <c r="J11" s="59" t="n"/>
      <c r="K11" s="59" t="n"/>
      <c r="L11" s="59" t="n">
        <v>4</v>
      </c>
      <c r="M11" s="59" t="n">
        <v>12</v>
      </c>
      <c r="N11" s="59" t="n"/>
      <c r="O11" s="59" t="n"/>
      <c r="P11" s="59" t="n">
        <v>24</v>
      </c>
      <c r="Q11" s="59" t="n">
        <v>32</v>
      </c>
      <c r="R11" s="59" t="n">
        <v>48</v>
      </c>
      <c r="S11" s="59" t="n">
        <v>48</v>
      </c>
      <c r="T11" s="59" t="n"/>
      <c r="U11" s="59" t="n"/>
      <c r="V11" s="60">
        <f>SUM(J11:U11)</f>
        <v>168</v>
      </c>
    </row>
    <row r="12">
      <c r="F12" s="30" t="inlineStr">
        <is>
          <t>Control Rule Engine &amp; Rule Library Build</t>
        </is>
      </c>
      <c r="G12" s="24" t="n"/>
      <c r="H12" s="58" t="inlineStr">
        <is>
          <t>India</t>
        </is>
      </c>
      <c r="I12" s="58" t="inlineStr">
        <is>
          <t>R&amp;C</t>
        </is>
      </c>
      <c r="J12" s="59" t="n"/>
      <c r="K12" s="59" t="n"/>
      <c r="L12" s="59" t="n">
        <v>6</v>
      </c>
      <c r="M12" s="59" t="n">
        <v>16</v>
      </c>
      <c r="N12" s="59" t="n"/>
      <c r="O12" s="59" t="n"/>
      <c r="P12" s="59" t="n">
        <v>28</v>
      </c>
      <c r="Q12" s="59" t="n">
        <v>36</v>
      </c>
      <c r="R12" s="59" t="n">
        <v>56</v>
      </c>
      <c r="S12" s="59" t="n">
        <v>56</v>
      </c>
      <c r="T12" s="59" t="n"/>
      <c r="U12" s="59" t="n"/>
      <c r="V12" s="60">
        <f>SUM(J12:U12)</f>
        <v>198</v>
      </c>
    </row>
    <row r="13">
      <c r="F13" s="30" t="inlineStr">
        <is>
          <t>No-Code Rule &amp; Threshold Configurator</t>
        </is>
      </c>
      <c r="G13" s="24" t="n"/>
      <c r="H13" s="58" t="inlineStr">
        <is>
          <t>India</t>
        </is>
      </c>
      <c r="I13" s="58" t="inlineStr">
        <is>
          <t>R&amp;C</t>
        </is>
      </c>
      <c r="J13" s="59" t="n"/>
      <c r="K13" s="59" t="n"/>
      <c r="L13" s="59" t="n">
        <v>2</v>
      </c>
      <c r="M13" s="59" t="n">
        <v>8</v>
      </c>
      <c r="N13" s="59" t="n"/>
      <c r="O13" s="59" t="n"/>
      <c r="P13" s="59" t="n">
        <v>20</v>
      </c>
      <c r="Q13" s="59" t="n">
        <v>24</v>
      </c>
      <c r="R13" s="59" t="n">
        <v>36</v>
      </c>
      <c r="S13" s="59" t="n">
        <v>36</v>
      </c>
      <c r="T13" s="59" t="n"/>
      <c r="U13" s="59" t="n"/>
      <c r="V13" s="60">
        <f>SUM(J13:U13)</f>
        <v>126</v>
      </c>
    </row>
    <row r="14">
      <c r="F14" s="30" t="inlineStr">
        <is>
          <t>Exception Management, Risk Scoring &amp; Alerting Engine</t>
        </is>
      </c>
      <c r="G14" s="24" t="n"/>
      <c r="H14" s="58" t="inlineStr">
        <is>
          <t>India</t>
        </is>
      </c>
      <c r="I14" s="58" t="inlineStr">
        <is>
          <t>R&amp;C</t>
        </is>
      </c>
      <c r="J14" s="59" t="n"/>
      <c r="K14" s="59" t="n"/>
      <c r="L14" s="59" t="n">
        <v>2</v>
      </c>
      <c r="M14" s="59" t="n">
        <v>10</v>
      </c>
      <c r="N14" s="59" t="n"/>
      <c r="O14" s="59" t="n"/>
      <c r="P14" s="59" t="n">
        <v>24</v>
      </c>
      <c r="Q14" s="59" t="n">
        <v>32</v>
      </c>
      <c r="R14" s="59" t="n">
        <v>44</v>
      </c>
      <c r="S14" s="59" t="n">
        <v>44</v>
      </c>
      <c r="T14" s="59" t="n"/>
      <c r="U14" s="59" t="n"/>
      <c r="V14" s="60">
        <f>SUM(J14:U14)</f>
        <v>156</v>
      </c>
    </row>
    <row r="15">
      <c r="F15" s="30" t="inlineStr">
        <is>
          <t>Remediation Workflow &amp; Auditee Assignment</t>
        </is>
      </c>
      <c r="G15" s="24" t="n"/>
      <c r="H15" s="58" t="inlineStr">
        <is>
          <t>India</t>
        </is>
      </c>
      <c r="I15" s="58" t="inlineStr">
        <is>
          <t>R&amp;C</t>
        </is>
      </c>
      <c r="J15" s="59" t="n"/>
      <c r="K15" s="59" t="n"/>
      <c r="L15" s="59" t="n"/>
      <c r="M15" s="59" t="n">
        <v>6</v>
      </c>
      <c r="N15" s="59" t="n"/>
      <c r="O15" s="59" t="n"/>
      <c r="P15" s="59" t="n">
        <v>16</v>
      </c>
      <c r="Q15" s="59" t="n">
        <v>20</v>
      </c>
      <c r="R15" s="59" t="n">
        <v>28</v>
      </c>
      <c r="S15" s="59" t="n">
        <v>28</v>
      </c>
      <c r="T15" s="59" t="n"/>
      <c r="U15" s="59" t="n"/>
      <c r="V15" s="60">
        <f>SUM(J15:U15)</f>
        <v>98</v>
      </c>
    </row>
    <row r="16">
      <c r="F16" s="30" t="inlineStr">
        <is>
          <t>Correlation, Root-Cause &amp; Trend Analytics</t>
        </is>
      </c>
      <c r="G16" s="24" t="n"/>
      <c r="H16" s="58" t="inlineStr">
        <is>
          <t>India</t>
        </is>
      </c>
      <c r="I16" s="58" t="inlineStr">
        <is>
          <t>R&amp;C</t>
        </is>
      </c>
      <c r="J16" s="59" t="n"/>
      <c r="K16" s="59" t="n"/>
      <c r="L16" s="59" t="n">
        <v>2</v>
      </c>
      <c r="M16" s="59" t="n">
        <v>8</v>
      </c>
      <c r="N16" s="59" t="n"/>
      <c r="O16" s="59" t="n"/>
      <c r="P16" s="59" t="n">
        <v>16</v>
      </c>
      <c r="Q16" s="59" t="n">
        <v>20</v>
      </c>
      <c r="R16" s="59" t="n">
        <v>28</v>
      </c>
      <c r="S16" s="59" t="n">
        <v>28</v>
      </c>
      <c r="T16" s="59" t="n"/>
      <c r="U16" s="59" t="n"/>
      <c r="V16" s="60">
        <f>SUM(J16:U16)</f>
        <v>102</v>
      </c>
    </row>
    <row r="17">
      <c r="F17" s="30" t="inlineStr">
        <is>
          <t>Change &amp; Configuration Drift Detection</t>
        </is>
      </c>
      <c r="G17" s="24" t="n"/>
      <c r="H17" s="58" t="inlineStr">
        <is>
          <t>India</t>
        </is>
      </c>
      <c r="I17" s="58" t="inlineStr">
        <is>
          <t>R&amp;C</t>
        </is>
      </c>
      <c r="J17" s="59" t="n"/>
      <c r="K17" s="59" t="n"/>
      <c r="L17" s="59" t="n"/>
      <c r="M17" s="59" t="n">
        <v>4</v>
      </c>
      <c r="N17" s="59" t="n"/>
      <c r="O17" s="59" t="n"/>
      <c r="P17" s="59" t="n">
        <v>12</v>
      </c>
      <c r="Q17" s="59" t="n">
        <v>16</v>
      </c>
      <c r="R17" s="59" t="n">
        <v>20</v>
      </c>
      <c r="S17" s="59" t="n">
        <v>20</v>
      </c>
      <c r="T17" s="59" t="n"/>
      <c r="U17" s="59" t="n"/>
      <c r="V17" s="60">
        <f>SUM(J17:U17)</f>
        <v>72</v>
      </c>
    </row>
    <row r="18">
      <c r="F18" s="30" t="inlineStr">
        <is>
          <t>Orchestration &amp; Automated Response Hooks</t>
        </is>
      </c>
      <c r="G18" s="24" t="n"/>
      <c r="H18" s="58" t="inlineStr">
        <is>
          <t>India</t>
        </is>
      </c>
      <c r="I18" s="58" t="inlineStr">
        <is>
          <t>R&amp;C</t>
        </is>
      </c>
      <c r="J18" s="59" t="n"/>
      <c r="K18" s="59" t="n"/>
      <c r="L18" s="59" t="n"/>
      <c r="M18" s="59" t="n">
        <v>4</v>
      </c>
      <c r="N18" s="59" t="n"/>
      <c r="O18" s="59" t="n"/>
      <c r="P18" s="59" t="n">
        <v>12</v>
      </c>
      <c r="Q18" s="59" t="n">
        <v>16</v>
      </c>
      <c r="R18" s="59" t="n">
        <v>20</v>
      </c>
      <c r="S18" s="59" t="n">
        <v>20</v>
      </c>
      <c r="T18" s="59" t="n"/>
      <c r="U18" s="59" t="n"/>
      <c r="V18" s="60">
        <f>SUM(J18:U18)</f>
        <v>72</v>
      </c>
    </row>
    <row r="19">
      <c r="F19" s="30" t="inlineStr">
        <is>
          <t>API Layer &amp; Microservices Implementation</t>
        </is>
      </c>
      <c r="G19" s="24" t="n"/>
      <c r="H19" s="58" t="inlineStr">
        <is>
          <t>India</t>
        </is>
      </c>
      <c r="I19" s="58" t="inlineStr">
        <is>
          <t>R&amp;C</t>
        </is>
      </c>
      <c r="J19" s="59" t="n"/>
      <c r="K19" s="59" t="n"/>
      <c r="L19" s="59" t="n">
        <v>4</v>
      </c>
      <c r="M19" s="59" t="n">
        <v>8</v>
      </c>
      <c r="N19" s="59" t="n"/>
      <c r="O19" s="59" t="n"/>
      <c r="P19" s="59" t="n">
        <v>20</v>
      </c>
      <c r="Q19" s="59" t="n">
        <v>24</v>
      </c>
      <c r="R19" s="59" t="n">
        <v>40</v>
      </c>
      <c r="S19" s="59" t="n">
        <v>40</v>
      </c>
      <c r="T19" s="59" t="n"/>
      <c r="U19" s="59" t="n"/>
      <c r="V19" s="60">
        <f>SUM(J19:U19)</f>
        <v>136</v>
      </c>
    </row>
    <row r="20">
      <c r="F20" s="30" t="inlineStr">
        <is>
          <t>Frontend Design &amp; Real-Time Control Dashboards</t>
        </is>
      </c>
      <c r="G20" s="24" t="n"/>
      <c r="H20" s="58" t="inlineStr">
        <is>
          <t>India</t>
        </is>
      </c>
      <c r="I20" s="58" t="inlineStr">
        <is>
          <t>R&amp;C</t>
        </is>
      </c>
      <c r="J20" s="59" t="n"/>
      <c r="K20" s="59" t="n"/>
      <c r="L20" s="59" t="n"/>
      <c r="M20" s="59" t="n">
        <v>8</v>
      </c>
      <c r="N20" s="59" t="n"/>
      <c r="O20" s="59" t="n"/>
      <c r="P20" s="59" t="n">
        <v>24</v>
      </c>
      <c r="Q20" s="59" t="n">
        <v>32</v>
      </c>
      <c r="R20" s="59" t="n">
        <v>48</v>
      </c>
      <c r="S20" s="59" t="n">
        <v>48</v>
      </c>
      <c r="T20" s="59" t="n"/>
      <c r="U20" s="59" t="n"/>
      <c r="V20" s="60">
        <f>SUM(J20:U20)</f>
        <v>160</v>
      </c>
    </row>
    <row r="21">
      <c r="F21" s="30" t="inlineStr">
        <is>
          <t>FE &amp; BE Integration</t>
        </is>
      </c>
      <c r="G21" s="24" t="n"/>
      <c r="H21" s="58" t="inlineStr">
        <is>
          <t>India</t>
        </is>
      </c>
      <c r="I21" s="58" t="inlineStr">
        <is>
          <t>R&amp;C</t>
        </is>
      </c>
      <c r="J21" s="59" t="n"/>
      <c r="K21" s="59" t="n"/>
      <c r="L21" s="59" t="n"/>
      <c r="M21" s="59" t="n">
        <v>6</v>
      </c>
      <c r="N21" s="59" t="n"/>
      <c r="O21" s="59" t="n"/>
      <c r="P21" s="59" t="n">
        <v>16</v>
      </c>
      <c r="Q21" s="59" t="n">
        <v>24</v>
      </c>
      <c r="R21" s="59" t="n">
        <v>28</v>
      </c>
      <c r="S21" s="59" t="n">
        <v>28</v>
      </c>
      <c r="T21" s="59" t="n"/>
      <c r="U21" s="59" t="n"/>
      <c r="V21" s="60">
        <f>SUM(J21:U21)</f>
        <v>102</v>
      </c>
    </row>
    <row r="22">
      <c r="F22" s="30" t="inlineStr">
        <is>
          <t>Regulatory Evidence &amp; ACB Report Generation</t>
        </is>
      </c>
      <c r="G22" s="24" t="n"/>
      <c r="H22" s="58" t="inlineStr">
        <is>
          <t>India</t>
        </is>
      </c>
      <c r="I22" s="58" t="inlineStr">
        <is>
          <t>R&amp;C</t>
        </is>
      </c>
      <c r="J22" s="59" t="n"/>
      <c r="K22" s="59" t="n"/>
      <c r="L22" s="59" t="n">
        <v>2</v>
      </c>
      <c r="M22" s="59" t="n">
        <v>4</v>
      </c>
      <c r="N22" s="59" t="n"/>
      <c r="O22" s="59" t="n"/>
      <c r="P22" s="59" t="n">
        <v>12</v>
      </c>
      <c r="Q22" s="59" t="n">
        <v>16</v>
      </c>
      <c r="R22" s="59" t="n">
        <v>20</v>
      </c>
      <c r="S22" s="59" t="n">
        <v>20</v>
      </c>
      <c r="T22" s="59" t="n"/>
      <c r="U22" s="59" t="n"/>
      <c r="V22" s="60">
        <f>SUM(J22:U22)</f>
        <v>74</v>
      </c>
    </row>
    <row r="23">
      <c r="F23" s="30" t="inlineStr">
        <is>
          <t>Audit Management Application (Pentana) Integration</t>
        </is>
      </c>
      <c r="G23" s="24" t="n"/>
      <c r="H23" s="58" t="inlineStr">
        <is>
          <t>India</t>
        </is>
      </c>
      <c r="I23" s="58" t="inlineStr">
        <is>
          <t>R&amp;C</t>
        </is>
      </c>
      <c r="J23" s="59" t="n"/>
      <c r="K23" s="59" t="n"/>
      <c r="L23" s="59" t="n">
        <v>2</v>
      </c>
      <c r="M23" s="59" t="n">
        <v>4</v>
      </c>
      <c r="N23" s="59" t="n"/>
      <c r="O23" s="59" t="n"/>
      <c r="P23" s="59" t="n">
        <v>12</v>
      </c>
      <c r="Q23" s="59" t="n">
        <v>16</v>
      </c>
      <c r="R23" s="59" t="n">
        <v>20</v>
      </c>
      <c r="S23" s="59" t="n">
        <v>20</v>
      </c>
      <c r="T23" s="59" t="n"/>
      <c r="U23" s="59" t="n"/>
      <c r="V23" s="60">
        <f>SUM(J23:U23)</f>
        <v>74</v>
      </c>
    </row>
    <row r="24">
      <c r="F24" s="30" t="inlineStr">
        <is>
          <t>Auth, RBAC, NFR &amp; Security Implementation</t>
        </is>
      </c>
      <c r="G24" s="24" t="n"/>
      <c r="H24" s="58" t="inlineStr">
        <is>
          <t>India</t>
        </is>
      </c>
      <c r="I24" s="58" t="inlineStr">
        <is>
          <t>R&amp;C</t>
        </is>
      </c>
      <c r="J24" s="59" t="n"/>
      <c r="K24" s="59" t="n"/>
      <c r="L24" s="59" t="n"/>
      <c r="M24" s="59" t="n">
        <v>8</v>
      </c>
      <c r="N24" s="59" t="n"/>
      <c r="O24" s="59" t="n"/>
      <c r="P24" s="59" t="n">
        <v>16</v>
      </c>
      <c r="Q24" s="59" t="n">
        <v>20</v>
      </c>
      <c r="R24" s="59" t="n">
        <v>24</v>
      </c>
      <c r="S24" s="59" t="n">
        <v>24</v>
      </c>
      <c r="T24" s="59" t="n"/>
      <c r="U24" s="59" t="n"/>
      <c r="V24" s="60">
        <f>SUM(J24:U24)</f>
        <v>92</v>
      </c>
    </row>
    <row r="25">
      <c r="F25" s="30" t="inlineStr">
        <is>
          <t>Component Testing &amp; SIT</t>
        </is>
      </c>
      <c r="G25" s="24" t="n"/>
      <c r="H25" s="58" t="inlineStr">
        <is>
          <t>India</t>
        </is>
      </c>
      <c r="I25" s="58" t="inlineStr">
        <is>
          <t>R&amp;C</t>
        </is>
      </c>
      <c r="J25" s="59" t="n"/>
      <c r="K25" s="59" t="n"/>
      <c r="L25" s="59" t="n">
        <v>2</v>
      </c>
      <c r="M25" s="59" t="n">
        <v>8</v>
      </c>
      <c r="N25" s="59" t="n"/>
      <c r="O25" s="59" t="n"/>
      <c r="P25" s="59" t="n">
        <v>20</v>
      </c>
      <c r="Q25" s="59" t="n">
        <v>28</v>
      </c>
      <c r="R25" s="59" t="n">
        <v>36</v>
      </c>
      <c r="S25" s="59" t="n">
        <v>36</v>
      </c>
      <c r="T25" s="59" t="n"/>
      <c r="U25" s="59" t="n"/>
      <c r="V25" s="60">
        <f>SUM(J25:U25)</f>
        <v>130</v>
      </c>
    </row>
    <row r="26">
      <c r="F26" s="30" t="inlineStr">
        <is>
          <t>User Acceptance Testing (incl. Bug Fixing)</t>
        </is>
      </c>
      <c r="G26" s="24" t="n"/>
      <c r="H26" s="58" t="inlineStr">
        <is>
          <t>India</t>
        </is>
      </c>
      <c r="I26" s="58" t="inlineStr">
        <is>
          <t>R&amp;C</t>
        </is>
      </c>
      <c r="J26" s="59" t="n"/>
      <c r="K26" s="59" t="n"/>
      <c r="L26" s="59" t="n">
        <v>1</v>
      </c>
      <c r="M26" s="59" t="n">
        <v>6</v>
      </c>
      <c r="N26" s="59" t="n"/>
      <c r="O26" s="59" t="n"/>
      <c r="P26" s="59" t="n">
        <v>12</v>
      </c>
      <c r="Q26" s="59" t="n">
        <v>20</v>
      </c>
      <c r="R26" s="59" t="n">
        <v>28</v>
      </c>
      <c r="S26" s="59" t="n">
        <v>28</v>
      </c>
      <c r="T26" s="59" t="n"/>
      <c r="U26" s="59" t="n"/>
      <c r="V26" s="60">
        <f>SUM(J26:U26)</f>
        <v>95</v>
      </c>
    </row>
    <row r="27">
      <c r="F27" s="30" t="inlineStr">
        <is>
          <t>Documentation (Technical, User, DR/BCP)</t>
        </is>
      </c>
      <c r="G27" s="24" t="n"/>
      <c r="H27" s="58" t="inlineStr">
        <is>
          <t>India</t>
        </is>
      </c>
      <c r="I27" s="58" t="inlineStr">
        <is>
          <t>R&amp;C</t>
        </is>
      </c>
      <c r="J27" s="59" t="n"/>
      <c r="K27" s="59" t="n"/>
      <c r="L27" s="59" t="n"/>
      <c r="M27" s="59" t="n">
        <v>4</v>
      </c>
      <c r="N27" s="59" t="n"/>
      <c r="O27" s="59" t="n"/>
      <c r="P27" s="59" t="n">
        <v>12</v>
      </c>
      <c r="Q27" s="59" t="n">
        <v>16</v>
      </c>
      <c r="R27" s="59" t="n">
        <v>20</v>
      </c>
      <c r="S27" s="59" t="n">
        <v>20</v>
      </c>
      <c r="T27" s="59" t="n"/>
      <c r="U27" s="59" t="n"/>
      <c r="V27" s="60">
        <f>SUM(J27:U27)</f>
        <v>72</v>
      </c>
    </row>
    <row r="28">
      <c r="F28" s="30" t="inlineStr">
        <is>
          <t>PMO &amp; Programme Governance</t>
        </is>
      </c>
      <c r="G28" s="24" t="n"/>
      <c r="H28" s="58" t="inlineStr">
        <is>
          <t>India</t>
        </is>
      </c>
      <c r="I28" s="58" t="inlineStr">
        <is>
          <t>R&amp;C</t>
        </is>
      </c>
      <c r="J28" s="59" t="n"/>
      <c r="K28" s="59" t="n"/>
      <c r="L28" s="59" t="n"/>
      <c r="M28" s="59" t="n"/>
      <c r="N28" s="59" t="n">
        <v>140</v>
      </c>
      <c r="O28" s="59" t="n"/>
      <c r="P28" s="59" t="n"/>
      <c r="Q28" s="59" t="n"/>
      <c r="R28" s="59" t="n"/>
      <c r="S28" s="59" t="n"/>
      <c r="T28" s="59" t="n"/>
      <c r="U28" s="59" t="n"/>
      <c r="V28" s="60">
        <f>SUM(J28:U28)</f>
        <v>140</v>
      </c>
    </row>
    <row r="29">
      <c r="F29" s="30" t="inlineStr">
        <is>
          <t>Go-live &amp; Hypercare Support</t>
        </is>
      </c>
      <c r="G29" s="24" t="n"/>
      <c r="H29" s="58" t="inlineStr">
        <is>
          <t>India</t>
        </is>
      </c>
      <c r="I29" s="58" t="inlineStr">
        <is>
          <t>R&amp;C</t>
        </is>
      </c>
      <c r="J29" s="59" t="n"/>
      <c r="K29" s="59" t="n"/>
      <c r="L29" s="59" t="n"/>
      <c r="M29" s="59" t="n">
        <v>4</v>
      </c>
      <c r="N29" s="59" t="n"/>
      <c r="O29" s="59" t="n"/>
      <c r="P29" s="59" t="n">
        <v>8</v>
      </c>
      <c r="Q29" s="59" t="n">
        <v>12</v>
      </c>
      <c r="R29" s="59" t="n">
        <v>16</v>
      </c>
      <c r="S29" s="59" t="n">
        <v>16</v>
      </c>
      <c r="T29" s="59" t="n"/>
      <c r="U29" s="59" t="n"/>
      <c r="V29" s="60">
        <f>SUM(J29:U29)</f>
        <v>56</v>
      </c>
    </row>
    <row r="30">
      <c r="F30" s="30" t="inlineStr">
        <is>
          <t>Handover &amp; Knowledge Transfer</t>
        </is>
      </c>
      <c r="G30" s="24" t="n"/>
      <c r="H30" s="58" t="inlineStr">
        <is>
          <t>India</t>
        </is>
      </c>
      <c r="I30" s="58" t="inlineStr">
        <is>
          <t>R&amp;C</t>
        </is>
      </c>
      <c r="J30" s="59" t="n">
        <v>1</v>
      </c>
      <c r="K30" s="59" t="n"/>
      <c r="L30" s="59" t="n">
        <v>4</v>
      </c>
      <c r="M30" s="59" t="n">
        <v>4</v>
      </c>
      <c r="N30" s="59" t="n"/>
      <c r="O30" s="59" t="n"/>
      <c r="P30" s="59" t="n">
        <v>8</v>
      </c>
      <c r="Q30" s="59" t="n">
        <v>12</v>
      </c>
      <c r="R30" s="59" t="n">
        <v>12</v>
      </c>
      <c r="S30" s="59" t="n">
        <v>12</v>
      </c>
      <c r="T30" s="59" t="n"/>
      <c r="U30" s="59" t="n"/>
      <c r="V30" s="60">
        <f>SUM(J30:U30)</f>
        <v>53</v>
      </c>
    </row>
    <row r="31">
      <c r="F31" s="33" t="inlineStr">
        <is>
          <t>Total</t>
        </is>
      </c>
      <c r="G31" s="24" t="n"/>
      <c r="H31" s="34" t="n"/>
      <c r="I31" s="34" t="n"/>
      <c r="J31" s="61">
        <f>SUM(J8:J30)</f>
        <v>6</v>
      </c>
      <c r="K31" s="61">
        <f>SUM(K8:K30)</f>
        <v>0</v>
      </c>
      <c r="L31" s="61">
        <f>SUM(L8:L30)</f>
        <v>65</v>
      </c>
      <c r="M31" s="61">
        <f>SUM(M8:M30)</f>
        <v>168</v>
      </c>
      <c r="N31" s="61">
        <f>SUM(N8:N30)</f>
        <v>140</v>
      </c>
      <c r="O31" s="61">
        <f>SUM(O8:O30)</f>
        <v>0</v>
      </c>
      <c r="P31" s="61">
        <f>SUM(P8:P30)</f>
        <v>368</v>
      </c>
      <c r="Q31" s="61">
        <f>SUM(Q8:Q30)</f>
        <v>472</v>
      </c>
      <c r="R31" s="61">
        <f>SUM(R8:R30)</f>
        <v>640</v>
      </c>
      <c r="S31" s="61">
        <f>SUM(S8:S30)</f>
        <v>640</v>
      </c>
      <c r="T31" s="61">
        <f>SUM(T8:T30)</f>
        <v>0</v>
      </c>
      <c r="U31" s="61">
        <f>SUM(U8:U30)</f>
        <v>0</v>
      </c>
      <c r="V31" s="62">
        <f>SUM(V8:V30)</f>
        <v>2499</v>
      </c>
    </row>
    <row r="33">
      <c r="H33" s="63" t="inlineStr">
        <is>
          <t>Project Mix</t>
        </is>
      </c>
      <c r="J33" s="64">
        <f>IFERROR(J31/$V$31,0)</f>
        <v>0.0024009603841536613</v>
      </c>
      <c r="K33" s="64">
        <f>IFERROR(K31/$V$31,0)</f>
        <v>0</v>
      </c>
      <c r="L33" s="64">
        <f>IFERROR(L31/$V$31,0)</f>
        <v>0.026010404161664665</v>
      </c>
      <c r="M33" s="64">
        <f>IFERROR(M31/$V$31,0)</f>
        <v>0.06722689075630252</v>
      </c>
      <c r="N33" s="64">
        <f>IFERROR(N31/$V$31,0)</f>
        <v>0.056022408963585436</v>
      </c>
      <c r="O33" s="64">
        <f>IFERROR(O31/$V$31,0)</f>
        <v>0</v>
      </c>
      <c r="P33" s="64">
        <f>IFERROR(P31/$V$31,0)</f>
        <v>0.14725890356142457</v>
      </c>
      <c r="Q33" s="64">
        <f>IFERROR(Q31/$V$31,0)</f>
        <v>0.18887555022008803</v>
      </c>
      <c r="R33" s="64">
        <f>IFERROR(R31/$V$31,0)</f>
        <v>0.25610244097639057</v>
      </c>
      <c r="S33" s="64">
        <f>IFERROR(S31/$V$31,0)</f>
        <v>0.25610244097639057</v>
      </c>
      <c r="T33" s="64">
        <f>IFERROR(T31/$V$31,0)</f>
        <v>0</v>
      </c>
      <c r="U33" s="64">
        <f>IFERROR(U31/$V$31,0)</f>
        <v>0</v>
      </c>
    </row>
    <row r="36">
      <c r="A36" s="33" t="inlineStr">
        <is>
          <t>F E E    B R E A K  D O W N</t>
        </is>
      </c>
      <c r="B36" s="65" t="n"/>
      <c r="C36" s="65" t="n"/>
      <c r="D36" s="65" t="n"/>
      <c r="E36" s="65" t="n"/>
      <c r="F36" s="65" t="n"/>
      <c r="G36" s="65" t="n"/>
      <c r="H36" s="66" t="str">
        <f>" All Values in ( "&amp;C7&amp;" )"</f>
        <v> All Values in ( INR )</v>
      </c>
      <c r="I36" s="24" t="n"/>
      <c r="L36" s="67" t="inlineStr">
        <is>
          <t>What if analysis - FYI Only</t>
        </is>
      </c>
      <c r="M36" s="22" t="n"/>
      <c r="N36" s="22" t="n"/>
      <c r="O36" s="22" t="n"/>
      <c r="P36" s="22" t="n"/>
      <c r="Q36" s="22" t="n"/>
      <c r="R36" s="22" t="n"/>
      <c r="S36" s="22" t="n"/>
    </row>
    <row r="37">
      <c r="A37" s="68" t="inlineStr">
        <is>
          <t>Total Engagement Value</t>
        </is>
      </c>
      <c r="B37" s="24" t="n"/>
      <c r="C37" s="24" t="n"/>
      <c r="D37" s="69" t="n">
        <v>6000000</v>
      </c>
      <c r="E37" s="70" t="inlineStr">
        <is>
          <t>Expenses Budgeting</t>
        </is>
      </c>
      <c r="F37" s="24" t="n"/>
      <c r="G37" s="24" t="n"/>
      <c r="H37" s="24" t="n"/>
      <c r="L37" s="66" t="inlineStr">
        <is>
          <t>Pricing Tool - Home Office</t>
        </is>
      </c>
      <c r="M37" s="65" t="n"/>
      <c r="N37" s="65" t="n"/>
      <c r="O37" s="65" t="n"/>
      <c r="P37" s="65" t="n"/>
      <c r="Q37" s="66" t="inlineStr">
        <is>
          <t>Fee Amount</t>
        </is>
      </c>
      <c r="R37" s="24" t="n"/>
      <c r="S37" s="71" t="inlineStr">
        <is>
          <t>Recovery %</t>
        </is>
      </c>
    </row>
    <row r="38">
      <c r="A38" s="66" t="inlineStr">
        <is>
          <t>Description</t>
        </is>
      </c>
      <c r="B38" s="34" t="n"/>
      <c r="C38" s="34" t="n"/>
      <c r="D38" s="66" t="inlineStr">
        <is>
          <t>Org./ Name</t>
        </is>
      </c>
      <c r="E38" s="34" t="n"/>
      <c r="F38" s="66" t="inlineStr">
        <is>
          <t>Hours Breakdown</t>
        </is>
      </c>
      <c r="G38" s="66" t="inlineStr">
        <is>
          <t>Fee Breakdown</t>
        </is>
      </c>
      <c r="H38" s="66" t="inlineStr">
        <is>
          <t>Budgeted Outlays</t>
        </is>
      </c>
      <c r="L38" s="72" t="inlineStr">
        <is>
          <t>Standard Fee</t>
        </is>
      </c>
      <c r="M38" s="24" t="n"/>
      <c r="N38" s="24" t="n"/>
      <c r="O38" s="24" t="n"/>
      <c r="P38" s="24" t="n"/>
      <c r="Q38" s="55">
        <f>$AB$5</f>
        <v>16708220</v>
      </c>
      <c r="R38" s="24" t="n"/>
      <c r="S38" s="55">
        <f>$AB$5</f>
        <v>16708220</v>
      </c>
    </row>
    <row r="39">
      <c r="A39" s="30" t="inlineStr">
        <is>
          <t>Home Office</t>
        </is>
      </c>
      <c r="B39" s="24" t="n"/>
      <c r="C39" s="24" t="n"/>
      <c r="D39" s="8" t="str">
        <f>C4</f>
        <v>India - R&amp;C</v>
      </c>
      <c r="F39" s="31">
        <f>V31</f>
        <v>2499</v>
      </c>
      <c r="G39" s="32">
        <f>D37-(SUM(G40:G43)+H44)</f>
        <v>6000000</v>
      </c>
      <c r="H39" s="32" t="n">
        <v>0</v>
      </c>
      <c r="L39" s="30" t="str">
        <f>"Proposed Fee (Home Office)"&amp;" - "&amp;IF(D39=0,"",D39)</f>
        <v>Proposed Fee (Home Office) - India - R&amp;C</v>
      </c>
      <c r="M39" s="24" t="n"/>
      <c r="N39" s="24" t="n"/>
      <c r="O39" s="24" t="n"/>
      <c r="P39" s="24" t="n"/>
      <c r="Q39" s="12">
        <f>G39</f>
        <v>6000000</v>
      </c>
      <c r="R39" s="73" t="n"/>
      <c r="S39" s="11">
        <f>S38*S42</f>
        <v>6000000</v>
      </c>
    </row>
    <row r="40">
      <c r="A40" s="30" t="inlineStr">
        <is>
          <t>Sub-Contractor (3rd party)</t>
        </is>
      </c>
      <c r="B40" s="24" t="n"/>
      <c r="C40" s="24" t="n"/>
      <c r="D40" s="24" t="n"/>
      <c r="E40" s="24" t="n"/>
      <c r="F40" s="31" t="n">
        <v>0</v>
      </c>
      <c r="G40" s="32" t="n">
        <v>0</v>
      </c>
      <c r="H40" s="32" t="n">
        <v>0</v>
      </c>
      <c r="L40" s="72" t="inlineStr">
        <is>
          <t>Planned Fee Adjustment (PFA)</t>
        </is>
      </c>
      <c r="M40" s="24" t="n"/>
      <c r="N40" s="24" t="n"/>
      <c r="O40" s="24" t="n"/>
      <c r="P40" s="24" t="n"/>
      <c r="Q40" s="11">
        <f>Q38-Q39</f>
        <v>10708220</v>
      </c>
      <c r="R40" s="24" t="n"/>
      <c r="S40" s="11">
        <f>S38-S39</f>
        <v>10708220</v>
      </c>
    </row>
    <row r="41">
      <c r="B41" s="24" t="n"/>
      <c r="C41" s="24" t="n"/>
      <c r="D41" s="24" t="n"/>
      <c r="E41" s="24" t="n"/>
      <c r="F41" s="31" t="n">
        <v>0</v>
      </c>
      <c r="G41" s="32" t="n">
        <v>0</v>
      </c>
      <c r="H41" s="32" t="n">
        <v>0</v>
      </c>
      <c r="L41" s="30" t="inlineStr">
        <is>
          <t>PFA %</t>
        </is>
      </c>
      <c r="M41" s="24" t="n"/>
      <c r="N41" s="24" t="n"/>
      <c r="O41" s="24" t="n"/>
      <c r="P41" s="24" t="n"/>
      <c r="Q41" s="74">
        <f>IFERROR(Q40/Q38,0)</f>
        <v>0.6408953197887028</v>
      </c>
      <c r="R41" s="24" t="n"/>
      <c r="S41" s="74">
        <f>1-S42</f>
        <v>0.6408953197887028</v>
      </c>
    </row>
    <row r="42">
      <c r="B42" s="24" t="n"/>
      <c r="C42" s="24" t="n"/>
      <c r="D42" s="24" t="n"/>
      <c r="E42" s="24" t="n"/>
      <c r="F42" s="31" t="n">
        <v>0</v>
      </c>
      <c r="G42" s="32" t="n">
        <v>0</v>
      </c>
      <c r="H42" s="32" t="n">
        <v>0</v>
      </c>
      <c r="L42" s="72" t="inlineStr">
        <is>
          <t>Recovery %</t>
        </is>
      </c>
      <c r="M42" s="24" t="n"/>
      <c r="N42" s="24" t="n"/>
      <c r="O42" s="24" t="n"/>
      <c r="P42" s="24" t="n"/>
      <c r="Q42" s="75">
        <f>1-Q41</f>
        <v>0.3591046802112972</v>
      </c>
      <c r="R42" s="24" t="n"/>
      <c r="S42" s="76">
        <f>F46</f>
        <v>0.3591046802112972</v>
      </c>
    </row>
    <row r="43">
      <c r="A43" s="77" t="inlineStr">
        <is>
          <t>GST</t>
        </is>
      </c>
      <c r="B43" s="24" t="n"/>
      <c r="C43" s="24" t="n"/>
      <c r="D43" s="24" t="n"/>
      <c r="E43" s="24" t="n"/>
      <c r="F43" s="31" t="n">
        <v>0</v>
      </c>
      <c r="G43" s="32" t="n">
        <v>0</v>
      </c>
      <c r="H43" s="32" t="n">
        <v>0</v>
      </c>
    </row>
    <row r="44">
      <c r="A44" s="41" t="inlineStr">
        <is>
          <t>Total</t>
        </is>
      </c>
      <c r="B44" s="34" t="n"/>
      <c r="C44" s="34" t="n"/>
      <c r="D44" s="34" t="n"/>
      <c r="E44" s="34" t="n"/>
      <c r="F44" s="78">
        <f>SUM(F39:F43)</f>
        <v>2499</v>
      </c>
      <c r="G44" s="79">
        <f>SUM(G39:G43)</f>
        <v>6000000</v>
      </c>
      <c r="H44" s="79">
        <f>SUM(H39:H43)</f>
        <v>0</v>
      </c>
    </row>
    <row r="46">
      <c r="C46" s="80" t="inlineStr">
        <is>
          <t>Budgeted Recovery %</t>
        </is>
      </c>
      <c r="F46" s="81">
        <f>IFERROR(G39/$AB$5,0)</f>
        <v>0.3591046802112972</v>
      </c>
      <c r="G46" s="24" t="n"/>
    </row>
    <row r="47">
      <c r="L47" s="66" t="inlineStr">
        <is>
          <t>Gross Fee</t>
        </is>
      </c>
      <c r="M47" s="24" t="n"/>
      <c r="N47" s="66" t="inlineStr">
        <is>
          <t>Net Fee</t>
        </is>
      </c>
      <c r="O47" s="24" t="n"/>
      <c r="P47" s="66" t="inlineStr">
        <is>
          <t>Net CM</t>
        </is>
      </c>
      <c r="Q47" s="24" t="n"/>
      <c r="R47" s="66" t="inlineStr">
        <is>
          <t>Gross CM</t>
        </is>
      </c>
      <c r="S47" s="24" t="n"/>
    </row>
    <row r="48">
      <c r="L48" s="82" t="inlineStr">
        <is>
          <t>Fee</t>
        </is>
      </c>
      <c r="M48" s="82" t="inlineStr">
        <is>
          <t>Per/Hr</t>
        </is>
      </c>
      <c r="N48" s="82" t="inlineStr">
        <is>
          <t>Fee</t>
        </is>
      </c>
      <c r="O48" s="82" t="inlineStr">
        <is>
          <t>Per/Hr</t>
        </is>
      </c>
      <c r="P48" s="82" t="inlineStr">
        <is>
          <t xml:space="preserve"> %</t>
        </is>
      </c>
      <c r="Q48" s="77" t="n"/>
      <c r="R48" s="82" t="inlineStr">
        <is>
          <t xml:space="preserve"> %</t>
        </is>
      </c>
      <c r="S48" s="77" t="n"/>
      <c r="T48" s="82" t="inlineStr">
        <is>
          <t>Margin</t>
        </is>
      </c>
      <c r="V48" s="82" t="inlineStr">
        <is>
          <t>Staff Cost</t>
        </is>
      </c>
    </row>
    <row r="49">
      <c r="K49" s="67" t="str">
        <f>C7</f>
        <v>INR</v>
      </c>
      <c r="L49" s="11">
        <f>G44</f>
        <v>6000000</v>
      </c>
      <c r="M49" s="10">
        <f>IFERROR(L49/F44,0)</f>
        <v>2400.9603841536614</v>
      </c>
      <c r="N49" s="11">
        <f>G39</f>
        <v>6000000</v>
      </c>
      <c r="O49" s="10">
        <f>IFERROR(N49/V31,0)</f>
        <v>2400.9603841536614</v>
      </c>
      <c r="P49" s="83">
        <f>IFERROR((T49-(N49*5%))/N49,0)</f>
        <v>0.2338</v>
      </c>
      <c r="Q49" s="84" t="n"/>
      <c r="R49" s="83">
        <f>IFERROR((L49-V49-(G44-G39)-(N49*5%))/L49,0)</f>
        <v>0.2338</v>
      </c>
      <c r="S49" s="84" t="n"/>
      <c r="T49" s="11">
        <f>IFERROR(N49-V49,0)</f>
        <v>1702800</v>
      </c>
      <c r="V49" s="11">
        <f>IFERROR($AB$6,0)</f>
        <v>4297200</v>
      </c>
    </row>
    <row r="51">
      <c r="C51" s="85" t="n"/>
      <c r="D51" s="86" t="inlineStr">
        <is>
          <t>Data to be entered / editable</t>
        </is>
      </c>
      <c r="L51" s="87" t="inlineStr">
        <is>
          <t>Gross Contribution Margin is derived after considering direct staff cost, management fees, Sub-contractor cost and other direct cost.
Net Contribution Margin is derived after considering direct staff cost, management fees and other direct cost.</t>
        </is>
      </c>
      <c r="M51" s="22" t="n"/>
      <c r="N51" s="22" t="n"/>
      <c r="O51" s="22" t="n"/>
      <c r="P51" s="22" t="n"/>
      <c r="Q51" s="22" t="n"/>
      <c r="R51" s="22" t="n"/>
      <c r="S51" s="22" t="n"/>
    </row>
    <row r="52">
      <c r="C52" s="34" t="n"/>
      <c r="D52" s="86" t="inlineStr">
        <is>
          <t>Calculated - do not overwrite</t>
        </is>
      </c>
      <c r="L52" s="22" t="n"/>
      <c r="M52" s="22" t="n"/>
      <c r="N52" s="22" t="n"/>
      <c r="O52" s="22" t="n"/>
      <c r="P52" s="22" t="n"/>
      <c r="Q52" s="22" t="n"/>
      <c r="R52" s="22" t="n"/>
      <c r="S52" s="22" t="n"/>
    </row>
  </sheetData>
  <mergeCells count="71">
    <mergeCell ref="F11:G11"/>
    <mergeCell ref="C6:D6"/>
    <mergeCell ref="F29:G29"/>
    <mergeCell ref="F10:G10"/>
    <mergeCell ref="F16:G16"/>
    <mergeCell ref="A37:C37"/>
    <mergeCell ref="N47:O47"/>
    <mergeCell ref="F19:G19"/>
    <mergeCell ref="C5:D5"/>
    <mergeCell ref="F25:G25"/>
    <mergeCell ref="Q37:R37"/>
    <mergeCell ref="J6:J7"/>
    <mergeCell ref="P6:P7"/>
    <mergeCell ref="Q42:R42"/>
    <mergeCell ref="R6:R7"/>
    <mergeCell ref="L37:P37"/>
    <mergeCell ref="L47:M47"/>
    <mergeCell ref="V6:V7"/>
    <mergeCell ref="E37:H37"/>
    <mergeCell ref="C46:E46"/>
    <mergeCell ref="C4:D4"/>
    <mergeCell ref="Q39:R39"/>
    <mergeCell ref="F21:G21"/>
    <mergeCell ref="R49:S49"/>
    <mergeCell ref="L51:S52"/>
    <mergeCell ref="F12:G12"/>
    <mergeCell ref="F24:G24"/>
    <mergeCell ref="H6:I6"/>
    <mergeCell ref="F30:G30"/>
    <mergeCell ref="F15:G15"/>
    <mergeCell ref="F20:G20"/>
    <mergeCell ref="F18:G18"/>
    <mergeCell ref="Q38:R38"/>
    <mergeCell ref="M6:M7"/>
    <mergeCell ref="L42:P42"/>
    <mergeCell ref="P49:Q49"/>
    <mergeCell ref="Z4:AB4"/>
    <mergeCell ref="Q6:Q7"/>
    <mergeCell ref="H36:I36"/>
    <mergeCell ref="F26:G26"/>
    <mergeCell ref="S6:S7"/>
    <mergeCell ref="F17:G17"/>
    <mergeCell ref="L39:P39"/>
    <mergeCell ref="F8:G8"/>
    <mergeCell ref="A36:G36"/>
    <mergeCell ref="L36:S36"/>
    <mergeCell ref="Q40:R40"/>
    <mergeCell ref="L38:P38"/>
    <mergeCell ref="F23:G23"/>
    <mergeCell ref="R47:S47"/>
    <mergeCell ref="F31:G31"/>
    <mergeCell ref="L6:L7"/>
    <mergeCell ref="F46:G46"/>
    <mergeCell ref="F22:G22"/>
    <mergeCell ref="F6:G7"/>
    <mergeCell ref="N6:N7"/>
    <mergeCell ref="T6:T7"/>
    <mergeCell ref="F13:G13"/>
    <mergeCell ref="F28:G28"/>
    <mergeCell ref="F27:G27"/>
    <mergeCell ref="L41:P41"/>
    <mergeCell ref="P47:Q47"/>
    <mergeCell ref="C8:D8"/>
    <mergeCell ref="F9:G9"/>
    <mergeCell ref="L40:P40"/>
    <mergeCell ref="C7:D7"/>
    <mergeCell ref="K6:K7"/>
    <mergeCell ref="F14:G14"/>
    <mergeCell ref="Q41:R41"/>
    <mergeCell ref="O6:O7"/>
    <mergeCell ref="U6:U7"/>
  </mergeCells>
  <hyperlinks>
    <hyperlink ref="X4" ns1:id="rId1"/>
    <hyperlink ref="X6" ns1:id="rId2"/>
  </hyperlinks>
  <pageMargins left="0.75" right="0.75" top="1" bottom="1" header="0.5" footer="0.5"/>
</worksheet>
</file>

<file path=xl/worksheets/sheet4.xml><?xml version="1.0" encoding="utf-8"?>
<worksheet xmlns="http://schemas.openxmlformats.org/spreadsheetml/2006/main" xmlns:ns1="http://schemas.openxmlformats.org/officeDocument/2006/relationships">
  <sheetPr>
    <tabColor rgb="00E57200"/>
    <outlinePr summaryBelow="1" summaryRight="1"/>
    <pageSetUpPr/>
  </sheetPr>
  <dimension ref="A1:AB51"/>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SUMPRODUCT(J30:U30,Ratesheet!$B$23:$M$23)</f>
        <v>14252160</v>
      </c>
    </row>
    <row r="6" ht="26" customHeight="1">
      <c r="A6" s="52" t="inlineStr">
        <is>
          <t>Project Description:</t>
        </is>
      </c>
      <c r="B6" s="24" t="n"/>
      <c r="C6" s="53" t="inlineStr">
        <is>
          <t>Pre-Audit Checks Automation</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SUMPRODUCT(J30:U30,Ratesheet!$B$24:$M$24)</f>
        <v>3627768</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IFERROR(AB5/V30,0)</f>
        <v>6522.727688787186</v>
      </c>
    </row>
    <row r="8">
      <c r="A8" s="52" t="inlineStr">
        <is>
          <t>Project Type:</t>
        </is>
      </c>
      <c r="B8" s="24" t="n"/>
      <c r="C8" s="53" t="inlineStr">
        <is>
          <t>Fixed Fee (Incl. Outlays)</t>
        </is>
      </c>
      <c r="D8" s="24" t="n"/>
      <c r="F8" s="30" t="inlineStr">
        <is>
          <t>Requirement Gathering &amp; Audit Programme Study</t>
        </is>
      </c>
      <c r="G8" s="24" t="n"/>
      <c r="H8" s="58" t="inlineStr">
        <is>
          <t>India</t>
        </is>
      </c>
      <c r="I8" s="58" t="inlineStr">
        <is>
          <t>R&amp;C</t>
        </is>
      </c>
      <c r="J8" s="59" t="n">
        <v>2</v>
      </c>
      <c r="K8" s="59" t="n"/>
      <c r="L8" s="59" t="n">
        <v>10</v>
      </c>
      <c r="M8" s="59" t="n">
        <v>10</v>
      </c>
      <c r="N8" s="59" t="n"/>
      <c r="O8" s="59" t="n"/>
      <c r="P8" s="59" t="n">
        <v>16</v>
      </c>
      <c r="Q8" s="59" t="n">
        <v>16</v>
      </c>
      <c r="R8" s="59" t="n">
        <v>20</v>
      </c>
      <c r="S8" s="59" t="n">
        <v>20</v>
      </c>
      <c r="T8" s="59" t="n"/>
      <c r="U8" s="59" t="n"/>
      <c r="V8" s="60">
        <f>SUM(J8:U8)</f>
        <v>94</v>
      </c>
      <c r="Z8" s="30" t="inlineStr">
        <is>
          <t>Blended cost / hr</t>
        </is>
      </c>
      <c r="AA8" s="24" t="n"/>
      <c r="AB8" s="10">
        <f>IFERROR(AB6/V30,0)</f>
        <v>1660.3057208237985</v>
      </c>
    </row>
    <row r="9">
      <c r="F9" s="30" t="inlineStr">
        <is>
          <t>Technical Architecture, Design &amp; Planning</t>
        </is>
      </c>
      <c r="G9" s="24" t="n"/>
      <c r="H9" s="58" t="inlineStr">
        <is>
          <t>India</t>
        </is>
      </c>
      <c r="I9" s="58" t="inlineStr">
        <is>
          <t>R&amp;C</t>
        </is>
      </c>
      <c r="J9" s="59" t="n">
        <v>2</v>
      </c>
      <c r="K9" s="59" t="n"/>
      <c r="L9" s="59" t="n">
        <v>12</v>
      </c>
      <c r="M9" s="59" t="n">
        <v>12</v>
      </c>
      <c r="N9" s="59" t="n"/>
      <c r="O9" s="59" t="n"/>
      <c r="P9" s="59" t="n">
        <v>16</v>
      </c>
      <c r="Q9" s="59" t="n">
        <v>16</v>
      </c>
      <c r="R9" s="59" t="n">
        <v>16</v>
      </c>
      <c r="S9" s="59" t="n">
        <v>16</v>
      </c>
      <c r="T9" s="59" t="n"/>
      <c r="U9" s="59" t="n"/>
      <c r="V9" s="60">
        <f>SUM(J9:U9)</f>
        <v>90</v>
      </c>
    </row>
    <row r="10">
      <c r="F10" s="30" t="inlineStr">
        <is>
          <t>Data Model &amp; Database Design</t>
        </is>
      </c>
      <c r="G10" s="24" t="n"/>
      <c r="H10" s="58" t="inlineStr">
        <is>
          <t>India</t>
        </is>
      </c>
      <c r="I10" s="58" t="inlineStr">
        <is>
          <t>R&amp;C</t>
        </is>
      </c>
      <c r="J10" s="59" t="n">
        <v>1</v>
      </c>
      <c r="K10" s="59" t="n"/>
      <c r="L10" s="59" t="n">
        <v>4</v>
      </c>
      <c r="M10" s="59" t="n">
        <v>6</v>
      </c>
      <c r="N10" s="59" t="n"/>
      <c r="O10" s="59" t="n"/>
      <c r="P10" s="59" t="n">
        <v>12</v>
      </c>
      <c r="Q10" s="59" t="n">
        <v>16</v>
      </c>
      <c r="R10" s="59" t="n">
        <v>20</v>
      </c>
      <c r="S10" s="59" t="n">
        <v>20</v>
      </c>
      <c r="T10" s="59" t="n"/>
      <c r="U10" s="59" t="n"/>
      <c r="V10" s="60">
        <f>SUM(J10:U10)</f>
        <v>79</v>
      </c>
    </row>
    <row r="11">
      <c r="F11" s="30" t="inlineStr">
        <is>
          <t>Multi-System Ingestion (CBS, LOS, LMS, GL, HRMS, CRM)</t>
        </is>
      </c>
      <c r="G11" s="24" t="n"/>
      <c r="H11" s="58" t="inlineStr">
        <is>
          <t>India</t>
        </is>
      </c>
      <c r="I11" s="58" t="inlineStr">
        <is>
          <t>R&amp;C</t>
        </is>
      </c>
      <c r="J11" s="59" t="n"/>
      <c r="K11" s="59" t="n"/>
      <c r="L11" s="59" t="n">
        <v>4</v>
      </c>
      <c r="M11" s="59" t="n">
        <v>12</v>
      </c>
      <c r="N11" s="59" t="n"/>
      <c r="O11" s="59" t="n"/>
      <c r="P11" s="59" t="n">
        <v>28</v>
      </c>
      <c r="Q11" s="59" t="n">
        <v>36</v>
      </c>
      <c r="R11" s="59" t="n">
        <v>56</v>
      </c>
      <c r="S11" s="59" t="n">
        <v>56</v>
      </c>
      <c r="T11" s="59" t="n"/>
      <c r="U11" s="59" t="n"/>
      <c r="V11" s="60">
        <f>SUM(J11:U11)</f>
        <v>192</v>
      </c>
    </row>
    <row r="12">
      <c r="F12" s="30" t="inlineStr">
        <is>
          <t>File-Based Ingestion &amp; Automated Schema Validation</t>
        </is>
      </c>
      <c r="G12" s="24" t="n"/>
      <c r="H12" s="58" t="inlineStr">
        <is>
          <t>India</t>
        </is>
      </c>
      <c r="I12" s="58" t="inlineStr">
        <is>
          <t>R&amp;C</t>
        </is>
      </c>
      <c r="J12" s="59" t="n"/>
      <c r="K12" s="59" t="n"/>
      <c r="L12" s="59" t="n"/>
      <c r="M12" s="59" t="n">
        <v>4</v>
      </c>
      <c r="N12" s="59" t="n"/>
      <c r="O12" s="59" t="n"/>
      <c r="P12" s="59" t="n">
        <v>12</v>
      </c>
      <c r="Q12" s="59" t="n">
        <v>16</v>
      </c>
      <c r="R12" s="59" t="n">
        <v>24</v>
      </c>
      <c r="S12" s="59" t="n">
        <v>24</v>
      </c>
      <c r="T12" s="59" t="n"/>
      <c r="U12" s="59" t="n"/>
      <c r="V12" s="60">
        <f>SUM(J12:U12)</f>
        <v>80</v>
      </c>
    </row>
    <row r="13">
      <c r="F13" s="30" t="inlineStr">
        <is>
          <t>Pre-Audit Validation Rule Library (5 control domains)</t>
        </is>
      </c>
      <c r="G13" s="24" t="n"/>
      <c r="H13" s="58" t="inlineStr">
        <is>
          <t>India</t>
        </is>
      </c>
      <c r="I13" s="58" t="inlineStr">
        <is>
          <t>R&amp;C</t>
        </is>
      </c>
      <c r="J13" s="59" t="n"/>
      <c r="K13" s="59" t="n"/>
      <c r="L13" s="59" t="n">
        <v>4</v>
      </c>
      <c r="M13" s="59" t="n">
        <v>12</v>
      </c>
      <c r="N13" s="59" t="n"/>
      <c r="O13" s="59" t="n"/>
      <c r="P13" s="59" t="n">
        <v>24</v>
      </c>
      <c r="Q13" s="59" t="n">
        <v>32</v>
      </c>
      <c r="R13" s="59" t="n">
        <v>48</v>
      </c>
      <c r="S13" s="59" t="n">
        <v>48</v>
      </c>
      <c r="T13" s="59" t="n"/>
      <c r="U13" s="59" t="n"/>
      <c r="V13" s="60">
        <f>SUM(J13:U13)</f>
        <v>168</v>
      </c>
    </row>
    <row r="14">
      <c r="F14" s="30" t="inlineStr">
        <is>
          <t>Custom Rule Builder &amp; What-If Simulation</t>
        </is>
      </c>
      <c r="G14" s="24" t="n"/>
      <c r="H14" s="58" t="inlineStr">
        <is>
          <t>India</t>
        </is>
      </c>
      <c r="I14" s="58" t="inlineStr">
        <is>
          <t>R&amp;C</t>
        </is>
      </c>
      <c r="J14" s="59" t="n"/>
      <c r="K14" s="59" t="n"/>
      <c r="L14" s="59" t="n">
        <v>2</v>
      </c>
      <c r="M14" s="59" t="n">
        <v>8</v>
      </c>
      <c r="N14" s="59" t="n"/>
      <c r="O14" s="59" t="n"/>
      <c r="P14" s="59" t="n">
        <v>20</v>
      </c>
      <c r="Q14" s="59" t="n">
        <v>24</v>
      </c>
      <c r="R14" s="59" t="n">
        <v>36</v>
      </c>
      <c r="S14" s="59" t="n">
        <v>36</v>
      </c>
      <c r="T14" s="59" t="n"/>
      <c r="U14" s="59" t="n"/>
      <c r="V14" s="60">
        <f>SUM(J14:U14)</f>
        <v>126</v>
      </c>
    </row>
    <row r="15">
      <c r="F15" s="30" t="inlineStr">
        <is>
          <t>Automated Sampling Engine (risk/random/stratified)</t>
        </is>
      </c>
      <c r="G15" s="24" t="n"/>
      <c r="H15" s="58" t="inlineStr">
        <is>
          <t>India</t>
        </is>
      </c>
      <c r="I15" s="58" t="inlineStr">
        <is>
          <t>R&amp;C</t>
        </is>
      </c>
      <c r="J15" s="59" t="n"/>
      <c r="K15" s="59" t="n"/>
      <c r="L15" s="59" t="n">
        <v>2</v>
      </c>
      <c r="M15" s="59" t="n">
        <v>8</v>
      </c>
      <c r="N15" s="59" t="n"/>
      <c r="O15" s="59" t="n"/>
      <c r="P15" s="59" t="n">
        <v>16</v>
      </c>
      <c r="Q15" s="59" t="n">
        <v>20</v>
      </c>
      <c r="R15" s="59" t="n">
        <v>32</v>
      </c>
      <c r="S15" s="59" t="n">
        <v>32</v>
      </c>
      <c r="T15" s="59" t="n"/>
      <c r="U15" s="59" t="n"/>
      <c r="V15" s="60">
        <f>SUM(J15:U15)</f>
        <v>110</v>
      </c>
    </row>
    <row r="16">
      <c r="F16" s="30" t="inlineStr">
        <is>
          <t>Dynamic Checklist Generation &amp; Auto-Population</t>
        </is>
      </c>
      <c r="G16" s="24" t="n"/>
      <c r="H16" s="58" t="inlineStr">
        <is>
          <t>India</t>
        </is>
      </c>
      <c r="I16" s="58" t="inlineStr">
        <is>
          <t>R&amp;C</t>
        </is>
      </c>
      <c r="J16" s="59" t="n"/>
      <c r="K16" s="59" t="n"/>
      <c r="L16" s="59" t="n"/>
      <c r="M16" s="59" t="n">
        <v>6</v>
      </c>
      <c r="N16" s="59" t="n"/>
      <c r="O16" s="59" t="n"/>
      <c r="P16" s="59" t="n">
        <v>16</v>
      </c>
      <c r="Q16" s="59" t="n">
        <v>20</v>
      </c>
      <c r="R16" s="59" t="n">
        <v>28</v>
      </c>
      <c r="S16" s="59" t="n">
        <v>28</v>
      </c>
      <c r="T16" s="59" t="n"/>
      <c r="U16" s="59" t="n"/>
      <c r="V16" s="60">
        <f>SUM(J16:U16)</f>
        <v>98</v>
      </c>
    </row>
    <row r="17">
      <c r="F17" s="30" t="inlineStr">
        <is>
          <t>Exception Reporting, Severity Tagging &amp; Risk Flags</t>
        </is>
      </c>
      <c r="G17" s="24" t="n"/>
      <c r="H17" s="58" t="inlineStr">
        <is>
          <t>India</t>
        </is>
      </c>
      <c r="I17" s="58" t="inlineStr">
        <is>
          <t>R&amp;C</t>
        </is>
      </c>
      <c r="J17" s="59" t="n"/>
      <c r="K17" s="59" t="n"/>
      <c r="L17" s="59" t="n"/>
      <c r="M17" s="59" t="n">
        <v>6</v>
      </c>
      <c r="N17" s="59" t="n"/>
      <c r="O17" s="59" t="n"/>
      <c r="P17" s="59" t="n">
        <v>16</v>
      </c>
      <c r="Q17" s="59" t="n">
        <v>20</v>
      </c>
      <c r="R17" s="59" t="n">
        <v>28</v>
      </c>
      <c r="S17" s="59" t="n">
        <v>28</v>
      </c>
      <c r="T17" s="59" t="n"/>
      <c r="U17" s="59" t="n"/>
      <c r="V17" s="60">
        <f>SUM(J17:U17)</f>
        <v>98</v>
      </c>
    </row>
    <row r="18">
      <c r="F18" s="30" t="inlineStr">
        <is>
          <t>API Layer &amp; Microservices Implementation</t>
        </is>
      </c>
      <c r="G18" s="24" t="n"/>
      <c r="H18" s="58" t="inlineStr">
        <is>
          <t>India</t>
        </is>
      </c>
      <c r="I18" s="58" t="inlineStr">
        <is>
          <t>R&amp;C</t>
        </is>
      </c>
      <c r="J18" s="59" t="n"/>
      <c r="K18" s="59" t="n"/>
      <c r="L18" s="59" t="n">
        <v>2</v>
      </c>
      <c r="M18" s="59" t="n">
        <v>6</v>
      </c>
      <c r="N18" s="59" t="n"/>
      <c r="O18" s="59" t="n"/>
      <c r="P18" s="59" t="n">
        <v>16</v>
      </c>
      <c r="Q18" s="59" t="n">
        <v>20</v>
      </c>
      <c r="R18" s="59" t="n">
        <v>32</v>
      </c>
      <c r="S18" s="59" t="n">
        <v>32</v>
      </c>
      <c r="T18" s="59" t="n"/>
      <c r="U18" s="59" t="n"/>
      <c r="V18" s="60">
        <f>SUM(J18:U18)</f>
        <v>108</v>
      </c>
    </row>
    <row r="19">
      <c r="F19" s="30" t="inlineStr">
        <is>
          <t>Frontend Design &amp; Audit Readiness Dashboards</t>
        </is>
      </c>
      <c r="G19" s="24" t="n"/>
      <c r="H19" s="58" t="inlineStr">
        <is>
          <t>India</t>
        </is>
      </c>
      <c r="I19" s="58" t="inlineStr">
        <is>
          <t>R&amp;C</t>
        </is>
      </c>
      <c r="J19" s="59" t="n"/>
      <c r="K19" s="59" t="n"/>
      <c r="L19" s="59" t="n"/>
      <c r="M19" s="59" t="n">
        <v>8</v>
      </c>
      <c r="N19" s="59" t="n"/>
      <c r="O19" s="59" t="n"/>
      <c r="P19" s="59" t="n">
        <v>20</v>
      </c>
      <c r="Q19" s="59" t="n">
        <v>28</v>
      </c>
      <c r="R19" s="59" t="n">
        <v>40</v>
      </c>
      <c r="S19" s="59" t="n">
        <v>40</v>
      </c>
      <c r="T19" s="59" t="n"/>
      <c r="U19" s="59" t="n"/>
      <c r="V19" s="60">
        <f>SUM(J19:U19)</f>
        <v>136</v>
      </c>
    </row>
    <row r="20">
      <c r="F20" s="30" t="inlineStr">
        <is>
          <t>FE &amp; BE Integration</t>
        </is>
      </c>
      <c r="G20" s="24" t="n"/>
      <c r="H20" s="58" t="inlineStr">
        <is>
          <t>India</t>
        </is>
      </c>
      <c r="I20" s="58" t="inlineStr">
        <is>
          <t>R&amp;C</t>
        </is>
      </c>
      <c r="J20" s="59" t="n"/>
      <c r="K20" s="59" t="n"/>
      <c r="L20" s="59" t="n"/>
      <c r="M20" s="59" t="n">
        <v>6</v>
      </c>
      <c r="N20" s="59" t="n"/>
      <c r="O20" s="59" t="n"/>
      <c r="P20" s="59" t="n">
        <v>16</v>
      </c>
      <c r="Q20" s="59" t="n">
        <v>20</v>
      </c>
      <c r="R20" s="59" t="n">
        <v>24</v>
      </c>
      <c r="S20" s="59" t="n">
        <v>24</v>
      </c>
      <c r="T20" s="59" t="n"/>
      <c r="U20" s="59" t="n"/>
      <c r="V20" s="60">
        <f>SUM(J20:U20)</f>
        <v>90</v>
      </c>
    </row>
    <row r="21">
      <c r="F21" s="30" t="inlineStr">
        <is>
          <t>Workflow, Query Management &amp; Collaboration</t>
        </is>
      </c>
      <c r="G21" s="24" t="n"/>
      <c r="H21" s="58" t="inlineStr">
        <is>
          <t>India</t>
        </is>
      </c>
      <c r="I21" s="58" t="inlineStr">
        <is>
          <t>R&amp;C</t>
        </is>
      </c>
      <c r="J21" s="59" t="n"/>
      <c r="K21" s="59" t="n"/>
      <c r="L21" s="59" t="n"/>
      <c r="M21" s="59" t="n">
        <v>6</v>
      </c>
      <c r="N21" s="59" t="n"/>
      <c r="O21" s="59" t="n"/>
      <c r="P21" s="59" t="n">
        <v>16</v>
      </c>
      <c r="Q21" s="59" t="n">
        <v>20</v>
      </c>
      <c r="R21" s="59" t="n">
        <v>28</v>
      </c>
      <c r="S21" s="59" t="n">
        <v>28</v>
      </c>
      <c r="T21" s="59" t="n"/>
      <c r="U21" s="59" t="n"/>
      <c r="V21" s="60">
        <f>SUM(J21:U21)</f>
        <v>98</v>
      </c>
    </row>
    <row r="22">
      <c r="F22" s="30" t="inlineStr">
        <is>
          <t>Reporting &amp; Export Engine (PDF / Excel / Word)</t>
        </is>
      </c>
      <c r="G22" s="24" t="n"/>
      <c r="H22" s="58" t="inlineStr">
        <is>
          <t>India</t>
        </is>
      </c>
      <c r="I22" s="58" t="inlineStr">
        <is>
          <t>R&amp;C</t>
        </is>
      </c>
      <c r="J22" s="59" t="n"/>
      <c r="K22" s="59" t="n"/>
      <c r="L22" s="59" t="n"/>
      <c r="M22" s="59" t="n">
        <v>4</v>
      </c>
      <c r="N22" s="59" t="n"/>
      <c r="O22" s="59" t="n"/>
      <c r="P22" s="59" t="n">
        <v>12</v>
      </c>
      <c r="Q22" s="59" t="n">
        <v>16</v>
      </c>
      <c r="R22" s="59" t="n">
        <v>20</v>
      </c>
      <c r="S22" s="59" t="n">
        <v>20</v>
      </c>
      <c r="T22" s="59" t="n"/>
      <c r="U22" s="59" t="n"/>
      <c r="V22" s="60">
        <f>SUM(J22:U22)</f>
        <v>72</v>
      </c>
    </row>
    <row r="23">
      <c r="F23" s="30" t="inlineStr">
        <is>
          <t>Auth, RBAC, Audit Trail &amp; NFR Implementation</t>
        </is>
      </c>
      <c r="G23" s="24" t="n"/>
      <c r="H23" s="58" t="inlineStr">
        <is>
          <t>India</t>
        </is>
      </c>
      <c r="I23" s="58" t="inlineStr">
        <is>
          <t>R&amp;C</t>
        </is>
      </c>
      <c r="J23" s="59" t="n"/>
      <c r="K23" s="59" t="n"/>
      <c r="L23" s="59" t="n"/>
      <c r="M23" s="59" t="n">
        <v>6</v>
      </c>
      <c r="N23" s="59" t="n"/>
      <c r="O23" s="59" t="n"/>
      <c r="P23" s="59" t="n">
        <v>16</v>
      </c>
      <c r="Q23" s="59" t="n">
        <v>20</v>
      </c>
      <c r="R23" s="59" t="n">
        <v>24</v>
      </c>
      <c r="S23" s="59" t="n">
        <v>24</v>
      </c>
      <c r="T23" s="59" t="n"/>
      <c r="U23" s="59" t="n"/>
      <c r="V23" s="60">
        <f>SUM(J23:U23)</f>
        <v>90</v>
      </c>
    </row>
    <row r="24">
      <c r="F24" s="30" t="inlineStr">
        <is>
          <t>Component Testing &amp; SIT</t>
        </is>
      </c>
      <c r="G24" s="24" t="n"/>
      <c r="H24" s="58" t="inlineStr">
        <is>
          <t>India</t>
        </is>
      </c>
      <c r="I24" s="58" t="inlineStr">
        <is>
          <t>R&amp;C</t>
        </is>
      </c>
      <c r="J24" s="59" t="n"/>
      <c r="K24" s="59" t="n"/>
      <c r="L24" s="59" t="n">
        <v>2</v>
      </c>
      <c r="M24" s="59" t="n">
        <v>6</v>
      </c>
      <c r="N24" s="59" t="n"/>
      <c r="O24" s="59" t="n"/>
      <c r="P24" s="59" t="n">
        <v>16</v>
      </c>
      <c r="Q24" s="59" t="n">
        <v>24</v>
      </c>
      <c r="R24" s="59" t="n">
        <v>32</v>
      </c>
      <c r="S24" s="59" t="n">
        <v>32</v>
      </c>
      <c r="T24" s="59" t="n"/>
      <c r="U24" s="59" t="n"/>
      <c r="V24" s="60">
        <f>SUM(J24:U24)</f>
        <v>112</v>
      </c>
    </row>
    <row r="25">
      <c r="F25" s="30" t="inlineStr">
        <is>
          <t>User Acceptance Testing (incl. Bug Fixing)</t>
        </is>
      </c>
      <c r="G25" s="24" t="n"/>
      <c r="H25" s="58" t="inlineStr">
        <is>
          <t>India</t>
        </is>
      </c>
      <c r="I25" s="58" t="inlineStr">
        <is>
          <t>R&amp;C</t>
        </is>
      </c>
      <c r="J25" s="59" t="n"/>
      <c r="K25" s="59" t="n"/>
      <c r="L25" s="59" t="n">
        <v>1</v>
      </c>
      <c r="M25" s="59" t="n">
        <v>4</v>
      </c>
      <c r="N25" s="59" t="n"/>
      <c r="O25" s="59" t="n"/>
      <c r="P25" s="59" t="n">
        <v>12</v>
      </c>
      <c r="Q25" s="59" t="n">
        <v>16</v>
      </c>
      <c r="R25" s="59" t="n">
        <v>24</v>
      </c>
      <c r="S25" s="59" t="n">
        <v>24</v>
      </c>
      <c r="T25" s="59" t="n"/>
      <c r="U25" s="59" t="n"/>
      <c r="V25" s="60">
        <f>SUM(J25:U25)</f>
        <v>81</v>
      </c>
    </row>
    <row r="26">
      <c r="F26" s="30" t="inlineStr">
        <is>
          <t>Documentation (Technical, User, DR/BCP)</t>
        </is>
      </c>
      <c r="G26" s="24" t="n"/>
      <c r="H26" s="58" t="inlineStr">
        <is>
          <t>India</t>
        </is>
      </c>
      <c r="I26" s="58" t="inlineStr">
        <is>
          <t>R&amp;C</t>
        </is>
      </c>
      <c r="J26" s="59" t="n"/>
      <c r="K26" s="59" t="n"/>
      <c r="L26" s="59" t="n"/>
      <c r="M26" s="59" t="n">
        <v>4</v>
      </c>
      <c r="N26" s="59" t="n"/>
      <c r="O26" s="59" t="n"/>
      <c r="P26" s="59" t="n">
        <v>8</v>
      </c>
      <c r="Q26" s="59" t="n">
        <v>12</v>
      </c>
      <c r="R26" s="59" t="n">
        <v>16</v>
      </c>
      <c r="S26" s="59" t="n">
        <v>16</v>
      </c>
      <c r="T26" s="59" t="n"/>
      <c r="U26" s="59" t="n"/>
      <c r="V26" s="60">
        <f>SUM(J26:U26)</f>
        <v>56</v>
      </c>
    </row>
    <row r="27">
      <c r="F27" s="30" t="inlineStr">
        <is>
          <t>PMO &amp; Programme Governance</t>
        </is>
      </c>
      <c r="G27" s="24" t="n"/>
      <c r="H27" s="58" t="inlineStr">
        <is>
          <t>India</t>
        </is>
      </c>
      <c r="I27" s="58" t="inlineStr">
        <is>
          <t>R&amp;C</t>
        </is>
      </c>
      <c r="J27" s="59" t="n"/>
      <c r="K27" s="59" t="n"/>
      <c r="L27" s="59" t="n"/>
      <c r="M27" s="59" t="n"/>
      <c r="N27" s="59" t="n">
        <v>110</v>
      </c>
      <c r="O27" s="59" t="n"/>
      <c r="P27" s="59" t="n"/>
      <c r="Q27" s="59" t="n"/>
      <c r="R27" s="59" t="n"/>
      <c r="S27" s="59" t="n"/>
      <c r="T27" s="59" t="n"/>
      <c r="U27" s="59" t="n"/>
      <c r="V27" s="60">
        <f>SUM(J27:U27)</f>
        <v>110</v>
      </c>
    </row>
    <row r="28">
      <c r="F28" s="30" t="inlineStr">
        <is>
          <t>Go-live &amp; Hypercare Support</t>
        </is>
      </c>
      <c r="G28" s="24" t="n"/>
      <c r="H28" s="58" t="inlineStr">
        <is>
          <t>India</t>
        </is>
      </c>
      <c r="I28" s="58" t="inlineStr">
        <is>
          <t>R&amp;C</t>
        </is>
      </c>
      <c r="J28" s="59" t="n"/>
      <c r="K28" s="59" t="n"/>
      <c r="L28" s="59" t="n"/>
      <c r="M28" s="59" t="n">
        <v>4</v>
      </c>
      <c r="N28" s="59" t="n"/>
      <c r="O28" s="59" t="n"/>
      <c r="P28" s="59" t="n">
        <v>8</v>
      </c>
      <c r="Q28" s="59" t="n">
        <v>12</v>
      </c>
      <c r="R28" s="59" t="n">
        <v>12</v>
      </c>
      <c r="S28" s="59" t="n">
        <v>12</v>
      </c>
      <c r="T28" s="59" t="n"/>
      <c r="U28" s="59" t="n"/>
      <c r="V28" s="60">
        <f>SUM(J28:U28)</f>
        <v>48</v>
      </c>
    </row>
    <row r="29">
      <c r="F29" s="30" t="inlineStr">
        <is>
          <t>Handover &amp; Knowledge Transfer</t>
        </is>
      </c>
      <c r="G29" s="24" t="n"/>
      <c r="H29" s="58" t="inlineStr">
        <is>
          <t>India</t>
        </is>
      </c>
      <c r="I29" s="58" t="inlineStr">
        <is>
          <t>R&amp;C</t>
        </is>
      </c>
      <c r="J29" s="59" t="n">
        <v>1</v>
      </c>
      <c r="K29" s="59" t="n"/>
      <c r="L29" s="59" t="n">
        <v>4</v>
      </c>
      <c r="M29" s="59" t="n">
        <v>4</v>
      </c>
      <c r="N29" s="59" t="n"/>
      <c r="O29" s="59" t="n"/>
      <c r="P29" s="59" t="n">
        <v>8</v>
      </c>
      <c r="Q29" s="59" t="n">
        <v>8</v>
      </c>
      <c r="R29" s="59" t="n">
        <v>12</v>
      </c>
      <c r="S29" s="59" t="n">
        <v>12</v>
      </c>
      <c r="T29" s="59" t="n"/>
      <c r="U29" s="59" t="n"/>
      <c r="V29" s="60">
        <f>SUM(J29:U29)</f>
        <v>49</v>
      </c>
    </row>
    <row r="30">
      <c r="F30" s="33" t="inlineStr">
        <is>
          <t>Total</t>
        </is>
      </c>
      <c r="G30" s="24" t="n"/>
      <c r="H30" s="34" t="n"/>
      <c r="I30" s="34" t="n"/>
      <c r="J30" s="61">
        <f>SUM(J8:J29)</f>
        <v>6</v>
      </c>
      <c r="K30" s="61">
        <f>SUM(K8:K29)</f>
        <v>0</v>
      </c>
      <c r="L30" s="61">
        <f>SUM(L8:L29)</f>
        <v>47</v>
      </c>
      <c r="M30" s="61">
        <f>SUM(M8:M29)</f>
        <v>142</v>
      </c>
      <c r="N30" s="61">
        <f>SUM(N8:N29)</f>
        <v>110</v>
      </c>
      <c r="O30" s="61">
        <f>SUM(O8:O29)</f>
        <v>0</v>
      </c>
      <c r="P30" s="61">
        <f>SUM(P8:P29)</f>
        <v>324</v>
      </c>
      <c r="Q30" s="61">
        <f>SUM(Q8:Q29)</f>
        <v>412</v>
      </c>
      <c r="R30" s="61">
        <f>SUM(R8:R29)</f>
        <v>572</v>
      </c>
      <c r="S30" s="61">
        <f>SUM(S8:S29)</f>
        <v>572</v>
      </c>
      <c r="T30" s="61">
        <f>SUM(T8:T29)</f>
        <v>0</v>
      </c>
      <c r="U30" s="61">
        <f>SUM(U8:U29)</f>
        <v>0</v>
      </c>
      <c r="V30" s="62">
        <f>SUM(V8:V29)</f>
        <v>2185</v>
      </c>
    </row>
    <row r="32">
      <c r="H32" s="63" t="inlineStr">
        <is>
          <t>Project Mix</t>
        </is>
      </c>
      <c r="J32" s="64">
        <f>IFERROR(J30/$V$30,0)</f>
        <v>0.002745995423340961</v>
      </c>
      <c r="K32" s="64">
        <f>IFERROR(K30/$V$30,0)</f>
        <v>0</v>
      </c>
      <c r="L32" s="64">
        <f>IFERROR(L30/$V$30,0)</f>
        <v>0.021510297482837528</v>
      </c>
      <c r="M32" s="64">
        <f>IFERROR(M30/$V$30,0)</f>
        <v>0.06498855835240275</v>
      </c>
      <c r="N32" s="64">
        <f>IFERROR(N30/$V$30,0)</f>
        <v>0.05034324942791762</v>
      </c>
      <c r="O32" s="64">
        <f>IFERROR(O30/$V$30,0)</f>
        <v>0</v>
      </c>
      <c r="P32" s="64">
        <f>IFERROR(P30/$V$30,0)</f>
        <v>0.1482837528604119</v>
      </c>
      <c r="Q32" s="64">
        <f>IFERROR(Q30/$V$30,0)</f>
        <v>0.188558352402746</v>
      </c>
      <c r="R32" s="64">
        <f>IFERROR(R30/$V$30,0)</f>
        <v>0.2617848970251716</v>
      </c>
      <c r="S32" s="64">
        <f>IFERROR(S30/$V$30,0)</f>
        <v>0.2617848970251716</v>
      </c>
      <c r="T32" s="64">
        <f>IFERROR(T30/$V$30,0)</f>
        <v>0</v>
      </c>
      <c r="U32" s="64">
        <f>IFERROR(U30/$V$30,0)</f>
        <v>0</v>
      </c>
    </row>
    <row r="35">
      <c r="A35" s="33" t="inlineStr">
        <is>
          <t>F E E    B R E A K  D O W N</t>
        </is>
      </c>
      <c r="B35" s="65" t="n"/>
      <c r="C35" s="65" t="n"/>
      <c r="D35" s="65" t="n"/>
      <c r="E35" s="65" t="n"/>
      <c r="F35" s="65" t="n"/>
      <c r="G35" s="65" t="n"/>
      <c r="H35" s="66" t="str">
        <f>" All Values in ( "&amp;C7&amp;" )"</f>
        <v> All Values in ( INR )</v>
      </c>
      <c r="I35" s="24" t="n"/>
      <c r="L35" s="67" t="inlineStr">
        <is>
          <t>What if analysis - FYI Only</t>
        </is>
      </c>
      <c r="M35" s="22" t="n"/>
      <c r="N35" s="22" t="n"/>
      <c r="O35" s="22" t="n"/>
      <c r="P35" s="22" t="n"/>
      <c r="Q35" s="22" t="n"/>
      <c r="R35" s="22" t="n"/>
      <c r="S35" s="22" t="n"/>
    </row>
    <row r="36">
      <c r="A36" s="68" t="inlineStr">
        <is>
          <t>Total Engagement Value</t>
        </is>
      </c>
      <c r="B36" s="24" t="n"/>
      <c r="C36" s="24" t="n"/>
      <c r="D36" s="69" t="n">
        <v>5000000</v>
      </c>
      <c r="E36" s="70" t="inlineStr">
        <is>
          <t>Expenses Budgeting</t>
        </is>
      </c>
      <c r="F36" s="24" t="n"/>
      <c r="G36" s="24" t="n"/>
      <c r="H36" s="24" t="n"/>
      <c r="L36" s="66" t="inlineStr">
        <is>
          <t>Pricing Tool - Home Office</t>
        </is>
      </c>
      <c r="M36" s="65" t="n"/>
      <c r="N36" s="65" t="n"/>
      <c r="O36" s="65" t="n"/>
      <c r="P36" s="65" t="n"/>
      <c r="Q36" s="66" t="inlineStr">
        <is>
          <t>Fee Amount</t>
        </is>
      </c>
      <c r="R36" s="24" t="n"/>
      <c r="S36" s="71" t="inlineStr">
        <is>
          <t>Recovery %</t>
        </is>
      </c>
    </row>
    <row r="37">
      <c r="A37" s="66" t="inlineStr">
        <is>
          <t>Description</t>
        </is>
      </c>
      <c r="B37" s="34" t="n"/>
      <c r="C37" s="34" t="n"/>
      <c r="D37" s="66" t="inlineStr">
        <is>
          <t>Org./ Name</t>
        </is>
      </c>
      <c r="E37" s="34" t="n"/>
      <c r="F37" s="66" t="inlineStr">
        <is>
          <t>Hours Breakdown</t>
        </is>
      </c>
      <c r="G37" s="66" t="inlineStr">
        <is>
          <t>Fee Breakdown</t>
        </is>
      </c>
      <c r="H37" s="66" t="inlineStr">
        <is>
          <t>Budgeted Outlays</t>
        </is>
      </c>
      <c r="L37" s="72" t="inlineStr">
        <is>
          <t>Standard Fee</t>
        </is>
      </c>
      <c r="M37" s="24" t="n"/>
      <c r="N37" s="24" t="n"/>
      <c r="O37" s="24" t="n"/>
      <c r="P37" s="24" t="n"/>
      <c r="Q37" s="55">
        <f>$AB$5</f>
        <v>14252160</v>
      </c>
      <c r="R37" s="24" t="n"/>
      <c r="S37" s="55">
        <f>$AB$5</f>
        <v>14252160</v>
      </c>
    </row>
    <row r="38">
      <c r="A38" s="30" t="inlineStr">
        <is>
          <t>Home Office</t>
        </is>
      </c>
      <c r="B38" s="24" t="n"/>
      <c r="C38" s="24" t="n"/>
      <c r="D38" s="8" t="str">
        <f>C4</f>
        <v>India - R&amp;C</v>
      </c>
      <c r="F38" s="31">
        <f>V30</f>
        <v>2185</v>
      </c>
      <c r="G38" s="32">
        <f>D36-(SUM(G39:G42)+H43)</f>
        <v>5000000</v>
      </c>
      <c r="H38" s="32" t="n">
        <v>0</v>
      </c>
      <c r="L38" s="30" t="str">
        <f>"Proposed Fee (Home Office)"&amp;" - "&amp;IF(D38=0,"",D38)</f>
        <v>Proposed Fee (Home Office) - India - R&amp;C</v>
      </c>
      <c r="M38" s="24" t="n"/>
      <c r="N38" s="24" t="n"/>
      <c r="O38" s="24" t="n"/>
      <c r="P38" s="24" t="n"/>
      <c r="Q38" s="12">
        <f>G38</f>
        <v>5000000</v>
      </c>
      <c r="R38" s="73" t="n"/>
      <c r="S38" s="11">
        <f>S37*S41</f>
        <v>5000000</v>
      </c>
    </row>
    <row r="39">
      <c r="A39" s="30" t="inlineStr">
        <is>
          <t>Sub-Contractor (3rd party)</t>
        </is>
      </c>
      <c r="B39" s="24" t="n"/>
      <c r="C39" s="24" t="n"/>
      <c r="D39" s="24" t="n"/>
      <c r="E39" s="24" t="n"/>
      <c r="F39" s="31" t="n">
        <v>0</v>
      </c>
      <c r="G39" s="32" t="n">
        <v>0</v>
      </c>
      <c r="H39" s="32" t="n">
        <v>0</v>
      </c>
      <c r="L39" s="72" t="inlineStr">
        <is>
          <t>Planned Fee Adjustment (PFA)</t>
        </is>
      </c>
      <c r="M39" s="24" t="n"/>
      <c r="N39" s="24" t="n"/>
      <c r="O39" s="24" t="n"/>
      <c r="P39" s="24" t="n"/>
      <c r="Q39" s="11">
        <f>Q37-Q38</f>
        <v>9252160</v>
      </c>
      <c r="R39" s="24" t="n"/>
      <c r="S39" s="11">
        <f>S37-S38</f>
        <v>9252160</v>
      </c>
    </row>
    <row r="40">
      <c r="B40" s="24" t="n"/>
      <c r="C40" s="24" t="n"/>
      <c r="D40" s="24" t="n"/>
      <c r="E40" s="24" t="n"/>
      <c r="F40" s="31" t="n">
        <v>0</v>
      </c>
      <c r="G40" s="32" t="n">
        <v>0</v>
      </c>
      <c r="H40" s="32" t="n">
        <v>0</v>
      </c>
      <c r="L40" s="30" t="inlineStr">
        <is>
          <t>PFA %</t>
        </is>
      </c>
      <c r="M40" s="24" t="n"/>
      <c r="N40" s="24" t="n"/>
      <c r="O40" s="24" t="n"/>
      <c r="P40" s="24" t="n"/>
      <c r="Q40" s="74">
        <f>IFERROR(Q39/Q37,0)</f>
        <v>0.6491759845525169</v>
      </c>
      <c r="R40" s="24" t="n"/>
      <c r="S40" s="74">
        <f>1-S41</f>
        <v>0.6491759845525169</v>
      </c>
    </row>
    <row r="41">
      <c r="B41" s="24" t="n"/>
      <c r="C41" s="24" t="n"/>
      <c r="D41" s="24" t="n"/>
      <c r="E41" s="24" t="n"/>
      <c r="F41" s="31" t="n">
        <v>0</v>
      </c>
      <c r="G41" s="32" t="n">
        <v>0</v>
      </c>
      <c r="H41" s="32" t="n">
        <v>0</v>
      </c>
      <c r="L41" s="72" t="inlineStr">
        <is>
          <t>Recovery %</t>
        </is>
      </c>
      <c r="M41" s="24" t="n"/>
      <c r="N41" s="24" t="n"/>
      <c r="O41" s="24" t="n"/>
      <c r="P41" s="24" t="n"/>
      <c r="Q41" s="75">
        <f>1-Q40</f>
        <v>0.35082401544748304</v>
      </c>
      <c r="R41" s="24" t="n"/>
      <c r="S41" s="76">
        <f>F45</f>
        <v>0.35082401544748304</v>
      </c>
    </row>
    <row r="42">
      <c r="A42" s="77" t="inlineStr">
        <is>
          <t>GST</t>
        </is>
      </c>
      <c r="B42" s="24" t="n"/>
      <c r="C42" s="24" t="n"/>
      <c r="D42" s="24" t="n"/>
      <c r="E42" s="24" t="n"/>
      <c r="F42" s="31" t="n">
        <v>0</v>
      </c>
      <c r="G42" s="32" t="n">
        <v>0</v>
      </c>
      <c r="H42" s="32" t="n">
        <v>0</v>
      </c>
    </row>
    <row r="43">
      <c r="A43" s="41" t="inlineStr">
        <is>
          <t>Total</t>
        </is>
      </c>
      <c r="B43" s="34" t="n"/>
      <c r="C43" s="34" t="n"/>
      <c r="D43" s="34" t="n"/>
      <c r="E43" s="34" t="n"/>
      <c r="F43" s="78">
        <f>SUM(F38:F42)</f>
        <v>2185</v>
      </c>
      <c r="G43" s="79">
        <f>SUM(G38:G42)</f>
        <v>5000000</v>
      </c>
      <c r="H43" s="79">
        <f>SUM(H38:H42)</f>
        <v>0</v>
      </c>
    </row>
    <row r="45">
      <c r="C45" s="80" t="inlineStr">
        <is>
          <t>Budgeted Recovery %</t>
        </is>
      </c>
      <c r="F45" s="81">
        <f>IFERROR(G38/$AB$5,0)</f>
        <v>0.35082401544748304</v>
      </c>
      <c r="G45" s="24" t="n"/>
    </row>
    <row r="46">
      <c r="L46" s="66" t="inlineStr">
        <is>
          <t>Gross Fee</t>
        </is>
      </c>
      <c r="M46" s="24" t="n"/>
      <c r="N46" s="66" t="inlineStr">
        <is>
          <t>Net Fee</t>
        </is>
      </c>
      <c r="O46" s="24" t="n"/>
      <c r="P46" s="66" t="inlineStr">
        <is>
          <t>Net CM</t>
        </is>
      </c>
      <c r="Q46" s="24" t="n"/>
      <c r="R46" s="66" t="inlineStr">
        <is>
          <t>Gross CM</t>
        </is>
      </c>
      <c r="S46" s="24" t="n"/>
    </row>
    <row r="47">
      <c r="L47" s="82" t="inlineStr">
        <is>
          <t>Fee</t>
        </is>
      </c>
      <c r="M47" s="82" t="inlineStr">
        <is>
          <t>Per/Hr</t>
        </is>
      </c>
      <c r="N47" s="82" t="inlineStr">
        <is>
          <t>Fee</t>
        </is>
      </c>
      <c r="O47" s="82" t="inlineStr">
        <is>
          <t>Per/Hr</t>
        </is>
      </c>
      <c r="P47" s="82" t="inlineStr">
        <is>
          <t xml:space="preserve"> %</t>
        </is>
      </c>
      <c r="Q47" s="77" t="n"/>
      <c r="R47" s="82" t="inlineStr">
        <is>
          <t xml:space="preserve"> %</t>
        </is>
      </c>
      <c r="S47" s="77" t="n"/>
      <c r="T47" s="82" t="inlineStr">
        <is>
          <t>Margin</t>
        </is>
      </c>
      <c r="V47" s="82" t="inlineStr">
        <is>
          <t>Staff Cost</t>
        </is>
      </c>
    </row>
    <row r="48">
      <c r="K48" s="67" t="str">
        <f>C7</f>
        <v>INR</v>
      </c>
      <c r="L48" s="11">
        <f>G43</f>
        <v>5000000</v>
      </c>
      <c r="M48" s="10">
        <f>IFERROR(L48/F43,0)</f>
        <v>2288.329519450801</v>
      </c>
      <c r="N48" s="11">
        <f>G38</f>
        <v>5000000</v>
      </c>
      <c r="O48" s="10">
        <f>IFERROR(N48/V30,0)</f>
        <v>2288.329519450801</v>
      </c>
      <c r="P48" s="83">
        <f>IFERROR((T48-(N48*5%))/N48,0)</f>
        <v>0.2244464</v>
      </c>
      <c r="Q48" s="84" t="n"/>
      <c r="R48" s="83">
        <f>IFERROR((L48-V48-(G43-G38)-(N48*5%))/L48,0)</f>
        <v>0.2244464</v>
      </c>
      <c r="S48" s="84" t="n"/>
      <c r="T48" s="11">
        <f>IFERROR(N48-V48,0)</f>
        <v>1372232</v>
      </c>
      <c r="V48" s="11">
        <f>IFERROR($AB$6,0)</f>
        <v>3627768</v>
      </c>
    </row>
    <row r="50">
      <c r="C50" s="85" t="n"/>
      <c r="D50" s="86" t="inlineStr">
        <is>
          <t>Data to be entered / editable</t>
        </is>
      </c>
      <c r="L50" s="87" t="inlineStr">
        <is>
          <t>Gross Contribution Margin is derived after considering direct staff cost, management fees, Sub-contractor cost and other direct cost.
Net Contribution Margin is derived after considering direct staff cost, management fees and other direct cost.</t>
        </is>
      </c>
      <c r="M50" s="22" t="n"/>
      <c r="N50" s="22" t="n"/>
      <c r="O50" s="22" t="n"/>
      <c r="P50" s="22" t="n"/>
      <c r="Q50" s="22" t="n"/>
      <c r="R50" s="22" t="n"/>
      <c r="S50" s="22" t="n"/>
    </row>
    <row r="51">
      <c r="C51" s="34" t="n"/>
      <c r="D51" s="86" t="inlineStr">
        <is>
          <t>Calculated - do not overwrite</t>
        </is>
      </c>
      <c r="L51" s="22" t="n"/>
      <c r="M51" s="22" t="n"/>
      <c r="N51" s="22" t="n"/>
      <c r="O51" s="22" t="n"/>
      <c r="P51" s="22" t="n"/>
      <c r="Q51" s="22" t="n"/>
      <c r="R51" s="22" t="n"/>
      <c r="S51" s="22" t="n"/>
    </row>
  </sheetData>
  <mergeCells count="70">
    <mergeCell ref="R48:S48"/>
    <mergeCell ref="F11:G11"/>
    <mergeCell ref="H35:I35"/>
    <mergeCell ref="C6:D6"/>
    <mergeCell ref="F29:G29"/>
    <mergeCell ref="F10:G10"/>
    <mergeCell ref="F16:G16"/>
    <mergeCell ref="F19:G19"/>
    <mergeCell ref="C5:D5"/>
    <mergeCell ref="F25:G25"/>
    <mergeCell ref="A35:G35"/>
    <mergeCell ref="Q37:R37"/>
    <mergeCell ref="J6:J7"/>
    <mergeCell ref="P6:P7"/>
    <mergeCell ref="R6:R7"/>
    <mergeCell ref="L37:P37"/>
    <mergeCell ref="V6:V7"/>
    <mergeCell ref="Q39:R39"/>
    <mergeCell ref="C4:D4"/>
    <mergeCell ref="F21:G21"/>
    <mergeCell ref="F12:G12"/>
    <mergeCell ref="F24:G24"/>
    <mergeCell ref="H6:I6"/>
    <mergeCell ref="F30:G30"/>
    <mergeCell ref="F15:G15"/>
    <mergeCell ref="N46:O46"/>
    <mergeCell ref="L50:S51"/>
    <mergeCell ref="F20:G20"/>
    <mergeCell ref="F18:G18"/>
    <mergeCell ref="Q38:R38"/>
    <mergeCell ref="F45:G45"/>
    <mergeCell ref="M6:M7"/>
    <mergeCell ref="P46:Q46"/>
    <mergeCell ref="Z4:AB4"/>
    <mergeCell ref="Q6:Q7"/>
    <mergeCell ref="F26:G26"/>
    <mergeCell ref="S6:S7"/>
    <mergeCell ref="F17:G17"/>
    <mergeCell ref="L39:P39"/>
    <mergeCell ref="F8:G8"/>
    <mergeCell ref="Q40:R40"/>
    <mergeCell ref="P48:Q48"/>
    <mergeCell ref="L35:S35"/>
    <mergeCell ref="L38:P38"/>
    <mergeCell ref="F23:G23"/>
    <mergeCell ref="L6:L7"/>
    <mergeCell ref="F22:G22"/>
    <mergeCell ref="F6:G7"/>
    <mergeCell ref="N6:N7"/>
    <mergeCell ref="T6:T7"/>
    <mergeCell ref="F13:G13"/>
    <mergeCell ref="F28:G28"/>
    <mergeCell ref="F27:G27"/>
    <mergeCell ref="Q36:R36"/>
    <mergeCell ref="L41:P41"/>
    <mergeCell ref="C8:D8"/>
    <mergeCell ref="F9:G9"/>
    <mergeCell ref="L40:P40"/>
    <mergeCell ref="A36:C36"/>
    <mergeCell ref="C7:D7"/>
    <mergeCell ref="C45:E45"/>
    <mergeCell ref="L46:M46"/>
    <mergeCell ref="R46:S46"/>
    <mergeCell ref="K6:K7"/>
    <mergeCell ref="F14:G14"/>
    <mergeCell ref="L36:P36"/>
    <mergeCell ref="Q41:R41"/>
    <mergeCell ref="O6:O7"/>
    <mergeCell ref="U6:U7"/>
    <mergeCell ref="E36:H36"/>
  </mergeCells>
  <hyperlinks>
    <hyperlink ref="X4" ns1:id="rId1"/>
    <hyperlink ref="X6" ns1:id="rId2"/>
  </hyperlinks>
  <pageMargins left="0.75" right="0.75" top="1" bottom="1" header="0.5" footer="0.5"/>
</worksheet>
</file>

<file path=xl/worksheets/sheet5.xml><?xml version="1.0" encoding="utf-8"?>
<worksheet xmlns="http://schemas.openxmlformats.org/spreadsheetml/2006/main" xmlns:ns1="http://schemas.openxmlformats.org/officeDocument/2006/relationships">
  <sheetPr>
    <tabColor rgb="00E57200"/>
    <outlinePr summaryBelow="1" summaryRight="1"/>
    <pageSetUpPr/>
  </sheetPr>
  <dimension ref="A1:AB49"/>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SUMPRODUCT(J28:U28,Ratesheet!$B$23:$M$23)</f>
        <v>10865330</v>
      </c>
    </row>
    <row r="6" ht="26" customHeight="1">
      <c r="A6" s="52" t="inlineStr">
        <is>
          <t>Project Description:</t>
        </is>
      </c>
      <c r="B6" s="24" t="n"/>
      <c r="C6" s="53" t="inlineStr">
        <is>
          <t>VKYC Audit Automation</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SUMPRODUCT(J28:U28,Ratesheet!$B$24:$M$24)</f>
        <v>2780592</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IFERROR(AB5/V28,0)</f>
        <v>6686.3569230769235</v>
      </c>
    </row>
    <row r="8">
      <c r="A8" s="52" t="inlineStr">
        <is>
          <t>Project Type:</t>
        </is>
      </c>
      <c r="B8" s="24" t="n"/>
      <c r="C8" s="53" t="inlineStr">
        <is>
          <t>Fixed Fee (Incl. Outlays)</t>
        </is>
      </c>
      <c r="D8" s="24" t="n"/>
      <c r="F8" s="30" t="inlineStr">
        <is>
          <t>Requirement Gathering &amp; VKYC Process Study</t>
        </is>
      </c>
      <c r="G8" s="24" t="n"/>
      <c r="H8" s="58" t="inlineStr">
        <is>
          <t>India</t>
        </is>
      </c>
      <c r="I8" s="58" t="inlineStr">
        <is>
          <t>R&amp;C</t>
        </is>
      </c>
      <c r="J8" s="59" t="n">
        <v>1</v>
      </c>
      <c r="K8" s="59" t="n"/>
      <c r="L8" s="59" t="n">
        <v>8</v>
      </c>
      <c r="M8" s="59" t="n">
        <v>8</v>
      </c>
      <c r="N8" s="59" t="n"/>
      <c r="O8" s="59" t="n"/>
      <c r="P8" s="59" t="n">
        <v>12</v>
      </c>
      <c r="Q8" s="59" t="n">
        <v>12</v>
      </c>
      <c r="R8" s="59" t="n">
        <v>16</v>
      </c>
      <c r="S8" s="59" t="n">
        <v>16</v>
      </c>
      <c r="T8" s="59" t="n"/>
      <c r="U8" s="59" t="n"/>
      <c r="V8" s="60">
        <f>SUM(J8:U8)</f>
        <v>73</v>
      </c>
      <c r="Z8" s="30" t="inlineStr">
        <is>
          <t>Blended cost / hr</t>
        </is>
      </c>
      <c r="AA8" s="24" t="n"/>
      <c r="AB8" s="10">
        <f>IFERROR(AB6/V28,0)</f>
        <v>1711.1335384615384</v>
      </c>
    </row>
    <row r="9">
      <c r="F9" s="30" t="inlineStr">
        <is>
          <t>Technical Architecture, Design &amp; Planning</t>
        </is>
      </c>
      <c r="G9" s="24" t="n"/>
      <c r="H9" s="58" t="inlineStr">
        <is>
          <t>India</t>
        </is>
      </c>
      <c r="I9" s="58" t="inlineStr">
        <is>
          <t>R&amp;C</t>
        </is>
      </c>
      <c r="J9" s="59" t="n">
        <v>1</v>
      </c>
      <c r="K9" s="59" t="n"/>
      <c r="L9" s="59" t="n">
        <v>8</v>
      </c>
      <c r="M9" s="59" t="n">
        <v>8</v>
      </c>
      <c r="N9" s="59" t="n"/>
      <c r="O9" s="59" t="n"/>
      <c r="P9" s="59" t="n">
        <v>12</v>
      </c>
      <c r="Q9" s="59" t="n">
        <v>12</v>
      </c>
      <c r="R9" s="59" t="n">
        <v>12</v>
      </c>
      <c r="S9" s="59" t="n">
        <v>12</v>
      </c>
      <c r="T9" s="59" t="n"/>
      <c r="U9" s="59" t="n"/>
      <c r="V9" s="60">
        <f>SUM(J9:U9)</f>
        <v>65</v>
      </c>
    </row>
    <row r="10">
      <c r="F10" s="30" t="inlineStr">
        <is>
          <t>Data Model &amp; Media Store Design</t>
        </is>
      </c>
      <c r="G10" s="24" t="n"/>
      <c r="H10" s="58" t="inlineStr">
        <is>
          <t>India</t>
        </is>
      </c>
      <c r="I10" s="58" t="inlineStr">
        <is>
          <t>R&amp;C</t>
        </is>
      </c>
      <c r="J10" s="59" t="n"/>
      <c r="K10" s="59" t="n"/>
      <c r="L10" s="59" t="n">
        <v>4</v>
      </c>
      <c r="M10" s="59" t="n">
        <v>6</v>
      </c>
      <c r="N10" s="59" t="n"/>
      <c r="O10" s="59" t="n"/>
      <c r="P10" s="59" t="n">
        <v>12</v>
      </c>
      <c r="Q10" s="59" t="n">
        <v>12</v>
      </c>
      <c r="R10" s="59" t="n">
        <v>16</v>
      </c>
      <c r="S10" s="59" t="n">
        <v>16</v>
      </c>
      <c r="T10" s="59" t="n"/>
      <c r="U10" s="59" t="n"/>
      <c r="V10" s="60">
        <f>SUM(J10:U10)</f>
        <v>66</v>
      </c>
    </row>
    <row r="11">
      <c r="F11" s="30" t="inlineStr">
        <is>
          <t>VKYC Artefact Ingestion (video, audio, form data)</t>
        </is>
      </c>
      <c r="G11" s="24" t="n"/>
      <c r="H11" s="58" t="inlineStr">
        <is>
          <t>India</t>
        </is>
      </c>
      <c r="I11" s="58" t="inlineStr">
        <is>
          <t>R&amp;C</t>
        </is>
      </c>
      <c r="J11" s="59" t="n"/>
      <c r="K11" s="59" t="n"/>
      <c r="L11" s="59" t="n">
        <v>2</v>
      </c>
      <c r="M11" s="59" t="n">
        <v>8</v>
      </c>
      <c r="N11" s="59" t="n"/>
      <c r="O11" s="59" t="n"/>
      <c r="P11" s="59" t="n">
        <v>20</v>
      </c>
      <c r="Q11" s="59" t="n">
        <v>24</v>
      </c>
      <c r="R11" s="59" t="n">
        <v>36</v>
      </c>
      <c r="S11" s="59" t="n">
        <v>36</v>
      </c>
      <c r="T11" s="59" t="n"/>
      <c r="U11" s="59" t="n"/>
      <c r="V11" s="60">
        <f>SUM(J11:U11)</f>
        <v>126</v>
      </c>
    </row>
    <row r="12">
      <c r="F12" s="30" t="inlineStr">
        <is>
          <t>Speech-to-Text &amp; Audio Analytics Pipeline</t>
        </is>
      </c>
      <c r="G12" s="24" t="n"/>
      <c r="H12" s="58" t="inlineStr">
        <is>
          <t>India</t>
        </is>
      </c>
      <c r="I12" s="58" t="inlineStr">
        <is>
          <t>R&amp;C</t>
        </is>
      </c>
      <c r="J12" s="59" t="n"/>
      <c r="K12" s="59" t="n"/>
      <c r="L12" s="59" t="n">
        <v>4</v>
      </c>
      <c r="M12" s="59" t="n">
        <v>12</v>
      </c>
      <c r="N12" s="59" t="n"/>
      <c r="O12" s="59" t="n"/>
      <c r="P12" s="59" t="n">
        <v>24</v>
      </c>
      <c r="Q12" s="59" t="n">
        <v>28</v>
      </c>
      <c r="R12" s="59" t="n">
        <v>36</v>
      </c>
      <c r="S12" s="59" t="n">
        <v>36</v>
      </c>
      <c r="T12" s="59" t="n"/>
      <c r="U12" s="59" t="n"/>
      <c r="V12" s="60">
        <f>SUM(J12:U12)</f>
        <v>140</v>
      </c>
    </row>
    <row r="13">
      <c r="F13" s="30" t="inlineStr">
        <is>
          <t>Cognitive Text &amp; NLP Analytics on Transcripts</t>
        </is>
      </c>
      <c r="G13" s="24" t="n"/>
      <c r="H13" s="58" t="inlineStr">
        <is>
          <t>India</t>
        </is>
      </c>
      <c r="I13" s="58" t="inlineStr">
        <is>
          <t>R&amp;C</t>
        </is>
      </c>
      <c r="J13" s="59" t="n"/>
      <c r="K13" s="59" t="n"/>
      <c r="L13" s="59" t="n">
        <v>4</v>
      </c>
      <c r="M13" s="59" t="n">
        <v>12</v>
      </c>
      <c r="N13" s="59" t="n"/>
      <c r="O13" s="59" t="n"/>
      <c r="P13" s="59" t="n">
        <v>20</v>
      </c>
      <c r="Q13" s="59" t="n">
        <v>24</v>
      </c>
      <c r="R13" s="59" t="n">
        <v>32</v>
      </c>
      <c r="S13" s="59" t="n">
        <v>32</v>
      </c>
      <c r="T13" s="59" t="n"/>
      <c r="U13" s="59" t="n"/>
      <c r="V13" s="60">
        <f>SUM(J13:U13)</f>
        <v>124</v>
      </c>
    </row>
    <row r="14">
      <c r="F14" s="30" t="inlineStr">
        <is>
          <t>Face Match / Liveness Evidence Validation</t>
        </is>
      </c>
      <c r="G14" s="24" t="n"/>
      <c r="H14" s="58" t="inlineStr">
        <is>
          <t>India</t>
        </is>
      </c>
      <c r="I14" s="58" t="inlineStr">
        <is>
          <t>R&amp;C</t>
        </is>
      </c>
      <c r="J14" s="59" t="n"/>
      <c r="K14" s="59" t="n"/>
      <c r="L14" s="59" t="n">
        <v>2</v>
      </c>
      <c r="M14" s="59" t="n">
        <v>8</v>
      </c>
      <c r="N14" s="59" t="n"/>
      <c r="O14" s="59" t="n"/>
      <c r="P14" s="59" t="n">
        <v>16</v>
      </c>
      <c r="Q14" s="59" t="n">
        <v>20</v>
      </c>
      <c r="R14" s="59" t="n">
        <v>28</v>
      </c>
      <c r="S14" s="59" t="n">
        <v>28</v>
      </c>
      <c r="T14" s="59" t="n"/>
      <c r="U14" s="59" t="n"/>
      <c r="V14" s="60">
        <f>SUM(J14:U14)</f>
        <v>102</v>
      </c>
    </row>
    <row r="15">
      <c r="F15" s="30" t="inlineStr">
        <is>
          <t>Rule-Driven VKYC Compliance Evaluation Engine</t>
        </is>
      </c>
      <c r="G15" s="24" t="n"/>
      <c r="H15" s="58" t="inlineStr">
        <is>
          <t>India</t>
        </is>
      </c>
      <c r="I15" s="58" t="inlineStr">
        <is>
          <t>R&amp;C</t>
        </is>
      </c>
      <c r="J15" s="59" t="n"/>
      <c r="K15" s="59" t="n"/>
      <c r="L15" s="59" t="n">
        <v>2</v>
      </c>
      <c r="M15" s="59" t="n">
        <v>8</v>
      </c>
      <c r="N15" s="59" t="n"/>
      <c r="O15" s="59" t="n"/>
      <c r="P15" s="59" t="n">
        <v>16</v>
      </c>
      <c r="Q15" s="59" t="n">
        <v>20</v>
      </c>
      <c r="R15" s="59" t="n">
        <v>28</v>
      </c>
      <c r="S15" s="59" t="n">
        <v>28</v>
      </c>
      <c r="T15" s="59" t="n"/>
      <c r="U15" s="59" t="n"/>
      <c r="V15" s="60">
        <f>SUM(J15:U15)</f>
        <v>102</v>
      </c>
    </row>
    <row r="16">
      <c r="F16" s="30" t="inlineStr">
        <is>
          <t>Exception Detection, Evidencing &amp; Audit Trail</t>
        </is>
      </c>
      <c r="G16" s="24" t="n"/>
      <c r="H16" s="58" t="inlineStr">
        <is>
          <t>India</t>
        </is>
      </c>
      <c r="I16" s="58" t="inlineStr">
        <is>
          <t>R&amp;C</t>
        </is>
      </c>
      <c r="J16" s="59" t="n"/>
      <c r="K16" s="59" t="n"/>
      <c r="L16" s="59" t="n"/>
      <c r="M16" s="59" t="n">
        <v>4</v>
      </c>
      <c r="N16" s="59" t="n"/>
      <c r="O16" s="59" t="n"/>
      <c r="P16" s="59" t="n">
        <v>12</v>
      </c>
      <c r="Q16" s="59" t="n">
        <v>16</v>
      </c>
      <c r="R16" s="59" t="n">
        <v>20</v>
      </c>
      <c r="S16" s="59" t="n">
        <v>20</v>
      </c>
      <c r="T16" s="59" t="n"/>
      <c r="U16" s="59" t="n"/>
      <c r="V16" s="60">
        <f>SUM(J16:U16)</f>
        <v>72</v>
      </c>
    </row>
    <row r="17">
      <c r="F17" s="30" t="inlineStr">
        <is>
          <t>API Layer &amp; VKYC Repository Integration</t>
        </is>
      </c>
      <c r="G17" s="24" t="n"/>
      <c r="H17" s="58" t="inlineStr">
        <is>
          <t>India</t>
        </is>
      </c>
      <c r="I17" s="58" t="inlineStr">
        <is>
          <t>R&amp;C</t>
        </is>
      </c>
      <c r="J17" s="59" t="n"/>
      <c r="K17" s="59" t="n"/>
      <c r="L17" s="59" t="n"/>
      <c r="M17" s="59" t="n">
        <v>4</v>
      </c>
      <c r="N17" s="59" t="n"/>
      <c r="O17" s="59" t="n"/>
      <c r="P17" s="59" t="n">
        <v>12</v>
      </c>
      <c r="Q17" s="59" t="n">
        <v>16</v>
      </c>
      <c r="R17" s="59" t="n">
        <v>24</v>
      </c>
      <c r="S17" s="59" t="n">
        <v>24</v>
      </c>
      <c r="T17" s="59" t="n"/>
      <c r="U17" s="59" t="n"/>
      <c r="V17" s="60">
        <f>SUM(J17:U17)</f>
        <v>80</v>
      </c>
    </row>
    <row r="18">
      <c r="F18" s="30" t="inlineStr">
        <is>
          <t>Frontend Design &amp; Reviewer Console</t>
        </is>
      </c>
      <c r="G18" s="24" t="n"/>
      <c r="H18" s="58" t="inlineStr">
        <is>
          <t>India</t>
        </is>
      </c>
      <c r="I18" s="58" t="inlineStr">
        <is>
          <t>R&amp;C</t>
        </is>
      </c>
      <c r="J18" s="59" t="n"/>
      <c r="K18" s="59" t="n"/>
      <c r="L18" s="59" t="n"/>
      <c r="M18" s="59" t="n">
        <v>6</v>
      </c>
      <c r="N18" s="59" t="n"/>
      <c r="O18" s="59" t="n"/>
      <c r="P18" s="59" t="n">
        <v>16</v>
      </c>
      <c r="Q18" s="59" t="n">
        <v>20</v>
      </c>
      <c r="R18" s="59" t="n">
        <v>28</v>
      </c>
      <c r="S18" s="59" t="n">
        <v>28</v>
      </c>
      <c r="T18" s="59" t="n"/>
      <c r="U18" s="59" t="n"/>
      <c r="V18" s="60">
        <f>SUM(J18:U18)</f>
        <v>98</v>
      </c>
    </row>
    <row r="19">
      <c r="F19" s="30" t="inlineStr">
        <is>
          <t>FE &amp; BE Integration</t>
        </is>
      </c>
      <c r="G19" s="24" t="n"/>
      <c r="H19" s="58" t="inlineStr">
        <is>
          <t>India</t>
        </is>
      </c>
      <c r="I19" s="58" t="inlineStr">
        <is>
          <t>R&amp;C</t>
        </is>
      </c>
      <c r="J19" s="59" t="n"/>
      <c r="K19" s="59" t="n"/>
      <c r="L19" s="59" t="n"/>
      <c r="M19" s="59" t="n">
        <v>4</v>
      </c>
      <c r="N19" s="59" t="n"/>
      <c r="O19" s="59" t="n"/>
      <c r="P19" s="59" t="n">
        <v>12</v>
      </c>
      <c r="Q19" s="59" t="n">
        <v>16</v>
      </c>
      <c r="R19" s="59" t="n">
        <v>20</v>
      </c>
      <c r="S19" s="59" t="n">
        <v>20</v>
      </c>
      <c r="T19" s="59" t="n"/>
      <c r="U19" s="59" t="n"/>
      <c r="V19" s="60">
        <f>SUM(J19:U19)</f>
        <v>72</v>
      </c>
    </row>
    <row r="20">
      <c r="F20" s="30" t="inlineStr">
        <is>
          <t>Model Validation, Accuracy Tuning &amp; Bias Testing</t>
        </is>
      </c>
      <c r="G20" s="24" t="n"/>
      <c r="H20" s="58" t="inlineStr">
        <is>
          <t>India</t>
        </is>
      </c>
      <c r="I20" s="58" t="inlineStr">
        <is>
          <t>R&amp;C</t>
        </is>
      </c>
      <c r="J20" s="59" t="n"/>
      <c r="K20" s="59" t="n"/>
      <c r="L20" s="59" t="n">
        <v>2</v>
      </c>
      <c r="M20" s="59" t="n">
        <v>8</v>
      </c>
      <c r="N20" s="59" t="n"/>
      <c r="O20" s="59" t="n"/>
      <c r="P20" s="59" t="n">
        <v>16</v>
      </c>
      <c r="Q20" s="59" t="n">
        <v>20</v>
      </c>
      <c r="R20" s="59" t="n">
        <v>20</v>
      </c>
      <c r="S20" s="59" t="n">
        <v>20</v>
      </c>
      <c r="T20" s="59" t="n"/>
      <c r="U20" s="59" t="n"/>
      <c r="V20" s="60">
        <f>SUM(J20:U20)</f>
        <v>86</v>
      </c>
    </row>
    <row r="21">
      <c r="F21" s="30" t="inlineStr">
        <is>
          <t>Auth, RBAC, Audit Trail &amp; NFR Implementation</t>
        </is>
      </c>
      <c r="G21" s="24" t="n"/>
      <c r="H21" s="58" t="inlineStr">
        <is>
          <t>India</t>
        </is>
      </c>
      <c r="I21" s="58" t="inlineStr">
        <is>
          <t>R&amp;C</t>
        </is>
      </c>
      <c r="J21" s="59" t="n"/>
      <c r="K21" s="59" t="n"/>
      <c r="L21" s="59" t="n"/>
      <c r="M21" s="59" t="n">
        <v>4</v>
      </c>
      <c r="N21" s="59" t="n"/>
      <c r="O21" s="59" t="n"/>
      <c r="P21" s="59" t="n">
        <v>12</v>
      </c>
      <c r="Q21" s="59" t="n">
        <v>16</v>
      </c>
      <c r="R21" s="59" t="n">
        <v>20</v>
      </c>
      <c r="S21" s="59" t="n">
        <v>20</v>
      </c>
      <c r="T21" s="59" t="n"/>
      <c r="U21" s="59" t="n"/>
      <c r="V21" s="60">
        <f>SUM(J21:U21)</f>
        <v>72</v>
      </c>
    </row>
    <row r="22">
      <c r="F22" s="30" t="inlineStr">
        <is>
          <t>Component Testing &amp; SIT</t>
        </is>
      </c>
      <c r="G22" s="24" t="n"/>
      <c r="H22" s="58" t="inlineStr">
        <is>
          <t>India</t>
        </is>
      </c>
      <c r="I22" s="58" t="inlineStr">
        <is>
          <t>R&amp;C</t>
        </is>
      </c>
      <c r="J22" s="59" t="n"/>
      <c r="K22" s="59" t="n"/>
      <c r="L22" s="59" t="n">
        <v>1</v>
      </c>
      <c r="M22" s="59" t="n">
        <v>4</v>
      </c>
      <c r="N22" s="59" t="n"/>
      <c r="O22" s="59" t="n"/>
      <c r="P22" s="59" t="n">
        <v>12</v>
      </c>
      <c r="Q22" s="59" t="n">
        <v>16</v>
      </c>
      <c r="R22" s="59" t="n">
        <v>24</v>
      </c>
      <c r="S22" s="59" t="n">
        <v>24</v>
      </c>
      <c r="T22" s="59" t="n"/>
      <c r="U22" s="59" t="n"/>
      <c r="V22" s="60">
        <f>SUM(J22:U22)</f>
        <v>81</v>
      </c>
    </row>
    <row r="23">
      <c r="F23" s="30" t="inlineStr">
        <is>
          <t>User Acceptance Testing (incl. Bug Fixing)</t>
        </is>
      </c>
      <c r="G23" s="24" t="n"/>
      <c r="H23" s="58" t="inlineStr">
        <is>
          <t>India</t>
        </is>
      </c>
      <c r="I23" s="58" t="inlineStr">
        <is>
          <t>R&amp;C</t>
        </is>
      </c>
      <c r="J23" s="59" t="n"/>
      <c r="K23" s="59" t="n"/>
      <c r="L23" s="59" t="n">
        <v>1</v>
      </c>
      <c r="M23" s="59" t="n">
        <v>4</v>
      </c>
      <c r="N23" s="59" t="n"/>
      <c r="O23" s="59" t="n"/>
      <c r="P23" s="59" t="n">
        <v>8</v>
      </c>
      <c r="Q23" s="59" t="n">
        <v>12</v>
      </c>
      <c r="R23" s="59" t="n">
        <v>16</v>
      </c>
      <c r="S23" s="59" t="n">
        <v>16</v>
      </c>
      <c r="T23" s="59" t="n"/>
      <c r="U23" s="59" t="n"/>
      <c r="V23" s="60">
        <f>SUM(J23:U23)</f>
        <v>57</v>
      </c>
    </row>
    <row r="24">
      <c r="F24" s="30" t="inlineStr">
        <is>
          <t>Documentation (Technical, User, Model Card)</t>
        </is>
      </c>
      <c r="G24" s="24" t="n"/>
      <c r="H24" s="58" t="inlineStr">
        <is>
          <t>India</t>
        </is>
      </c>
      <c r="I24" s="58" t="inlineStr">
        <is>
          <t>R&amp;C</t>
        </is>
      </c>
      <c r="J24" s="59" t="n"/>
      <c r="K24" s="59" t="n"/>
      <c r="L24" s="59" t="n"/>
      <c r="M24" s="59" t="n">
        <v>4</v>
      </c>
      <c r="N24" s="59" t="n"/>
      <c r="O24" s="59" t="n"/>
      <c r="P24" s="59" t="n">
        <v>8</v>
      </c>
      <c r="Q24" s="59" t="n">
        <v>12</v>
      </c>
      <c r="R24" s="59" t="n">
        <v>12</v>
      </c>
      <c r="S24" s="59" t="n">
        <v>12</v>
      </c>
      <c r="T24" s="59" t="n"/>
      <c r="U24" s="59" t="n"/>
      <c r="V24" s="60">
        <f>SUM(J24:U24)</f>
        <v>48</v>
      </c>
    </row>
    <row r="25">
      <c r="F25" s="30" t="inlineStr">
        <is>
          <t>PMO &amp; Programme Governance</t>
        </is>
      </c>
      <c r="G25" s="24" t="n"/>
      <c r="H25" s="58" t="inlineStr">
        <is>
          <t>India</t>
        </is>
      </c>
      <c r="I25" s="58" t="inlineStr">
        <is>
          <t>R&amp;C</t>
        </is>
      </c>
      <c r="J25" s="59" t="n"/>
      <c r="K25" s="59" t="n"/>
      <c r="L25" s="59" t="n"/>
      <c r="M25" s="59" t="n"/>
      <c r="N25" s="59" t="n">
        <v>80</v>
      </c>
      <c r="O25" s="59" t="n"/>
      <c r="P25" s="59" t="n"/>
      <c r="Q25" s="59" t="n"/>
      <c r="R25" s="59" t="n"/>
      <c r="S25" s="59" t="n"/>
      <c r="T25" s="59" t="n"/>
      <c r="U25" s="59" t="n"/>
      <c r="V25" s="60">
        <f>SUM(J25:U25)</f>
        <v>80</v>
      </c>
    </row>
    <row r="26">
      <c r="F26" s="30" t="inlineStr">
        <is>
          <t>Go-live &amp; Hypercare Support</t>
        </is>
      </c>
      <c r="G26" s="24" t="n"/>
      <c r="H26" s="58" t="inlineStr">
        <is>
          <t>India</t>
        </is>
      </c>
      <c r="I26" s="58" t="inlineStr">
        <is>
          <t>R&amp;C</t>
        </is>
      </c>
      <c r="J26" s="59" t="n"/>
      <c r="K26" s="59" t="n"/>
      <c r="L26" s="59" t="n"/>
      <c r="M26" s="59" t="n">
        <v>2</v>
      </c>
      <c r="N26" s="59" t="n"/>
      <c r="O26" s="59" t="n"/>
      <c r="P26" s="59" t="n">
        <v>8</v>
      </c>
      <c r="Q26" s="59" t="n">
        <v>8</v>
      </c>
      <c r="R26" s="59" t="n">
        <v>12</v>
      </c>
      <c r="S26" s="59" t="n">
        <v>12</v>
      </c>
      <c r="T26" s="59" t="n"/>
      <c r="U26" s="59" t="n"/>
      <c r="V26" s="60">
        <f>SUM(J26:U26)</f>
        <v>42</v>
      </c>
    </row>
    <row r="27">
      <c r="F27" s="30" t="inlineStr">
        <is>
          <t>Handover &amp; Knowledge Transfer</t>
        </is>
      </c>
      <c r="G27" s="24" t="n"/>
      <c r="H27" s="58" t="inlineStr">
        <is>
          <t>India</t>
        </is>
      </c>
      <c r="I27" s="58" t="inlineStr">
        <is>
          <t>R&amp;C</t>
        </is>
      </c>
      <c r="J27" s="59" t="n">
        <v>1</v>
      </c>
      <c r="K27" s="59" t="n"/>
      <c r="L27" s="59" t="n">
        <v>2</v>
      </c>
      <c r="M27" s="59" t="n">
        <v>4</v>
      </c>
      <c r="N27" s="59" t="n"/>
      <c r="O27" s="59" t="n"/>
      <c r="P27" s="59" t="n">
        <v>8</v>
      </c>
      <c r="Q27" s="59" t="n">
        <v>8</v>
      </c>
      <c r="R27" s="59" t="n">
        <v>8</v>
      </c>
      <c r="S27" s="59" t="n">
        <v>8</v>
      </c>
      <c r="T27" s="59" t="n"/>
      <c r="U27" s="59" t="n"/>
      <c r="V27" s="60">
        <f>SUM(J27:U27)</f>
        <v>39</v>
      </c>
    </row>
    <row r="28">
      <c r="F28" s="33" t="inlineStr">
        <is>
          <t>Total</t>
        </is>
      </c>
      <c r="G28" s="24" t="n"/>
      <c r="H28" s="34" t="n"/>
      <c r="I28" s="34" t="n"/>
      <c r="J28" s="61">
        <f>SUM(J8:J27)</f>
        <v>3</v>
      </c>
      <c r="K28" s="61">
        <f>SUM(K8:K27)</f>
        <v>0</v>
      </c>
      <c r="L28" s="61">
        <f>SUM(L8:L27)</f>
        <v>40</v>
      </c>
      <c r="M28" s="61">
        <f>SUM(M8:M27)</f>
        <v>118</v>
      </c>
      <c r="N28" s="61">
        <f>SUM(N8:N27)</f>
        <v>80</v>
      </c>
      <c r="O28" s="61">
        <f>SUM(O8:O27)</f>
        <v>0</v>
      </c>
      <c r="P28" s="61">
        <f>SUM(P8:P27)</f>
        <v>256</v>
      </c>
      <c r="Q28" s="61">
        <f>SUM(Q8:Q27)</f>
        <v>312</v>
      </c>
      <c r="R28" s="61">
        <f>SUM(R8:R27)</f>
        <v>408</v>
      </c>
      <c r="S28" s="61">
        <f>SUM(S8:S27)</f>
        <v>408</v>
      </c>
      <c r="T28" s="61">
        <f>SUM(T8:T27)</f>
        <v>0</v>
      </c>
      <c r="U28" s="61">
        <f>SUM(U8:U27)</f>
        <v>0</v>
      </c>
      <c r="V28" s="62">
        <f>SUM(V8:V27)</f>
        <v>1625</v>
      </c>
    </row>
    <row r="30">
      <c r="H30" s="63" t="inlineStr">
        <is>
          <t>Project Mix</t>
        </is>
      </c>
      <c r="J30" s="64">
        <f>IFERROR(J28/$V$28,0)</f>
        <v>0.0018461538461538461</v>
      </c>
      <c r="K30" s="64">
        <f>IFERROR(K28/$V$28,0)</f>
        <v>0</v>
      </c>
      <c r="L30" s="64">
        <f>IFERROR(L28/$V$28,0)</f>
        <v>0.024615384615384615</v>
      </c>
      <c r="M30" s="64">
        <f>IFERROR(M28/$V$28,0)</f>
        <v>0.07261538461538461</v>
      </c>
      <c r="N30" s="64">
        <f>IFERROR(N28/$V$28,0)</f>
        <v>0.04923076923076923</v>
      </c>
      <c r="O30" s="64">
        <f>IFERROR(O28/$V$28,0)</f>
        <v>0</v>
      </c>
      <c r="P30" s="64">
        <f>IFERROR(P28/$V$28,0)</f>
        <v>0.15753846153846154</v>
      </c>
      <c r="Q30" s="64">
        <f>IFERROR(Q28/$V$28,0)</f>
        <v>0.192</v>
      </c>
      <c r="R30" s="64">
        <f>IFERROR(R28/$V$28,0)</f>
        <v>0.2510769230769231</v>
      </c>
      <c r="S30" s="64">
        <f>IFERROR(S28/$V$28,0)</f>
        <v>0.2510769230769231</v>
      </c>
      <c r="T30" s="64">
        <f>IFERROR(T28/$V$28,0)</f>
        <v>0</v>
      </c>
      <c r="U30" s="64">
        <f>IFERROR(U28/$V$28,0)</f>
        <v>0</v>
      </c>
    </row>
    <row r="33">
      <c r="A33" s="33" t="inlineStr">
        <is>
          <t>F E E    B R E A K  D O W N</t>
        </is>
      </c>
      <c r="B33" s="65" t="n"/>
      <c r="C33" s="65" t="n"/>
      <c r="D33" s="65" t="n"/>
      <c r="E33" s="65" t="n"/>
      <c r="F33" s="65" t="n"/>
      <c r="G33" s="65" t="n"/>
      <c r="H33" s="66" t="str">
        <f>" All Values in ( "&amp;C7&amp;" )"</f>
        <v> All Values in ( INR )</v>
      </c>
      <c r="I33" s="24" t="n"/>
      <c r="L33" s="67" t="inlineStr">
        <is>
          <t>What if analysis - FYI Only</t>
        </is>
      </c>
      <c r="M33" s="22" t="n"/>
      <c r="N33" s="22" t="n"/>
      <c r="O33" s="22" t="n"/>
      <c r="P33" s="22" t="n"/>
      <c r="Q33" s="22" t="n"/>
      <c r="R33" s="22" t="n"/>
      <c r="S33" s="22" t="n"/>
    </row>
    <row r="34">
      <c r="A34" s="68" t="inlineStr">
        <is>
          <t>Total Engagement Value</t>
        </is>
      </c>
      <c r="B34" s="24" t="n"/>
      <c r="C34" s="24" t="n"/>
      <c r="D34" s="69" t="n">
        <v>4250000</v>
      </c>
      <c r="E34" s="70" t="inlineStr">
        <is>
          <t>Expenses Budgeting</t>
        </is>
      </c>
      <c r="F34" s="24" t="n"/>
      <c r="G34" s="24" t="n"/>
      <c r="H34" s="24" t="n"/>
      <c r="L34" s="66" t="inlineStr">
        <is>
          <t>Pricing Tool - Home Office</t>
        </is>
      </c>
      <c r="M34" s="65" t="n"/>
      <c r="N34" s="65" t="n"/>
      <c r="O34" s="65" t="n"/>
      <c r="P34" s="65" t="n"/>
      <c r="Q34" s="66" t="inlineStr">
        <is>
          <t>Fee Amount</t>
        </is>
      </c>
      <c r="R34" s="24" t="n"/>
      <c r="S34" s="71" t="inlineStr">
        <is>
          <t>Recovery %</t>
        </is>
      </c>
    </row>
    <row r="35">
      <c r="A35" s="66" t="inlineStr">
        <is>
          <t>Description</t>
        </is>
      </c>
      <c r="B35" s="34" t="n"/>
      <c r="C35" s="34" t="n"/>
      <c r="D35" s="66" t="inlineStr">
        <is>
          <t>Org./ Name</t>
        </is>
      </c>
      <c r="E35" s="34" t="n"/>
      <c r="F35" s="66" t="inlineStr">
        <is>
          <t>Hours Breakdown</t>
        </is>
      </c>
      <c r="G35" s="66" t="inlineStr">
        <is>
          <t>Fee Breakdown</t>
        </is>
      </c>
      <c r="H35" s="66" t="inlineStr">
        <is>
          <t>Budgeted Outlays</t>
        </is>
      </c>
      <c r="L35" s="72" t="inlineStr">
        <is>
          <t>Standard Fee</t>
        </is>
      </c>
      <c r="M35" s="24" t="n"/>
      <c r="N35" s="24" t="n"/>
      <c r="O35" s="24" t="n"/>
      <c r="P35" s="24" t="n"/>
      <c r="Q35" s="55">
        <f>$AB$5</f>
        <v>10865330</v>
      </c>
      <c r="R35" s="24" t="n"/>
      <c r="S35" s="55">
        <f>$AB$5</f>
        <v>10865330</v>
      </c>
    </row>
    <row r="36">
      <c r="A36" s="30" t="inlineStr">
        <is>
          <t>Home Office</t>
        </is>
      </c>
      <c r="B36" s="24" t="n"/>
      <c r="C36" s="24" t="n"/>
      <c r="D36" s="8" t="str">
        <f>C4</f>
        <v>India - R&amp;C</v>
      </c>
      <c r="F36" s="31">
        <f>V28</f>
        <v>1625</v>
      </c>
      <c r="G36" s="32">
        <f>D34-(SUM(G37:G40)+H41)</f>
        <v>4250000</v>
      </c>
      <c r="H36" s="32" t="n">
        <v>0</v>
      </c>
      <c r="L36" s="30" t="str">
        <f>"Proposed Fee (Home Office)"&amp;" - "&amp;IF(D36=0,"",D36)</f>
        <v>Proposed Fee (Home Office) - India - R&amp;C</v>
      </c>
      <c r="M36" s="24" t="n"/>
      <c r="N36" s="24" t="n"/>
      <c r="O36" s="24" t="n"/>
      <c r="P36" s="24" t="n"/>
      <c r="Q36" s="12">
        <f>G36</f>
        <v>4250000</v>
      </c>
      <c r="R36" s="73" t="n"/>
      <c r="S36" s="11">
        <f>S35*S39</f>
        <v>4250000</v>
      </c>
    </row>
    <row r="37">
      <c r="A37" s="30" t="inlineStr">
        <is>
          <t>Sub-Contractor (3rd party)</t>
        </is>
      </c>
      <c r="B37" s="24" t="n"/>
      <c r="C37" s="24" t="n"/>
      <c r="D37" s="24" t="n"/>
      <c r="E37" s="24" t="n"/>
      <c r="F37" s="31" t="n">
        <v>0</v>
      </c>
      <c r="G37" s="32" t="n">
        <v>0</v>
      </c>
      <c r="H37" s="32" t="n">
        <v>0</v>
      </c>
      <c r="L37" s="72" t="inlineStr">
        <is>
          <t>Planned Fee Adjustment (PFA)</t>
        </is>
      </c>
      <c r="M37" s="24" t="n"/>
      <c r="N37" s="24" t="n"/>
      <c r="O37" s="24" t="n"/>
      <c r="P37" s="24" t="n"/>
      <c r="Q37" s="11">
        <f>Q35-Q36</f>
        <v>6615330</v>
      </c>
      <c r="R37" s="24" t="n"/>
      <c r="S37" s="11">
        <f>S35-S36</f>
        <v>6615330</v>
      </c>
    </row>
    <row r="38">
      <c r="B38" s="24" t="n"/>
      <c r="C38" s="24" t="n"/>
      <c r="D38" s="24" t="n"/>
      <c r="E38" s="24" t="n"/>
      <c r="F38" s="31" t="n">
        <v>0</v>
      </c>
      <c r="G38" s="32" t="n">
        <v>0</v>
      </c>
      <c r="H38" s="32" t="n">
        <v>0</v>
      </c>
      <c r="L38" s="30" t="inlineStr">
        <is>
          <t>PFA %</t>
        </is>
      </c>
      <c r="M38" s="24" t="n"/>
      <c r="N38" s="24" t="n"/>
      <c r="O38" s="24" t="n"/>
      <c r="P38" s="24" t="n"/>
      <c r="Q38" s="74">
        <f>IFERROR(Q37/Q35,0)</f>
        <v>0.6088475913755036</v>
      </c>
      <c r="R38" s="24" t="n"/>
      <c r="S38" s="74">
        <f>1-S39</f>
        <v>0.6088475913755036</v>
      </c>
    </row>
    <row r="39">
      <c r="B39" s="24" t="n"/>
      <c r="C39" s="24" t="n"/>
      <c r="D39" s="24" t="n"/>
      <c r="E39" s="24" t="n"/>
      <c r="F39" s="31" t="n">
        <v>0</v>
      </c>
      <c r="G39" s="32" t="n">
        <v>0</v>
      </c>
      <c r="H39" s="32" t="n">
        <v>0</v>
      </c>
      <c r="L39" s="72" t="inlineStr">
        <is>
          <t>Recovery %</t>
        </is>
      </c>
      <c r="M39" s="24" t="n"/>
      <c r="N39" s="24" t="n"/>
      <c r="O39" s="24" t="n"/>
      <c r="P39" s="24" t="n"/>
      <c r="Q39" s="75">
        <f>1-Q38</f>
        <v>0.39115240862449646</v>
      </c>
      <c r="R39" s="24" t="n"/>
      <c r="S39" s="76">
        <f>F43</f>
        <v>0.39115240862449646</v>
      </c>
    </row>
    <row r="40">
      <c r="A40" s="77" t="inlineStr">
        <is>
          <t>GST</t>
        </is>
      </c>
      <c r="B40" s="24" t="n"/>
      <c r="C40" s="24" t="n"/>
      <c r="D40" s="24" t="n"/>
      <c r="E40" s="24" t="n"/>
      <c r="F40" s="31" t="n">
        <v>0</v>
      </c>
      <c r="G40" s="32" t="n">
        <v>0</v>
      </c>
      <c r="H40" s="32" t="n">
        <v>0</v>
      </c>
    </row>
    <row r="41">
      <c r="A41" s="41" t="inlineStr">
        <is>
          <t>Total</t>
        </is>
      </c>
      <c r="B41" s="34" t="n"/>
      <c r="C41" s="34" t="n"/>
      <c r="D41" s="34" t="n"/>
      <c r="E41" s="34" t="n"/>
      <c r="F41" s="78">
        <f>SUM(F36:F40)</f>
        <v>1625</v>
      </c>
      <c r="G41" s="79">
        <f>SUM(G36:G40)</f>
        <v>4250000</v>
      </c>
      <c r="H41" s="79">
        <f>SUM(H36:H40)</f>
        <v>0</v>
      </c>
    </row>
    <row r="43">
      <c r="C43" s="80" t="inlineStr">
        <is>
          <t>Budgeted Recovery %</t>
        </is>
      </c>
      <c r="F43" s="81">
        <f>IFERROR(G36/$AB$5,0)</f>
        <v>0.39115240862449646</v>
      </c>
      <c r="G43" s="24" t="n"/>
    </row>
    <row r="44">
      <c r="L44" s="66" t="inlineStr">
        <is>
          <t>Gross Fee</t>
        </is>
      </c>
      <c r="M44" s="24" t="n"/>
      <c r="N44" s="66" t="inlineStr">
        <is>
          <t>Net Fee</t>
        </is>
      </c>
      <c r="O44" s="24" t="n"/>
      <c r="P44" s="66" t="inlineStr">
        <is>
          <t>Net CM</t>
        </is>
      </c>
      <c r="Q44" s="24" t="n"/>
      <c r="R44" s="66" t="inlineStr">
        <is>
          <t>Gross CM</t>
        </is>
      </c>
      <c r="S44" s="24" t="n"/>
    </row>
    <row r="45">
      <c r="L45" s="82" t="inlineStr">
        <is>
          <t>Fee</t>
        </is>
      </c>
      <c r="M45" s="82" t="inlineStr">
        <is>
          <t>Per/Hr</t>
        </is>
      </c>
      <c r="N45" s="82" t="inlineStr">
        <is>
          <t>Fee</t>
        </is>
      </c>
      <c r="O45" s="82" t="inlineStr">
        <is>
          <t>Per/Hr</t>
        </is>
      </c>
      <c r="P45" s="82" t="inlineStr">
        <is>
          <t xml:space="preserve"> %</t>
        </is>
      </c>
      <c r="Q45" s="77" t="n"/>
      <c r="R45" s="82" t="inlineStr">
        <is>
          <t xml:space="preserve"> %</t>
        </is>
      </c>
      <c r="S45" s="77" t="n"/>
      <c r="T45" s="82" t="inlineStr">
        <is>
          <t>Margin</t>
        </is>
      </c>
      <c r="V45" s="82" t="inlineStr">
        <is>
          <t>Staff Cost</t>
        </is>
      </c>
    </row>
    <row r="46">
      <c r="K46" s="67" t="str">
        <f>C7</f>
        <v>INR</v>
      </c>
      <c r="L46" s="11">
        <f>G41</f>
        <v>4250000</v>
      </c>
      <c r="M46" s="10">
        <f>IFERROR(L46/F41,0)</f>
        <v>2615.3846153846152</v>
      </c>
      <c r="N46" s="11">
        <f>G36</f>
        <v>4250000</v>
      </c>
      <c r="O46" s="10">
        <f>IFERROR(N46/V28,0)</f>
        <v>2615.3846153846152</v>
      </c>
      <c r="P46" s="83">
        <f>IFERROR((T46-(N46*5%))/N46,0)</f>
        <v>0.2957430588235294</v>
      </c>
      <c r="Q46" s="84" t="n"/>
      <c r="R46" s="83">
        <f>IFERROR((L46-V46-(G41-G36)-(N46*5%))/L46,0)</f>
        <v>0.2957430588235294</v>
      </c>
      <c r="S46" s="84" t="n"/>
      <c r="T46" s="11">
        <f>IFERROR(N46-V46,0)</f>
        <v>1469408</v>
      </c>
      <c r="V46" s="11">
        <f>IFERROR($AB$6,0)</f>
        <v>2780592</v>
      </c>
    </row>
    <row r="48">
      <c r="C48" s="85" t="n"/>
      <c r="D48" s="86" t="inlineStr">
        <is>
          <t>Data to be entered / editable</t>
        </is>
      </c>
      <c r="L48" s="87" t="inlineStr">
        <is>
          <t>Gross Contribution Margin is derived after considering direct staff cost, management fees, Sub-contractor cost and other direct cost.
Net Contribution Margin is derived after considering direct staff cost, management fees and other direct cost.</t>
        </is>
      </c>
      <c r="M48" s="22" t="n"/>
      <c r="N48" s="22" t="n"/>
      <c r="O48" s="22" t="n"/>
      <c r="P48" s="22" t="n"/>
      <c r="Q48" s="22" t="n"/>
      <c r="R48" s="22" t="n"/>
      <c r="S48" s="22" t="n"/>
    </row>
    <row r="49">
      <c r="C49" s="34" t="n"/>
      <c r="D49" s="86" t="inlineStr">
        <is>
          <t>Calculated - do not overwrite</t>
        </is>
      </c>
      <c r="L49" s="22" t="n"/>
      <c r="M49" s="22" t="n"/>
      <c r="N49" s="22" t="n"/>
      <c r="O49" s="22" t="n"/>
      <c r="P49" s="22" t="n"/>
      <c r="Q49" s="22" t="n"/>
      <c r="R49" s="22" t="n"/>
      <c r="S49" s="22" t="n"/>
    </row>
  </sheetData>
  <mergeCells count="68">
    <mergeCell ref="F11:G11"/>
    <mergeCell ref="C6:D6"/>
    <mergeCell ref="R44:S44"/>
    <mergeCell ref="F10:G10"/>
    <mergeCell ref="F16:G16"/>
    <mergeCell ref="F19:G19"/>
    <mergeCell ref="C5:D5"/>
    <mergeCell ref="F25:G25"/>
    <mergeCell ref="Q37:R37"/>
    <mergeCell ref="J6:J7"/>
    <mergeCell ref="P6:P7"/>
    <mergeCell ref="P44:Q44"/>
    <mergeCell ref="R6:R7"/>
    <mergeCell ref="C43:E43"/>
    <mergeCell ref="L37:P37"/>
    <mergeCell ref="V6:V7"/>
    <mergeCell ref="Q39:R39"/>
    <mergeCell ref="C4:D4"/>
    <mergeCell ref="F21:G21"/>
    <mergeCell ref="F12:G12"/>
    <mergeCell ref="F24:G24"/>
    <mergeCell ref="H6:I6"/>
    <mergeCell ref="F15:G15"/>
    <mergeCell ref="F20:G20"/>
    <mergeCell ref="F18:G18"/>
    <mergeCell ref="Q38:R38"/>
    <mergeCell ref="P46:Q46"/>
    <mergeCell ref="M6:M7"/>
    <mergeCell ref="L33:S33"/>
    <mergeCell ref="Z4:AB4"/>
    <mergeCell ref="Q6:Q7"/>
    <mergeCell ref="F26:G26"/>
    <mergeCell ref="S6:S7"/>
    <mergeCell ref="F17:G17"/>
    <mergeCell ref="Q35:R35"/>
    <mergeCell ref="L39:P39"/>
    <mergeCell ref="F8:G8"/>
    <mergeCell ref="Q34:R34"/>
    <mergeCell ref="L35:P35"/>
    <mergeCell ref="N44:O44"/>
    <mergeCell ref="L38:P38"/>
    <mergeCell ref="F23:G23"/>
    <mergeCell ref="L6:L7"/>
    <mergeCell ref="F22:G22"/>
    <mergeCell ref="F6:G7"/>
    <mergeCell ref="N6:N7"/>
    <mergeCell ref="T6:T7"/>
    <mergeCell ref="F13:G13"/>
    <mergeCell ref="F28:G28"/>
    <mergeCell ref="F27:G27"/>
    <mergeCell ref="A34:C34"/>
    <mergeCell ref="Q36:R36"/>
    <mergeCell ref="C8:D8"/>
    <mergeCell ref="F9:G9"/>
    <mergeCell ref="L44:M44"/>
    <mergeCell ref="F43:G43"/>
    <mergeCell ref="L34:P34"/>
    <mergeCell ref="L48:S49"/>
    <mergeCell ref="C7:D7"/>
    <mergeCell ref="E34:H34"/>
    <mergeCell ref="R46:S46"/>
    <mergeCell ref="H33:I33"/>
    <mergeCell ref="K6:K7"/>
    <mergeCell ref="F14:G14"/>
    <mergeCell ref="L36:P36"/>
    <mergeCell ref="O6:O7"/>
    <mergeCell ref="U6:U7"/>
    <mergeCell ref="A33:G33"/>
  </mergeCells>
  <hyperlinks>
    <hyperlink ref="X4" ns1:id="rId1"/>
    <hyperlink ref="X6" ns1:id="rId2"/>
  </hyperlinks>
  <pageMargins left="0.75" right="0.75" top="1" bottom="1" header="0.5" footer="0.5"/>
</worksheet>
</file>

<file path=xl/worksheets/sheet6.xml><?xml version="1.0" encoding="utf-8"?>
<worksheet xmlns="http://schemas.openxmlformats.org/spreadsheetml/2006/main" xmlns:ns1="http://schemas.openxmlformats.org/officeDocument/2006/relationships">
  <sheetPr>
    <tabColor rgb="00E57200"/>
    <outlinePr summaryBelow="1" summaryRight="1"/>
    <pageSetUpPr/>
  </sheetPr>
  <dimension ref="A1:AB54"/>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SUMPRODUCT(J33:U33,Ratesheet!$B$23:$M$23)</f>
        <v>14999420</v>
      </c>
    </row>
    <row r="6" ht="26" customHeight="1">
      <c r="A6" s="52" t="inlineStr">
        <is>
          <t>Project Description:</t>
        </is>
      </c>
      <c r="B6" s="24" t="n"/>
      <c r="C6" s="53" t="inlineStr">
        <is>
          <t>KYC Audit Automation</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SUMPRODUCT(J33:U33,Ratesheet!$B$24:$M$24)</f>
        <v>3796320</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IFERROR(AB5/V33,0)</f>
        <v>6429.241320188598</v>
      </c>
    </row>
    <row r="8">
      <c r="A8" s="52" t="inlineStr">
        <is>
          <t>Project Type:</t>
        </is>
      </c>
      <c r="B8" s="24" t="n"/>
      <c r="C8" s="53" t="inlineStr">
        <is>
          <t>Fixed Fee (Incl. Outlays)</t>
        </is>
      </c>
      <c r="D8" s="24" t="n"/>
      <c r="F8" s="30" t="inlineStr">
        <is>
          <t>Requirement Gathering &amp; RBI KYC Master Direction Study</t>
        </is>
      </c>
      <c r="G8" s="24" t="n"/>
      <c r="H8" s="58" t="inlineStr">
        <is>
          <t>India</t>
        </is>
      </c>
      <c r="I8" s="58" t="inlineStr">
        <is>
          <t>R&amp;C</t>
        </is>
      </c>
      <c r="J8" s="59" t="n">
        <v>2</v>
      </c>
      <c r="K8" s="59" t="n"/>
      <c r="L8" s="59" t="n">
        <v>10</v>
      </c>
      <c r="M8" s="59" t="n">
        <v>10</v>
      </c>
      <c r="N8" s="59" t="n"/>
      <c r="O8" s="59" t="n"/>
      <c r="P8" s="59" t="n">
        <v>16</v>
      </c>
      <c r="Q8" s="59" t="n">
        <v>16</v>
      </c>
      <c r="R8" s="59" t="n">
        <v>20</v>
      </c>
      <c r="S8" s="59" t="n">
        <v>20</v>
      </c>
      <c r="T8" s="59" t="n"/>
      <c r="U8" s="59" t="n"/>
      <c r="V8" s="60">
        <f>SUM(J8:U8)</f>
        <v>94</v>
      </c>
      <c r="Z8" s="30" t="inlineStr">
        <is>
          <t>Blended cost / hr</t>
        </is>
      </c>
      <c r="AA8" s="24" t="n"/>
      <c r="AB8" s="10">
        <f>IFERROR(AB6/V33,0)</f>
        <v>1627.2267466780968</v>
      </c>
    </row>
    <row r="9">
      <c r="F9" s="30" t="inlineStr">
        <is>
          <t>Technical Architecture, Design &amp; Planning</t>
        </is>
      </c>
      <c r="G9" s="24" t="n"/>
      <c r="H9" s="58" t="inlineStr">
        <is>
          <t>India</t>
        </is>
      </c>
      <c r="I9" s="58" t="inlineStr">
        <is>
          <t>R&amp;C</t>
        </is>
      </c>
      <c r="J9" s="59" t="n">
        <v>2</v>
      </c>
      <c r="K9" s="59" t="n"/>
      <c r="L9" s="59" t="n">
        <v>10</v>
      </c>
      <c r="M9" s="59" t="n">
        <v>10</v>
      </c>
      <c r="N9" s="59" t="n"/>
      <c r="O9" s="59" t="n"/>
      <c r="P9" s="59" t="n">
        <v>12</v>
      </c>
      <c r="Q9" s="59" t="n">
        <v>12</v>
      </c>
      <c r="R9" s="59" t="n">
        <v>16</v>
      </c>
      <c r="S9" s="59" t="n">
        <v>16</v>
      </c>
      <c r="T9" s="59" t="n"/>
      <c r="U9" s="59" t="n"/>
      <c r="V9" s="60">
        <f>SUM(J9:U9)</f>
        <v>78</v>
      </c>
    </row>
    <row r="10">
      <c r="F10" s="30" t="inlineStr">
        <is>
          <t>Data Model &amp; Database Design</t>
        </is>
      </c>
      <c r="G10" s="24" t="n"/>
      <c r="H10" s="58" t="inlineStr">
        <is>
          <t>India</t>
        </is>
      </c>
      <c r="I10" s="58" t="inlineStr">
        <is>
          <t>R&amp;C</t>
        </is>
      </c>
      <c r="J10" s="59" t="n">
        <v>1</v>
      </c>
      <c r="K10" s="59" t="n"/>
      <c r="L10" s="59" t="n">
        <v>4</v>
      </c>
      <c r="M10" s="59" t="n">
        <v>6</v>
      </c>
      <c r="N10" s="59" t="n"/>
      <c r="O10" s="59" t="n"/>
      <c r="P10" s="59" t="n">
        <v>12</v>
      </c>
      <c r="Q10" s="59" t="n">
        <v>16</v>
      </c>
      <c r="R10" s="59" t="n">
        <v>20</v>
      </c>
      <c r="S10" s="59" t="n">
        <v>20</v>
      </c>
      <c r="T10" s="59" t="n"/>
      <c r="U10" s="59" t="n"/>
      <c r="V10" s="60">
        <f>SUM(J10:U10)</f>
        <v>79</v>
      </c>
    </row>
    <row r="11">
      <c r="F11" s="30" t="inlineStr">
        <is>
          <t>KYC Data Ingestion (CBS, CRM, CIF, AML, LOS, DMS)</t>
        </is>
      </c>
      <c r="G11" s="24" t="n"/>
      <c r="H11" s="58" t="inlineStr">
        <is>
          <t>India</t>
        </is>
      </c>
      <c r="I11" s="58" t="inlineStr">
        <is>
          <t>R&amp;C</t>
        </is>
      </c>
      <c r="J11" s="59" t="n"/>
      <c r="K11" s="59" t="n"/>
      <c r="L11" s="59" t="n">
        <v>4</v>
      </c>
      <c r="M11" s="59" t="n">
        <v>12</v>
      </c>
      <c r="N11" s="59" t="n"/>
      <c r="O11" s="59" t="n"/>
      <c r="P11" s="59" t="n">
        <v>24</v>
      </c>
      <c r="Q11" s="59" t="n">
        <v>32</v>
      </c>
      <c r="R11" s="59" t="n">
        <v>48</v>
      </c>
      <c r="S11" s="59" t="n">
        <v>48</v>
      </c>
      <c r="T11" s="59" t="n"/>
      <c r="U11" s="59" t="n"/>
      <c r="V11" s="60">
        <f>SUM(J11:U11)</f>
        <v>168</v>
      </c>
    </row>
    <row r="12">
      <c r="F12" s="30" t="inlineStr">
        <is>
          <t>OCR / Intelligent Document Processing Pipeline</t>
        </is>
      </c>
      <c r="G12" s="24" t="n"/>
      <c r="H12" s="58" t="inlineStr">
        <is>
          <t>India</t>
        </is>
      </c>
      <c r="I12" s="58" t="inlineStr">
        <is>
          <t>R&amp;C</t>
        </is>
      </c>
      <c r="J12" s="59" t="n"/>
      <c r="K12" s="59" t="n"/>
      <c r="L12" s="59" t="n">
        <v>4</v>
      </c>
      <c r="M12" s="59" t="n">
        <v>12</v>
      </c>
      <c r="N12" s="59" t="n"/>
      <c r="O12" s="59" t="n"/>
      <c r="P12" s="59" t="n">
        <v>24</v>
      </c>
      <c r="Q12" s="59" t="n">
        <v>28</v>
      </c>
      <c r="R12" s="59" t="n">
        <v>44</v>
      </c>
      <c r="S12" s="59" t="n">
        <v>44</v>
      </c>
      <c r="T12" s="59" t="n"/>
      <c r="U12" s="59" t="n"/>
      <c r="V12" s="60">
        <f>SUM(J12:U12)</f>
        <v>156</v>
      </c>
    </row>
    <row r="13">
      <c r="F13" s="30" t="inlineStr">
        <is>
          <t>Identity Verification Rules (PAN/Aadhaar/Passport/VID/DL)</t>
        </is>
      </c>
      <c r="G13" s="24" t="n"/>
      <c r="H13" s="58" t="inlineStr">
        <is>
          <t>India</t>
        </is>
      </c>
      <c r="I13" s="58" t="inlineStr">
        <is>
          <t>R&amp;C</t>
        </is>
      </c>
      <c r="J13" s="59" t="n"/>
      <c r="K13" s="59" t="n"/>
      <c r="L13" s="59" t="n">
        <v>2</v>
      </c>
      <c r="M13" s="59" t="n">
        <v>8</v>
      </c>
      <c r="N13" s="59" t="n"/>
      <c r="O13" s="59" t="n"/>
      <c r="P13" s="59" t="n">
        <v>20</v>
      </c>
      <c r="Q13" s="59" t="n">
        <v>24</v>
      </c>
      <c r="R13" s="59" t="n">
        <v>36</v>
      </c>
      <c r="S13" s="59" t="n">
        <v>36</v>
      </c>
      <c r="T13" s="59" t="n"/>
      <c r="U13" s="59" t="n"/>
      <c r="V13" s="60">
        <f>SUM(J13:U13)</f>
        <v>126</v>
      </c>
    </row>
    <row r="14">
      <c r="F14" s="30" t="inlineStr">
        <is>
          <t>Address, Demographic &amp; Document Expiry Validation</t>
        </is>
      </c>
      <c r="G14" s="24" t="n"/>
      <c r="H14" s="58" t="inlineStr">
        <is>
          <t>India</t>
        </is>
      </c>
      <c r="I14" s="58" t="inlineStr">
        <is>
          <t>R&amp;C</t>
        </is>
      </c>
      <c r="J14" s="59" t="n"/>
      <c r="K14" s="59" t="n"/>
      <c r="L14" s="59" t="n"/>
      <c r="M14" s="59" t="n">
        <v>6</v>
      </c>
      <c r="N14" s="59" t="n"/>
      <c r="O14" s="59" t="n"/>
      <c r="P14" s="59" t="n">
        <v>16</v>
      </c>
      <c r="Q14" s="59" t="n">
        <v>20</v>
      </c>
      <c r="R14" s="59" t="n">
        <v>28</v>
      </c>
      <c r="S14" s="59" t="n">
        <v>28</v>
      </c>
      <c r="T14" s="59" t="n"/>
      <c r="U14" s="59" t="n"/>
      <c r="V14" s="60">
        <f>SUM(J14:U14)</f>
        <v>98</v>
      </c>
    </row>
    <row r="15">
      <c r="F15" s="30" t="inlineStr">
        <is>
          <t>CDD / EDD &amp; Customer Risk Categorisation Validation</t>
        </is>
      </c>
      <c r="G15" s="24" t="n"/>
      <c r="H15" s="58" t="inlineStr">
        <is>
          <t>India</t>
        </is>
      </c>
      <c r="I15" s="58" t="inlineStr">
        <is>
          <t>R&amp;C</t>
        </is>
      </c>
      <c r="J15" s="59" t="n"/>
      <c r="K15" s="59" t="n"/>
      <c r="L15" s="59" t="n">
        <v>2</v>
      </c>
      <c r="M15" s="59" t="n">
        <v>8</v>
      </c>
      <c r="N15" s="59" t="n"/>
      <c r="O15" s="59" t="n"/>
      <c r="P15" s="59" t="n">
        <v>16</v>
      </c>
      <c r="Q15" s="59" t="n">
        <v>20</v>
      </c>
      <c r="R15" s="59" t="n">
        <v>28</v>
      </c>
      <c r="S15" s="59" t="n">
        <v>28</v>
      </c>
      <c r="T15" s="59" t="n"/>
      <c r="U15" s="59" t="n"/>
      <c r="V15" s="60">
        <f>SUM(J15:U15)</f>
        <v>102</v>
      </c>
    </row>
    <row r="16">
      <c r="F16" s="30" t="inlineStr">
        <is>
          <t>Periodic KYC Review &amp; FATCA / CRS Compliance Checks</t>
        </is>
      </c>
      <c r="G16" s="24" t="n"/>
      <c r="H16" s="58" t="inlineStr">
        <is>
          <t>India</t>
        </is>
      </c>
      <c r="I16" s="58" t="inlineStr">
        <is>
          <t>R&amp;C</t>
        </is>
      </c>
      <c r="J16" s="59" t="n"/>
      <c r="K16" s="59" t="n"/>
      <c r="L16" s="59" t="n"/>
      <c r="M16" s="59" t="n">
        <v>6</v>
      </c>
      <c r="N16" s="59" t="n"/>
      <c r="O16" s="59" t="n"/>
      <c r="P16" s="59" t="n">
        <v>12</v>
      </c>
      <c r="Q16" s="59" t="n">
        <v>16</v>
      </c>
      <c r="R16" s="59" t="n">
        <v>24</v>
      </c>
      <c r="S16" s="59" t="n">
        <v>24</v>
      </c>
      <c r="T16" s="59" t="n"/>
      <c r="U16" s="59" t="n"/>
      <c r="V16" s="60">
        <f>SUM(J16:U16)</f>
        <v>82</v>
      </c>
    </row>
    <row r="17">
      <c r="F17" s="30" t="inlineStr">
        <is>
          <t>Exception Detection, Severity Ranking &amp; Bulk Closure</t>
        </is>
      </c>
      <c r="G17" s="24" t="n"/>
      <c r="H17" s="58" t="inlineStr">
        <is>
          <t>India</t>
        </is>
      </c>
      <c r="I17" s="58" t="inlineStr">
        <is>
          <t>R&amp;C</t>
        </is>
      </c>
      <c r="J17" s="59" t="n"/>
      <c r="K17" s="59" t="n"/>
      <c r="L17" s="59" t="n"/>
      <c r="M17" s="59" t="n">
        <v>6</v>
      </c>
      <c r="N17" s="59" t="n"/>
      <c r="O17" s="59" t="n"/>
      <c r="P17" s="59" t="n">
        <v>16</v>
      </c>
      <c r="Q17" s="59" t="n">
        <v>20</v>
      </c>
      <c r="R17" s="59" t="n">
        <v>28</v>
      </c>
      <c r="S17" s="59" t="n">
        <v>28</v>
      </c>
      <c r="T17" s="59" t="n"/>
      <c r="U17" s="59" t="n"/>
      <c r="V17" s="60">
        <f>SUM(J17:U17)</f>
        <v>98</v>
      </c>
    </row>
    <row r="18">
      <c r="F18" s="30" t="inlineStr">
        <is>
          <t>Automated &amp; Stratified Sampling Engine</t>
        </is>
      </c>
      <c r="G18" s="24" t="n"/>
      <c r="H18" s="58" t="inlineStr">
        <is>
          <t>India</t>
        </is>
      </c>
      <c r="I18" s="58" t="inlineStr">
        <is>
          <t>R&amp;C</t>
        </is>
      </c>
      <c r="J18" s="59" t="n"/>
      <c r="K18" s="59" t="n"/>
      <c r="L18" s="59" t="n"/>
      <c r="M18" s="59" t="n">
        <v>6</v>
      </c>
      <c r="N18" s="59" t="n"/>
      <c r="O18" s="59" t="n"/>
      <c r="P18" s="59" t="n">
        <v>12</v>
      </c>
      <c r="Q18" s="59" t="n">
        <v>16</v>
      </c>
      <c r="R18" s="59" t="n">
        <v>24</v>
      </c>
      <c r="S18" s="59" t="n">
        <v>24</v>
      </c>
      <c r="T18" s="59" t="n"/>
      <c r="U18" s="59" t="n"/>
      <c r="V18" s="60">
        <f>SUM(J18:U18)</f>
        <v>82</v>
      </c>
    </row>
    <row r="19">
      <c r="F19" s="30" t="inlineStr">
        <is>
          <t>Dynamic KYC Checklist Automation</t>
        </is>
      </c>
      <c r="G19" s="24" t="n"/>
      <c r="H19" s="58" t="inlineStr">
        <is>
          <t>India</t>
        </is>
      </c>
      <c r="I19" s="58" t="inlineStr">
        <is>
          <t>R&amp;C</t>
        </is>
      </c>
      <c r="J19" s="59" t="n"/>
      <c r="K19" s="59" t="n"/>
      <c r="L19" s="59" t="n"/>
      <c r="M19" s="59" t="n">
        <v>4</v>
      </c>
      <c r="N19" s="59" t="n"/>
      <c r="O19" s="59" t="n"/>
      <c r="P19" s="59" t="n">
        <v>12</v>
      </c>
      <c r="Q19" s="59" t="n">
        <v>16</v>
      </c>
      <c r="R19" s="59" t="n">
        <v>20</v>
      </c>
      <c r="S19" s="59" t="n">
        <v>20</v>
      </c>
      <c r="T19" s="59" t="n"/>
      <c r="U19" s="59" t="n"/>
      <c r="V19" s="60">
        <f>SUM(J19:U19)</f>
        <v>72</v>
      </c>
    </row>
    <row r="20">
      <c r="F20" s="30" t="inlineStr">
        <is>
          <t>No-Code Rule Engine, Versioning &amp; Impact Simulation</t>
        </is>
      </c>
      <c r="G20" s="24" t="n"/>
      <c r="H20" s="58" t="inlineStr">
        <is>
          <t>India</t>
        </is>
      </c>
      <c r="I20" s="58" t="inlineStr">
        <is>
          <t>R&amp;C</t>
        </is>
      </c>
      <c r="J20" s="59" t="n"/>
      <c r="K20" s="59" t="n"/>
      <c r="L20" s="59" t="n">
        <v>2</v>
      </c>
      <c r="M20" s="59" t="n">
        <v>8</v>
      </c>
      <c r="N20" s="59" t="n"/>
      <c r="O20" s="59" t="n"/>
      <c r="P20" s="59" t="n">
        <v>16</v>
      </c>
      <c r="Q20" s="59" t="n">
        <v>20</v>
      </c>
      <c r="R20" s="59" t="n">
        <v>32</v>
      </c>
      <c r="S20" s="59" t="n">
        <v>32</v>
      </c>
      <c r="T20" s="59" t="n"/>
      <c r="U20" s="59" t="n"/>
      <c r="V20" s="60">
        <f>SUM(J20:U20)</f>
        <v>110</v>
      </c>
    </row>
    <row r="21">
      <c r="F21" s="30" t="inlineStr">
        <is>
          <t>API Layer &amp; Microservices Implementation</t>
        </is>
      </c>
      <c r="G21" s="24" t="n"/>
      <c r="H21" s="58" t="inlineStr">
        <is>
          <t>India</t>
        </is>
      </c>
      <c r="I21" s="58" t="inlineStr">
        <is>
          <t>R&amp;C</t>
        </is>
      </c>
      <c r="J21" s="59" t="n"/>
      <c r="K21" s="59" t="n"/>
      <c r="L21" s="59" t="n"/>
      <c r="M21" s="59" t="n">
        <v>6</v>
      </c>
      <c r="N21" s="59" t="n"/>
      <c r="O21" s="59" t="n"/>
      <c r="P21" s="59" t="n">
        <v>16</v>
      </c>
      <c r="Q21" s="59" t="n">
        <v>20</v>
      </c>
      <c r="R21" s="59" t="n">
        <v>32</v>
      </c>
      <c r="S21" s="59" t="n">
        <v>32</v>
      </c>
      <c r="T21" s="59" t="n"/>
      <c r="U21" s="59" t="n"/>
      <c r="V21" s="60">
        <f>SUM(J21:U21)</f>
        <v>106</v>
      </c>
    </row>
    <row r="22">
      <c r="F22" s="30" t="inlineStr">
        <is>
          <t>Frontend Design &amp; Exception / Heat-Map Dashboards</t>
        </is>
      </c>
      <c r="G22" s="24" t="n"/>
      <c r="H22" s="58" t="inlineStr">
        <is>
          <t>India</t>
        </is>
      </c>
      <c r="I22" s="58" t="inlineStr">
        <is>
          <t>R&amp;C</t>
        </is>
      </c>
      <c r="J22" s="59" t="n"/>
      <c r="K22" s="59" t="n"/>
      <c r="L22" s="59" t="n"/>
      <c r="M22" s="59" t="n">
        <v>8</v>
      </c>
      <c r="N22" s="59" t="n"/>
      <c r="O22" s="59" t="n"/>
      <c r="P22" s="59" t="n">
        <v>20</v>
      </c>
      <c r="Q22" s="59" t="n">
        <v>24</v>
      </c>
      <c r="R22" s="59" t="n">
        <v>36</v>
      </c>
      <c r="S22" s="59" t="n">
        <v>36</v>
      </c>
      <c r="T22" s="59" t="n"/>
      <c r="U22" s="59" t="n"/>
      <c r="V22" s="60">
        <f>SUM(J22:U22)</f>
        <v>124</v>
      </c>
    </row>
    <row r="23">
      <c r="F23" s="30" t="inlineStr">
        <is>
          <t>FE &amp; BE Integration</t>
        </is>
      </c>
      <c r="G23" s="24" t="n"/>
      <c r="H23" s="58" t="inlineStr">
        <is>
          <t>India</t>
        </is>
      </c>
      <c r="I23" s="58" t="inlineStr">
        <is>
          <t>R&amp;C</t>
        </is>
      </c>
      <c r="J23" s="59" t="n"/>
      <c r="K23" s="59" t="n"/>
      <c r="L23" s="59" t="n"/>
      <c r="M23" s="59" t="n">
        <v>6</v>
      </c>
      <c r="N23" s="59" t="n"/>
      <c r="O23" s="59" t="n"/>
      <c r="P23" s="59" t="n">
        <v>12</v>
      </c>
      <c r="Q23" s="59" t="n">
        <v>20</v>
      </c>
      <c r="R23" s="59" t="n">
        <v>24</v>
      </c>
      <c r="S23" s="59" t="n">
        <v>24</v>
      </c>
      <c r="T23" s="59" t="n"/>
      <c r="U23" s="59" t="n"/>
      <c r="V23" s="60">
        <f>SUM(J23:U23)</f>
        <v>86</v>
      </c>
    </row>
    <row r="24">
      <c r="F24" s="30" t="inlineStr">
        <is>
          <t>Workflow, Query Management &amp; Collaboration</t>
        </is>
      </c>
      <c r="G24" s="24" t="n"/>
      <c r="H24" s="58" t="inlineStr">
        <is>
          <t>India</t>
        </is>
      </c>
      <c r="I24" s="58" t="inlineStr">
        <is>
          <t>R&amp;C</t>
        </is>
      </c>
      <c r="J24" s="59" t="n"/>
      <c r="K24" s="59" t="n"/>
      <c r="L24" s="59" t="n"/>
      <c r="M24" s="59" t="n">
        <v>4</v>
      </c>
      <c r="N24" s="59" t="n"/>
      <c r="O24" s="59" t="n"/>
      <c r="P24" s="59" t="n">
        <v>12</v>
      </c>
      <c r="Q24" s="59" t="n">
        <v>16</v>
      </c>
      <c r="R24" s="59" t="n">
        <v>24</v>
      </c>
      <c r="S24" s="59" t="n">
        <v>24</v>
      </c>
      <c r="T24" s="59" t="n"/>
      <c r="U24" s="59" t="n"/>
      <c r="V24" s="60">
        <f>SUM(J24:U24)</f>
        <v>80</v>
      </c>
    </row>
    <row r="25">
      <c r="F25" s="30" t="inlineStr">
        <is>
          <t>Reporting Suite (6 standard regulatory reports)</t>
        </is>
      </c>
      <c r="G25" s="24" t="n"/>
      <c r="H25" s="58" t="inlineStr">
        <is>
          <t>India</t>
        </is>
      </c>
      <c r="I25" s="58" t="inlineStr">
        <is>
          <t>R&amp;C</t>
        </is>
      </c>
      <c r="J25" s="59" t="n"/>
      <c r="K25" s="59" t="n"/>
      <c r="L25" s="59" t="n"/>
      <c r="M25" s="59" t="n">
        <v>4</v>
      </c>
      <c r="N25" s="59" t="n"/>
      <c r="O25" s="59" t="n"/>
      <c r="P25" s="59" t="n">
        <v>12</v>
      </c>
      <c r="Q25" s="59" t="n">
        <v>16</v>
      </c>
      <c r="R25" s="59" t="n">
        <v>20</v>
      </c>
      <c r="S25" s="59" t="n">
        <v>20</v>
      </c>
      <c r="T25" s="59" t="n"/>
      <c r="U25" s="59" t="n"/>
      <c r="V25" s="60">
        <f>SUM(J25:U25)</f>
        <v>72</v>
      </c>
    </row>
    <row r="26">
      <c r="F26" s="30" t="inlineStr">
        <is>
          <t>Auth, RBAC, Audit Trail &amp; NFR Implementation</t>
        </is>
      </c>
      <c r="G26" s="24" t="n"/>
      <c r="H26" s="58" t="inlineStr">
        <is>
          <t>India</t>
        </is>
      </c>
      <c r="I26" s="58" t="inlineStr">
        <is>
          <t>R&amp;C</t>
        </is>
      </c>
      <c r="J26" s="59" t="n"/>
      <c r="K26" s="59" t="n"/>
      <c r="L26" s="59" t="n"/>
      <c r="M26" s="59" t="n">
        <v>6</v>
      </c>
      <c r="N26" s="59" t="n"/>
      <c r="O26" s="59" t="n"/>
      <c r="P26" s="59" t="n">
        <v>12</v>
      </c>
      <c r="Q26" s="59" t="n">
        <v>16</v>
      </c>
      <c r="R26" s="59" t="n">
        <v>20</v>
      </c>
      <c r="S26" s="59" t="n">
        <v>20</v>
      </c>
      <c r="T26" s="59" t="n"/>
      <c r="U26" s="59" t="n"/>
      <c r="V26" s="60">
        <f>SUM(J26:U26)</f>
        <v>74</v>
      </c>
    </row>
    <row r="27">
      <c r="F27" s="30" t="inlineStr">
        <is>
          <t>Component Testing &amp; SIT</t>
        </is>
      </c>
      <c r="G27" s="24" t="n"/>
      <c r="H27" s="58" t="inlineStr">
        <is>
          <t>India</t>
        </is>
      </c>
      <c r="I27" s="58" t="inlineStr">
        <is>
          <t>R&amp;C</t>
        </is>
      </c>
      <c r="J27" s="59" t="n"/>
      <c r="K27" s="59" t="n"/>
      <c r="L27" s="59" t="n">
        <v>2</v>
      </c>
      <c r="M27" s="59" t="n">
        <v>6</v>
      </c>
      <c r="N27" s="59" t="n"/>
      <c r="O27" s="59" t="n"/>
      <c r="P27" s="59" t="n">
        <v>16</v>
      </c>
      <c r="Q27" s="59" t="n">
        <v>24</v>
      </c>
      <c r="R27" s="59" t="n">
        <v>32</v>
      </c>
      <c r="S27" s="59" t="n">
        <v>32</v>
      </c>
      <c r="T27" s="59" t="n"/>
      <c r="U27" s="59" t="n"/>
      <c r="V27" s="60">
        <f>SUM(J27:U27)</f>
        <v>112</v>
      </c>
    </row>
    <row r="28">
      <c r="F28" s="30" t="inlineStr">
        <is>
          <t>User Acceptance Testing (incl. Bug Fixing)</t>
        </is>
      </c>
      <c r="G28" s="24" t="n"/>
      <c r="H28" s="58" t="inlineStr">
        <is>
          <t>India</t>
        </is>
      </c>
      <c r="I28" s="58" t="inlineStr">
        <is>
          <t>R&amp;C</t>
        </is>
      </c>
      <c r="J28" s="59" t="n"/>
      <c r="K28" s="59" t="n"/>
      <c r="L28" s="59" t="n">
        <v>1</v>
      </c>
      <c r="M28" s="59" t="n">
        <v>4</v>
      </c>
      <c r="N28" s="59" t="n"/>
      <c r="O28" s="59" t="n"/>
      <c r="P28" s="59" t="n">
        <v>12</v>
      </c>
      <c r="Q28" s="59" t="n">
        <v>16</v>
      </c>
      <c r="R28" s="59" t="n">
        <v>24</v>
      </c>
      <c r="S28" s="59" t="n">
        <v>24</v>
      </c>
      <c r="T28" s="59" t="n"/>
      <c r="U28" s="59" t="n"/>
      <c r="V28" s="60">
        <f>SUM(J28:U28)</f>
        <v>81</v>
      </c>
    </row>
    <row r="29">
      <c r="F29" s="30" t="inlineStr">
        <is>
          <t>Documentation (Technical, User, DR/BCP)</t>
        </is>
      </c>
      <c r="G29" s="24" t="n"/>
      <c r="H29" s="58" t="inlineStr">
        <is>
          <t>India</t>
        </is>
      </c>
      <c r="I29" s="58" t="inlineStr">
        <is>
          <t>R&amp;C</t>
        </is>
      </c>
      <c r="J29" s="59" t="n"/>
      <c r="K29" s="59" t="n"/>
      <c r="L29" s="59" t="n"/>
      <c r="M29" s="59" t="n">
        <v>4</v>
      </c>
      <c r="N29" s="59" t="n"/>
      <c r="O29" s="59" t="n"/>
      <c r="P29" s="59" t="n">
        <v>8</v>
      </c>
      <c r="Q29" s="59" t="n">
        <v>12</v>
      </c>
      <c r="R29" s="59" t="n">
        <v>16</v>
      </c>
      <c r="S29" s="59" t="n">
        <v>16</v>
      </c>
      <c r="T29" s="59" t="n"/>
      <c r="U29" s="59" t="n"/>
      <c r="V29" s="60">
        <f>SUM(J29:U29)</f>
        <v>56</v>
      </c>
    </row>
    <row r="30">
      <c r="F30" s="30" t="inlineStr">
        <is>
          <t>PMO &amp; Programme Governance</t>
        </is>
      </c>
      <c r="G30" s="24" t="n"/>
      <c r="H30" s="58" t="inlineStr">
        <is>
          <t>India</t>
        </is>
      </c>
      <c r="I30" s="58" t="inlineStr">
        <is>
          <t>R&amp;C</t>
        </is>
      </c>
      <c r="J30" s="59" t="n"/>
      <c r="K30" s="59" t="n"/>
      <c r="L30" s="59" t="n"/>
      <c r="M30" s="59" t="n"/>
      <c r="N30" s="59" t="n">
        <v>100</v>
      </c>
      <c r="O30" s="59" t="n"/>
      <c r="P30" s="59" t="n"/>
      <c r="Q30" s="59" t="n"/>
      <c r="R30" s="59" t="n"/>
      <c r="S30" s="59" t="n"/>
      <c r="T30" s="59" t="n"/>
      <c r="U30" s="59" t="n"/>
      <c r="V30" s="60">
        <f>SUM(J30:U30)</f>
        <v>100</v>
      </c>
    </row>
    <row r="31">
      <c r="F31" s="30" t="inlineStr">
        <is>
          <t>Go-live &amp; Hypercare Support</t>
        </is>
      </c>
      <c r="G31" s="24" t="n"/>
      <c r="H31" s="58" t="inlineStr">
        <is>
          <t>India</t>
        </is>
      </c>
      <c r="I31" s="58" t="inlineStr">
        <is>
          <t>R&amp;C</t>
        </is>
      </c>
      <c r="J31" s="59" t="n"/>
      <c r="K31" s="59" t="n"/>
      <c r="L31" s="59" t="n"/>
      <c r="M31" s="59" t="n">
        <v>4</v>
      </c>
      <c r="N31" s="59" t="n"/>
      <c r="O31" s="59" t="n"/>
      <c r="P31" s="59" t="n">
        <v>8</v>
      </c>
      <c r="Q31" s="59" t="n">
        <v>12</v>
      </c>
      <c r="R31" s="59" t="n">
        <v>12</v>
      </c>
      <c r="S31" s="59" t="n">
        <v>12</v>
      </c>
      <c r="T31" s="59" t="n"/>
      <c r="U31" s="59" t="n"/>
      <c r="V31" s="60">
        <f>SUM(J31:U31)</f>
        <v>48</v>
      </c>
    </row>
    <row r="32">
      <c r="F32" s="30" t="inlineStr">
        <is>
          <t>Handover &amp; Knowledge Transfer</t>
        </is>
      </c>
      <c r="G32" s="24" t="n"/>
      <c r="H32" s="58" t="inlineStr">
        <is>
          <t>India</t>
        </is>
      </c>
      <c r="I32" s="58" t="inlineStr">
        <is>
          <t>R&amp;C</t>
        </is>
      </c>
      <c r="J32" s="59" t="n">
        <v>1</v>
      </c>
      <c r="K32" s="59" t="n"/>
      <c r="L32" s="59" t="n">
        <v>4</v>
      </c>
      <c r="M32" s="59" t="n">
        <v>4</v>
      </c>
      <c r="N32" s="59" t="n"/>
      <c r="O32" s="59" t="n"/>
      <c r="P32" s="59" t="n">
        <v>8</v>
      </c>
      <c r="Q32" s="59" t="n">
        <v>8</v>
      </c>
      <c r="R32" s="59" t="n">
        <v>12</v>
      </c>
      <c r="S32" s="59" t="n">
        <v>12</v>
      </c>
      <c r="T32" s="59" t="n"/>
      <c r="U32" s="59" t="n"/>
      <c r="V32" s="60">
        <f>SUM(J32:U32)</f>
        <v>49</v>
      </c>
    </row>
    <row r="33">
      <c r="F33" s="33" t="inlineStr">
        <is>
          <t>Total</t>
        </is>
      </c>
      <c r="G33" s="24" t="n"/>
      <c r="H33" s="34" t="n"/>
      <c r="I33" s="34" t="n"/>
      <c r="J33" s="61">
        <f>SUM(J8:J32)</f>
        <v>6</v>
      </c>
      <c r="K33" s="61">
        <f>SUM(K8:K32)</f>
        <v>0</v>
      </c>
      <c r="L33" s="61">
        <f>SUM(L8:L32)</f>
        <v>45</v>
      </c>
      <c r="M33" s="61">
        <f>SUM(M8:M32)</f>
        <v>158</v>
      </c>
      <c r="N33" s="61">
        <f>SUM(N8:N32)</f>
        <v>100</v>
      </c>
      <c r="O33" s="61">
        <f>SUM(O8:O32)</f>
        <v>0</v>
      </c>
      <c r="P33" s="61">
        <f>SUM(P8:P32)</f>
        <v>344</v>
      </c>
      <c r="Q33" s="61">
        <f>SUM(Q8:Q32)</f>
        <v>440</v>
      </c>
      <c r="R33" s="61">
        <f>SUM(R8:R32)</f>
        <v>620</v>
      </c>
      <c r="S33" s="61">
        <f>SUM(S8:S32)</f>
        <v>620</v>
      </c>
      <c r="T33" s="61">
        <f>SUM(T8:T32)</f>
        <v>0</v>
      </c>
      <c r="U33" s="61">
        <f>SUM(U8:U32)</f>
        <v>0</v>
      </c>
      <c r="V33" s="62">
        <f>SUM(V8:V32)</f>
        <v>2333</v>
      </c>
    </row>
    <row r="35">
      <c r="H35" s="63" t="inlineStr">
        <is>
          <t>Project Mix</t>
        </is>
      </c>
      <c r="J35" s="64">
        <f>IFERROR(J33/$V$33,0)</f>
        <v>0.002571795970852979</v>
      </c>
      <c r="K35" s="64">
        <f>IFERROR(K33/$V$33,0)</f>
        <v>0</v>
      </c>
      <c r="L35" s="64">
        <f>IFERROR(L33/$V$33,0)</f>
        <v>0.01928846978139734</v>
      </c>
      <c r="M35" s="64">
        <f>IFERROR(M33/$V$33,0)</f>
        <v>0.06772396056579512</v>
      </c>
      <c r="N35" s="64">
        <f>IFERROR(N33/$V$33,0)</f>
        <v>0.042863266180882986</v>
      </c>
      <c r="O35" s="64">
        <f>IFERROR(O33/$V$33,0)</f>
        <v>0</v>
      </c>
      <c r="P35" s="64">
        <f>IFERROR(P33/$V$33,0)</f>
        <v>0.14744963566223745</v>
      </c>
      <c r="Q35" s="64">
        <f>IFERROR(Q33/$V$33,0)</f>
        <v>0.18859837119588513</v>
      </c>
      <c r="R35" s="64">
        <f>IFERROR(R33/$V$33,0)</f>
        <v>0.2657522503214745</v>
      </c>
      <c r="S35" s="64">
        <f>IFERROR(S33/$V$33,0)</f>
        <v>0.2657522503214745</v>
      </c>
      <c r="T35" s="64">
        <f>IFERROR(T33/$V$33,0)</f>
        <v>0</v>
      </c>
      <c r="U35" s="64">
        <f>IFERROR(U33/$V$33,0)</f>
        <v>0</v>
      </c>
    </row>
    <row r="38">
      <c r="A38" s="33" t="inlineStr">
        <is>
          <t>F E E    B R E A K  D O W N</t>
        </is>
      </c>
      <c r="B38" s="65" t="n"/>
      <c r="C38" s="65" t="n"/>
      <c r="D38" s="65" t="n"/>
      <c r="E38" s="65" t="n"/>
      <c r="F38" s="65" t="n"/>
      <c r="G38" s="65" t="n"/>
      <c r="H38" s="66" t="str">
        <f>" All Values in ( "&amp;C7&amp;" )"</f>
        <v> All Values in ( INR )</v>
      </c>
      <c r="I38" s="24" t="n"/>
      <c r="L38" s="67" t="inlineStr">
        <is>
          <t>What if analysis - FYI Only</t>
        </is>
      </c>
      <c r="M38" s="22" t="n"/>
      <c r="N38" s="22" t="n"/>
      <c r="O38" s="22" t="n"/>
      <c r="P38" s="22" t="n"/>
      <c r="Q38" s="22" t="n"/>
      <c r="R38" s="22" t="n"/>
      <c r="S38" s="22" t="n"/>
    </row>
    <row r="39">
      <c r="A39" s="68" t="inlineStr">
        <is>
          <t>Total Engagement Value</t>
        </is>
      </c>
      <c r="B39" s="24" t="n"/>
      <c r="C39" s="24" t="n"/>
      <c r="D39" s="69" t="n">
        <v>5500000</v>
      </c>
      <c r="E39" s="70" t="inlineStr">
        <is>
          <t>Expenses Budgeting</t>
        </is>
      </c>
      <c r="F39" s="24" t="n"/>
      <c r="G39" s="24" t="n"/>
      <c r="H39" s="24" t="n"/>
      <c r="L39" s="66" t="inlineStr">
        <is>
          <t>Pricing Tool - Home Office</t>
        </is>
      </c>
      <c r="M39" s="65" t="n"/>
      <c r="N39" s="65" t="n"/>
      <c r="O39" s="65" t="n"/>
      <c r="P39" s="65" t="n"/>
      <c r="Q39" s="66" t="inlineStr">
        <is>
          <t>Fee Amount</t>
        </is>
      </c>
      <c r="R39" s="24" t="n"/>
      <c r="S39" s="71" t="inlineStr">
        <is>
          <t>Recovery %</t>
        </is>
      </c>
    </row>
    <row r="40">
      <c r="A40" s="66" t="inlineStr">
        <is>
          <t>Description</t>
        </is>
      </c>
      <c r="B40" s="34" t="n"/>
      <c r="C40" s="34" t="n"/>
      <c r="D40" s="66" t="inlineStr">
        <is>
          <t>Org./ Name</t>
        </is>
      </c>
      <c r="E40" s="34" t="n"/>
      <c r="F40" s="66" t="inlineStr">
        <is>
          <t>Hours Breakdown</t>
        </is>
      </c>
      <c r="G40" s="66" t="inlineStr">
        <is>
          <t>Fee Breakdown</t>
        </is>
      </c>
      <c r="H40" s="66" t="inlineStr">
        <is>
          <t>Budgeted Outlays</t>
        </is>
      </c>
      <c r="L40" s="72" t="inlineStr">
        <is>
          <t>Standard Fee</t>
        </is>
      </c>
      <c r="M40" s="24" t="n"/>
      <c r="N40" s="24" t="n"/>
      <c r="O40" s="24" t="n"/>
      <c r="P40" s="24" t="n"/>
      <c r="Q40" s="55">
        <f>$AB$5</f>
        <v>14999420</v>
      </c>
      <c r="R40" s="24" t="n"/>
      <c r="S40" s="55">
        <f>$AB$5</f>
        <v>14999420</v>
      </c>
    </row>
    <row r="41">
      <c r="A41" s="30" t="inlineStr">
        <is>
          <t>Home Office</t>
        </is>
      </c>
      <c r="B41" s="24" t="n"/>
      <c r="C41" s="24" t="n"/>
      <c r="D41" s="8" t="str">
        <f>C4</f>
        <v>India - R&amp;C</v>
      </c>
      <c r="F41" s="31">
        <f>V33</f>
        <v>2333</v>
      </c>
      <c r="G41" s="32">
        <f>D39-(SUM(G42:G45)+H46)</f>
        <v>5500000</v>
      </c>
      <c r="H41" s="32" t="n">
        <v>0</v>
      </c>
      <c r="L41" s="30" t="str">
        <f>"Proposed Fee (Home Office)"&amp;" - "&amp;IF(D41=0,"",D41)</f>
        <v>Proposed Fee (Home Office) - India - R&amp;C</v>
      </c>
      <c r="M41" s="24" t="n"/>
      <c r="N41" s="24" t="n"/>
      <c r="O41" s="24" t="n"/>
      <c r="P41" s="24" t="n"/>
      <c r="Q41" s="12">
        <f>G41</f>
        <v>5500000</v>
      </c>
      <c r="R41" s="73" t="n"/>
      <c r="S41" s="11">
        <f>S40*S44</f>
        <v>5500000</v>
      </c>
    </row>
    <row r="42">
      <c r="A42" s="30" t="inlineStr">
        <is>
          <t>Sub-Contractor (3rd party)</t>
        </is>
      </c>
      <c r="B42" s="24" t="n"/>
      <c r="C42" s="24" t="n"/>
      <c r="D42" s="24" t="n"/>
      <c r="E42" s="24" t="n"/>
      <c r="F42" s="31" t="n">
        <v>0</v>
      </c>
      <c r="G42" s="32" t="n">
        <v>0</v>
      </c>
      <c r="H42" s="32" t="n">
        <v>0</v>
      </c>
      <c r="L42" s="72" t="inlineStr">
        <is>
          <t>Planned Fee Adjustment (PFA)</t>
        </is>
      </c>
      <c r="M42" s="24" t="n"/>
      <c r="N42" s="24" t="n"/>
      <c r="O42" s="24" t="n"/>
      <c r="P42" s="24" t="n"/>
      <c r="Q42" s="11">
        <f>Q40-Q41</f>
        <v>9499420</v>
      </c>
      <c r="R42" s="24" t="n"/>
      <c r="S42" s="11">
        <f>S40-S41</f>
        <v>9499420</v>
      </c>
    </row>
    <row r="43">
      <c r="B43" s="24" t="n"/>
      <c r="C43" s="24" t="n"/>
      <c r="D43" s="24" t="n"/>
      <c r="E43" s="24" t="n"/>
      <c r="F43" s="31" t="n">
        <v>0</v>
      </c>
      <c r="G43" s="32" t="n">
        <v>0</v>
      </c>
      <c r="H43" s="32" t="n">
        <v>0</v>
      </c>
      <c r="L43" s="30" t="inlineStr">
        <is>
          <t>PFA %</t>
        </is>
      </c>
      <c r="M43" s="24" t="n"/>
      <c r="N43" s="24" t="n"/>
      <c r="O43" s="24" t="n"/>
      <c r="P43" s="24" t="n"/>
      <c r="Q43" s="74">
        <f>IFERROR(Q42/Q40,0)</f>
        <v>0.6333191550073269</v>
      </c>
      <c r="R43" s="24" t="n"/>
      <c r="S43" s="74">
        <f>1-S44</f>
        <v>0.6333191550073269</v>
      </c>
    </row>
    <row r="44">
      <c r="B44" s="24" t="n"/>
      <c r="C44" s="24" t="n"/>
      <c r="D44" s="24" t="n"/>
      <c r="E44" s="24" t="n"/>
      <c r="F44" s="31" t="n">
        <v>0</v>
      </c>
      <c r="G44" s="32" t="n">
        <v>0</v>
      </c>
      <c r="H44" s="32" t="n">
        <v>0</v>
      </c>
      <c r="L44" s="72" t="inlineStr">
        <is>
          <t>Recovery %</t>
        </is>
      </c>
      <c r="M44" s="24" t="n"/>
      <c r="N44" s="24" t="n"/>
      <c r="O44" s="24" t="n"/>
      <c r="P44" s="24" t="n"/>
      <c r="Q44" s="75">
        <f>1-Q43</f>
        <v>0.36668084499267306</v>
      </c>
      <c r="R44" s="24" t="n"/>
      <c r="S44" s="76">
        <f>F48</f>
        <v>0.36668084499267306</v>
      </c>
    </row>
    <row r="45">
      <c r="A45" s="77" t="inlineStr">
        <is>
          <t>GST</t>
        </is>
      </c>
      <c r="B45" s="24" t="n"/>
      <c r="C45" s="24" t="n"/>
      <c r="D45" s="24" t="n"/>
      <c r="E45" s="24" t="n"/>
      <c r="F45" s="31" t="n">
        <v>0</v>
      </c>
      <c r="G45" s="32" t="n">
        <v>0</v>
      </c>
      <c r="H45" s="32" t="n">
        <v>0</v>
      </c>
    </row>
    <row r="46">
      <c r="A46" s="41" t="inlineStr">
        <is>
          <t>Total</t>
        </is>
      </c>
      <c r="B46" s="34" t="n"/>
      <c r="C46" s="34" t="n"/>
      <c r="D46" s="34" t="n"/>
      <c r="E46" s="34" t="n"/>
      <c r="F46" s="78">
        <f>SUM(F41:F45)</f>
        <v>2333</v>
      </c>
      <c r="G46" s="79">
        <f>SUM(G41:G45)</f>
        <v>5500000</v>
      </c>
      <c r="H46" s="79">
        <f>SUM(H41:H45)</f>
        <v>0</v>
      </c>
    </row>
    <row r="48">
      <c r="C48" s="80" t="inlineStr">
        <is>
          <t>Budgeted Recovery %</t>
        </is>
      </c>
      <c r="F48" s="81">
        <f>IFERROR(G41/$AB$5,0)</f>
        <v>0.36668084499267306</v>
      </c>
      <c r="G48" s="24" t="n"/>
    </row>
    <row r="49">
      <c r="L49" s="66" t="inlineStr">
        <is>
          <t>Gross Fee</t>
        </is>
      </c>
      <c r="M49" s="24" t="n"/>
      <c r="N49" s="66" t="inlineStr">
        <is>
          <t>Net Fee</t>
        </is>
      </c>
      <c r="O49" s="24" t="n"/>
      <c r="P49" s="66" t="inlineStr">
        <is>
          <t>Net CM</t>
        </is>
      </c>
      <c r="Q49" s="24" t="n"/>
      <c r="R49" s="66" t="inlineStr">
        <is>
          <t>Gross CM</t>
        </is>
      </c>
      <c r="S49" s="24" t="n"/>
    </row>
    <row r="50">
      <c r="L50" s="82" t="inlineStr">
        <is>
          <t>Fee</t>
        </is>
      </c>
      <c r="M50" s="82" t="inlineStr">
        <is>
          <t>Per/Hr</t>
        </is>
      </c>
      <c r="N50" s="82" t="inlineStr">
        <is>
          <t>Fee</t>
        </is>
      </c>
      <c r="O50" s="82" t="inlineStr">
        <is>
          <t>Per/Hr</t>
        </is>
      </c>
      <c r="P50" s="82" t="inlineStr">
        <is>
          <t xml:space="preserve"> %</t>
        </is>
      </c>
      <c r="Q50" s="77" t="n"/>
      <c r="R50" s="82" t="inlineStr">
        <is>
          <t xml:space="preserve"> %</t>
        </is>
      </c>
      <c r="S50" s="77" t="n"/>
      <c r="T50" s="82" t="inlineStr">
        <is>
          <t>Margin</t>
        </is>
      </c>
      <c r="V50" s="82" t="inlineStr">
        <is>
          <t>Staff Cost</t>
        </is>
      </c>
    </row>
    <row r="51">
      <c r="K51" s="67" t="str">
        <f>C7</f>
        <v>INR</v>
      </c>
      <c r="L51" s="11">
        <f>G46</f>
        <v>5500000</v>
      </c>
      <c r="M51" s="10">
        <f>IFERROR(L51/F46,0)</f>
        <v>2357.479639948564</v>
      </c>
      <c r="N51" s="11">
        <f>G41</f>
        <v>5500000</v>
      </c>
      <c r="O51" s="10">
        <f>IFERROR(N51/V33,0)</f>
        <v>2357.479639948564</v>
      </c>
      <c r="P51" s="83">
        <f>IFERROR((T51-(N51*5%))/N51,0)</f>
        <v>0.25976</v>
      </c>
      <c r="Q51" s="84" t="n"/>
      <c r="R51" s="83">
        <f>IFERROR((L51-V51-(G46-G41)-(N51*5%))/L51,0)</f>
        <v>0.25976</v>
      </c>
      <c r="S51" s="84" t="n"/>
      <c r="T51" s="11">
        <f>IFERROR(N51-V51,0)</f>
        <v>1703680</v>
      </c>
      <c r="V51" s="11">
        <f>IFERROR($AB$6,0)</f>
        <v>3796320</v>
      </c>
    </row>
    <row r="53">
      <c r="C53" s="85" t="n"/>
      <c r="D53" s="86" t="inlineStr">
        <is>
          <t>Data to be entered / editable</t>
        </is>
      </c>
      <c r="L53" s="87" t="inlineStr">
        <is>
          <t>Gross Contribution Margin is derived after considering direct staff cost, management fees, Sub-contractor cost and other direct cost.
Net Contribution Margin is derived after considering direct staff cost, management fees and other direct cost.</t>
        </is>
      </c>
      <c r="M53" s="22" t="n"/>
      <c r="N53" s="22" t="n"/>
      <c r="O53" s="22" t="n"/>
      <c r="P53" s="22" t="n"/>
      <c r="Q53" s="22" t="n"/>
      <c r="R53" s="22" t="n"/>
      <c r="S53" s="22" t="n"/>
    </row>
    <row r="54">
      <c r="C54" s="34" t="n"/>
      <c r="D54" s="86" t="inlineStr">
        <is>
          <t>Calculated - do not overwrite</t>
        </is>
      </c>
      <c r="L54" s="22" t="n"/>
      <c r="M54" s="22" t="n"/>
      <c r="N54" s="22" t="n"/>
      <c r="O54" s="22" t="n"/>
      <c r="P54" s="22" t="n"/>
      <c r="Q54" s="22" t="n"/>
      <c r="R54" s="22" t="n"/>
      <c r="S54" s="22" t="n"/>
    </row>
  </sheetData>
  <mergeCells count="73">
    <mergeCell ref="F11:G11"/>
    <mergeCell ref="C6:D6"/>
    <mergeCell ref="H38:I38"/>
    <mergeCell ref="F29:G29"/>
    <mergeCell ref="F10:G10"/>
    <mergeCell ref="F16:G16"/>
    <mergeCell ref="Q43:R43"/>
    <mergeCell ref="P51:Q51"/>
    <mergeCell ref="F19:G19"/>
    <mergeCell ref="C5:D5"/>
    <mergeCell ref="F25:G25"/>
    <mergeCell ref="A38:G38"/>
    <mergeCell ref="J6:J7"/>
    <mergeCell ref="P6:P7"/>
    <mergeCell ref="Q42:R42"/>
    <mergeCell ref="R6:R7"/>
    <mergeCell ref="V6:V7"/>
    <mergeCell ref="Q39:R39"/>
    <mergeCell ref="C4:D4"/>
    <mergeCell ref="R49:S49"/>
    <mergeCell ref="F21:G21"/>
    <mergeCell ref="L43:P43"/>
    <mergeCell ref="F12:G12"/>
    <mergeCell ref="F24:G24"/>
    <mergeCell ref="H6:I6"/>
    <mergeCell ref="F30:G30"/>
    <mergeCell ref="F15:G15"/>
    <mergeCell ref="F20:G20"/>
    <mergeCell ref="F18:G18"/>
    <mergeCell ref="F33:G33"/>
    <mergeCell ref="M6:M7"/>
    <mergeCell ref="C48:E48"/>
    <mergeCell ref="L42:P42"/>
    <mergeCell ref="P49:Q49"/>
    <mergeCell ref="Z4:AB4"/>
    <mergeCell ref="Q6:Q7"/>
    <mergeCell ref="F32:G32"/>
    <mergeCell ref="F26:G26"/>
    <mergeCell ref="S6:S7"/>
    <mergeCell ref="F17:G17"/>
    <mergeCell ref="L39:P39"/>
    <mergeCell ref="F8:G8"/>
    <mergeCell ref="Q40:R40"/>
    <mergeCell ref="E39:H39"/>
    <mergeCell ref="R51:S51"/>
    <mergeCell ref="L38:S38"/>
    <mergeCell ref="F23:G23"/>
    <mergeCell ref="F31:G31"/>
    <mergeCell ref="L6:L7"/>
    <mergeCell ref="Q44:R44"/>
    <mergeCell ref="F22:G22"/>
    <mergeCell ref="F6:G7"/>
    <mergeCell ref="N6:N7"/>
    <mergeCell ref="T6:T7"/>
    <mergeCell ref="F13:G13"/>
    <mergeCell ref="F28:G28"/>
    <mergeCell ref="F27:G27"/>
    <mergeCell ref="A39:C39"/>
    <mergeCell ref="L41:P41"/>
    <mergeCell ref="C8:D8"/>
    <mergeCell ref="F9:G9"/>
    <mergeCell ref="L44:P44"/>
    <mergeCell ref="L40:P40"/>
    <mergeCell ref="C7:D7"/>
    <mergeCell ref="F48:G48"/>
    <mergeCell ref="L49:M49"/>
    <mergeCell ref="K6:K7"/>
    <mergeCell ref="L53:S54"/>
    <mergeCell ref="F14:G14"/>
    <mergeCell ref="Q41:R41"/>
    <mergeCell ref="N49:O49"/>
    <mergeCell ref="O6:O7"/>
    <mergeCell ref="U6:U7"/>
  </mergeCells>
  <hyperlinks>
    <hyperlink ref="X4" ns1:id="rId1"/>
    <hyperlink ref="X6" ns1:id="rId2"/>
  </hyperlinks>
  <pageMargins left="0.75" right="0.75" top="1" bottom="1" header="0.5" footer="0.5"/>
</worksheet>
</file>

<file path=xl/worksheets/sheet7.xml><?xml version="1.0" encoding="utf-8"?>
<worksheet xmlns="http://schemas.openxmlformats.org/spreadsheetml/2006/main" xmlns:ns1="http://schemas.openxmlformats.org/officeDocument/2006/relationships">
  <sheetPr>
    <tabColor rgb="00E57200"/>
    <outlinePr summaryBelow="1" summaryRight="1"/>
    <pageSetUpPr/>
  </sheetPr>
  <dimension ref="A1:AB49"/>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SUMPRODUCT(J28:U28,Ratesheet!$B$23:$M$23)</f>
        <v>8438810</v>
      </c>
    </row>
    <row r="6" ht="26" customHeight="1">
      <c r="A6" s="52" t="inlineStr">
        <is>
          <t>Project Description:</t>
        </is>
      </c>
      <c r="B6" s="24" t="n"/>
      <c r="C6" s="53" t="inlineStr">
        <is>
          <t>Audit Checklist Automation</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SUMPRODUCT(J28:U28,Ratesheet!$B$24:$M$24)</f>
        <v>2152848</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IFERROR(AB5/V28,0)</f>
        <v>6556.961926961927</v>
      </c>
    </row>
    <row r="8">
      <c r="A8" s="52" t="inlineStr">
        <is>
          <t>Project Type:</t>
        </is>
      </c>
      <c r="B8" s="24" t="n"/>
      <c r="C8" s="53" t="inlineStr">
        <is>
          <t>Fixed Fee (Incl. Outlays)</t>
        </is>
      </c>
      <c r="D8" s="24" t="n"/>
      <c r="F8" s="30" t="inlineStr">
        <is>
          <t>Requirement Gathering &amp; Regulatory Corpus Study</t>
        </is>
      </c>
      <c r="G8" s="24" t="n"/>
      <c r="H8" s="58" t="inlineStr">
        <is>
          <t>India</t>
        </is>
      </c>
      <c r="I8" s="58" t="inlineStr">
        <is>
          <t>R&amp;C</t>
        </is>
      </c>
      <c r="J8" s="59" t="n">
        <v>1</v>
      </c>
      <c r="K8" s="59" t="n"/>
      <c r="L8" s="59" t="n">
        <v>6</v>
      </c>
      <c r="M8" s="59" t="n">
        <v>8</v>
      </c>
      <c r="N8" s="59" t="n"/>
      <c r="O8" s="59" t="n"/>
      <c r="P8" s="59" t="n">
        <v>12</v>
      </c>
      <c r="Q8" s="59" t="n">
        <v>12</v>
      </c>
      <c r="R8" s="59" t="n">
        <v>12</v>
      </c>
      <c r="S8" s="59" t="n">
        <v>12</v>
      </c>
      <c r="T8" s="59" t="n"/>
      <c r="U8" s="59" t="n"/>
      <c r="V8" s="60">
        <f>SUM(J8:U8)</f>
        <v>63</v>
      </c>
      <c r="Z8" s="30" t="inlineStr">
        <is>
          <t>Blended cost / hr</t>
        </is>
      </c>
      <c r="AA8" s="24" t="n"/>
      <c r="AB8" s="10">
        <f>IFERROR(AB6/V28,0)</f>
        <v>1672.7645687645688</v>
      </c>
    </row>
    <row r="9">
      <c r="F9" s="30" t="inlineStr">
        <is>
          <t>Technical Architecture, Design &amp; Planning</t>
        </is>
      </c>
      <c r="G9" s="24" t="n"/>
      <c r="H9" s="58" t="inlineStr">
        <is>
          <t>India</t>
        </is>
      </c>
      <c r="I9" s="58" t="inlineStr">
        <is>
          <t>R&amp;C</t>
        </is>
      </c>
      <c r="J9" s="59" t="n">
        <v>1</v>
      </c>
      <c r="K9" s="59" t="n"/>
      <c r="L9" s="59" t="n">
        <v>6</v>
      </c>
      <c r="M9" s="59" t="n">
        <v>6</v>
      </c>
      <c r="N9" s="59" t="n"/>
      <c r="O9" s="59" t="n"/>
      <c r="P9" s="59" t="n">
        <v>8</v>
      </c>
      <c r="Q9" s="59" t="n">
        <v>12</v>
      </c>
      <c r="R9" s="59" t="n">
        <v>12</v>
      </c>
      <c r="S9" s="59" t="n">
        <v>12</v>
      </c>
      <c r="T9" s="59" t="n"/>
      <c r="U9" s="59" t="n"/>
      <c r="V9" s="60">
        <f>SUM(J9:U9)</f>
        <v>57</v>
      </c>
    </row>
    <row r="10">
      <c r="F10" s="30" t="inlineStr">
        <is>
          <t>Data Model &amp; Central Rule Repository Design</t>
        </is>
      </c>
      <c r="G10" s="24" t="n"/>
      <c r="H10" s="58" t="inlineStr">
        <is>
          <t>India</t>
        </is>
      </c>
      <c r="I10" s="58" t="inlineStr">
        <is>
          <t>R&amp;C</t>
        </is>
      </c>
      <c r="J10" s="59" t="n"/>
      <c r="K10" s="59" t="n"/>
      <c r="L10" s="59" t="n">
        <v>2</v>
      </c>
      <c r="M10" s="59" t="n">
        <v>6</v>
      </c>
      <c r="N10" s="59" t="n"/>
      <c r="O10" s="59" t="n"/>
      <c r="P10" s="59" t="n">
        <v>12</v>
      </c>
      <c r="Q10" s="59" t="n">
        <v>12</v>
      </c>
      <c r="R10" s="59" t="n">
        <v>16</v>
      </c>
      <c r="S10" s="59" t="n">
        <v>16</v>
      </c>
      <c r="T10" s="59" t="n"/>
      <c r="U10" s="59" t="n"/>
      <c r="V10" s="60">
        <f>SUM(J10:U10)</f>
        <v>64</v>
      </c>
    </row>
    <row r="11">
      <c r="F11" s="30" t="inlineStr">
        <is>
          <t>Regulatory / Circular / SOP Ingestion Pipeline</t>
        </is>
      </c>
      <c r="G11" s="24" t="n"/>
      <c r="H11" s="58" t="inlineStr">
        <is>
          <t>India</t>
        </is>
      </c>
      <c r="I11" s="58" t="inlineStr">
        <is>
          <t>R&amp;C</t>
        </is>
      </c>
      <c r="J11" s="59" t="n"/>
      <c r="K11" s="59" t="n"/>
      <c r="L11" s="59" t="n">
        <v>2</v>
      </c>
      <c r="M11" s="59" t="n">
        <v>6</v>
      </c>
      <c r="N11" s="59" t="n"/>
      <c r="O11" s="59" t="n"/>
      <c r="P11" s="59" t="n">
        <v>16</v>
      </c>
      <c r="Q11" s="59" t="n">
        <v>20</v>
      </c>
      <c r="R11" s="59" t="n">
        <v>28</v>
      </c>
      <c r="S11" s="59" t="n">
        <v>28</v>
      </c>
      <c r="T11" s="59" t="n"/>
      <c r="U11" s="59" t="n"/>
      <c r="V11" s="60">
        <f>SUM(J11:U11)</f>
        <v>100</v>
      </c>
    </row>
    <row r="12">
      <c r="F12" s="30" t="inlineStr">
        <is>
          <t>NLP Extraction &amp; Requirement Interpretation</t>
        </is>
      </c>
      <c r="G12" s="24" t="n"/>
      <c r="H12" s="58" t="inlineStr">
        <is>
          <t>India</t>
        </is>
      </c>
      <c r="I12" s="58" t="inlineStr">
        <is>
          <t>R&amp;C</t>
        </is>
      </c>
      <c r="J12" s="59" t="n"/>
      <c r="K12" s="59" t="n"/>
      <c r="L12" s="59" t="n">
        <v>4</v>
      </c>
      <c r="M12" s="59" t="n">
        <v>8</v>
      </c>
      <c r="N12" s="59" t="n"/>
      <c r="O12" s="59" t="n"/>
      <c r="P12" s="59" t="n">
        <v>16</v>
      </c>
      <c r="Q12" s="59" t="n">
        <v>20</v>
      </c>
      <c r="R12" s="59" t="n">
        <v>28</v>
      </c>
      <c r="S12" s="59" t="n">
        <v>28</v>
      </c>
      <c r="T12" s="59" t="n"/>
      <c r="U12" s="59" t="n"/>
      <c r="V12" s="60">
        <f>SUM(J12:U12)</f>
        <v>104</v>
      </c>
    </row>
    <row r="13">
      <c r="F13" s="30" t="inlineStr">
        <is>
          <t>Regulation-to-Control Mapping Repository</t>
        </is>
      </c>
      <c r="G13" s="24" t="n"/>
      <c r="H13" s="58" t="inlineStr">
        <is>
          <t>India</t>
        </is>
      </c>
      <c r="I13" s="58" t="inlineStr">
        <is>
          <t>R&amp;C</t>
        </is>
      </c>
      <c r="J13" s="59" t="n"/>
      <c r="K13" s="59" t="n"/>
      <c r="L13" s="59" t="n">
        <v>2</v>
      </c>
      <c r="M13" s="59" t="n">
        <v>6</v>
      </c>
      <c r="N13" s="59" t="n"/>
      <c r="O13" s="59" t="n"/>
      <c r="P13" s="59" t="n">
        <v>12</v>
      </c>
      <c r="Q13" s="59" t="n">
        <v>16</v>
      </c>
      <c r="R13" s="59" t="n">
        <v>24</v>
      </c>
      <c r="S13" s="59" t="n">
        <v>24</v>
      </c>
      <c r="T13" s="59" t="n"/>
      <c r="U13" s="59" t="n"/>
      <c r="V13" s="60">
        <f>SUM(J13:U13)</f>
        <v>84</v>
      </c>
    </row>
    <row r="14">
      <c r="F14" s="30" t="inlineStr">
        <is>
          <t>Checklist Generation Engine (process / entity / risk-wise)</t>
        </is>
      </c>
      <c r="G14" s="24" t="n"/>
      <c r="H14" s="58" t="inlineStr">
        <is>
          <t>India</t>
        </is>
      </c>
      <c r="I14" s="58" t="inlineStr">
        <is>
          <t>R&amp;C</t>
        </is>
      </c>
      <c r="J14" s="59" t="n"/>
      <c r="K14" s="59" t="n"/>
      <c r="L14" s="59" t="n">
        <v>2</v>
      </c>
      <c r="M14" s="59" t="n">
        <v>6</v>
      </c>
      <c r="N14" s="59" t="n"/>
      <c r="O14" s="59" t="n"/>
      <c r="P14" s="59" t="n">
        <v>12</v>
      </c>
      <c r="Q14" s="59" t="n">
        <v>16</v>
      </c>
      <c r="R14" s="59" t="n">
        <v>24</v>
      </c>
      <c r="S14" s="59" t="n">
        <v>24</v>
      </c>
      <c r="T14" s="59" t="n"/>
      <c r="U14" s="59" t="n"/>
      <c r="V14" s="60">
        <f>SUM(J14:U14)</f>
        <v>84</v>
      </c>
    </row>
    <row r="15">
      <c r="F15" s="30" t="inlineStr">
        <is>
          <t>Auto-Update on Regulatory Change &amp; Traceability</t>
        </is>
      </c>
      <c r="G15" s="24" t="n"/>
      <c r="H15" s="58" t="inlineStr">
        <is>
          <t>India</t>
        </is>
      </c>
      <c r="I15" s="58" t="inlineStr">
        <is>
          <t>R&amp;C</t>
        </is>
      </c>
      <c r="J15" s="59" t="n"/>
      <c r="K15" s="59" t="n"/>
      <c r="L15" s="59" t="n"/>
      <c r="M15" s="59" t="n">
        <v>4</v>
      </c>
      <c r="N15" s="59" t="n"/>
      <c r="O15" s="59" t="n"/>
      <c r="P15" s="59" t="n">
        <v>12</v>
      </c>
      <c r="Q15" s="59" t="n">
        <v>16</v>
      </c>
      <c r="R15" s="59" t="n">
        <v>20</v>
      </c>
      <c r="S15" s="59" t="n">
        <v>20</v>
      </c>
      <c r="T15" s="59" t="n"/>
      <c r="U15" s="59" t="n"/>
      <c r="V15" s="60">
        <f>SUM(J15:U15)</f>
        <v>72</v>
      </c>
    </row>
    <row r="16">
      <c r="F16" s="30" t="inlineStr">
        <is>
          <t>Version Control, Approval Workflow &amp; Audit Trail</t>
        </is>
      </c>
      <c r="G16" s="24" t="n"/>
      <c r="H16" s="58" t="inlineStr">
        <is>
          <t>India</t>
        </is>
      </c>
      <c r="I16" s="58" t="inlineStr">
        <is>
          <t>R&amp;C</t>
        </is>
      </c>
      <c r="J16" s="59" t="n"/>
      <c r="K16" s="59" t="n"/>
      <c r="L16" s="59" t="n"/>
      <c r="M16" s="59" t="n">
        <v>4</v>
      </c>
      <c r="N16" s="59" t="n"/>
      <c r="O16" s="59" t="n"/>
      <c r="P16" s="59" t="n">
        <v>8</v>
      </c>
      <c r="Q16" s="59" t="n">
        <v>12</v>
      </c>
      <c r="R16" s="59" t="n">
        <v>16</v>
      </c>
      <c r="S16" s="59" t="n">
        <v>16</v>
      </c>
      <c r="T16" s="59" t="n"/>
      <c r="U16" s="59" t="n"/>
      <c r="V16" s="60">
        <f>SUM(J16:U16)</f>
        <v>56</v>
      </c>
    </row>
    <row r="17">
      <c r="F17" s="30" t="inlineStr">
        <is>
          <t>Auditor Customisation &amp; Evidence Tagging</t>
        </is>
      </c>
      <c r="G17" s="24" t="n"/>
      <c r="H17" s="58" t="inlineStr">
        <is>
          <t>India</t>
        </is>
      </c>
      <c r="I17" s="58" t="inlineStr">
        <is>
          <t>R&amp;C</t>
        </is>
      </c>
      <c r="J17" s="59" t="n"/>
      <c r="K17" s="59" t="n"/>
      <c r="L17" s="59" t="n"/>
      <c r="M17" s="59" t="n">
        <v>4</v>
      </c>
      <c r="N17" s="59" t="n"/>
      <c r="O17" s="59" t="n"/>
      <c r="P17" s="59" t="n">
        <v>8</v>
      </c>
      <c r="Q17" s="59" t="n">
        <v>12</v>
      </c>
      <c r="R17" s="59" t="n">
        <v>16</v>
      </c>
      <c r="S17" s="59" t="n">
        <v>16</v>
      </c>
      <c r="T17" s="59" t="n"/>
      <c r="U17" s="59" t="n"/>
      <c r="V17" s="60">
        <f>SUM(J17:U17)</f>
        <v>56</v>
      </c>
    </row>
    <row r="18">
      <c r="F18" s="30" t="inlineStr">
        <is>
          <t>API Layer &amp; Integration with ALCM / Pre-Audit</t>
        </is>
      </c>
      <c r="G18" s="24" t="n"/>
      <c r="H18" s="58" t="inlineStr">
        <is>
          <t>India</t>
        </is>
      </c>
      <c r="I18" s="58" t="inlineStr">
        <is>
          <t>R&amp;C</t>
        </is>
      </c>
      <c r="J18" s="59" t="n"/>
      <c r="K18" s="59" t="n"/>
      <c r="L18" s="59" t="n"/>
      <c r="M18" s="59" t="n">
        <v>4</v>
      </c>
      <c r="N18" s="59" t="n"/>
      <c r="O18" s="59" t="n"/>
      <c r="P18" s="59" t="n">
        <v>8</v>
      </c>
      <c r="Q18" s="59" t="n">
        <v>12</v>
      </c>
      <c r="R18" s="59" t="n">
        <v>20</v>
      </c>
      <c r="S18" s="59" t="n">
        <v>20</v>
      </c>
      <c r="T18" s="59" t="n"/>
      <c r="U18" s="59" t="n"/>
      <c r="V18" s="60">
        <f>SUM(J18:U18)</f>
        <v>64</v>
      </c>
    </row>
    <row r="19">
      <c r="F19" s="30" t="inlineStr">
        <is>
          <t>Frontend Design &amp; Checklist Console</t>
        </is>
      </c>
      <c r="G19" s="24" t="n"/>
      <c r="H19" s="58" t="inlineStr">
        <is>
          <t>India</t>
        </is>
      </c>
      <c r="I19" s="58" t="inlineStr">
        <is>
          <t>R&amp;C</t>
        </is>
      </c>
      <c r="J19" s="59" t="n"/>
      <c r="K19" s="59" t="n"/>
      <c r="L19" s="59" t="n"/>
      <c r="M19" s="59" t="n">
        <v>6</v>
      </c>
      <c r="N19" s="59" t="n"/>
      <c r="O19" s="59" t="n"/>
      <c r="P19" s="59" t="n">
        <v>12</v>
      </c>
      <c r="Q19" s="59" t="n">
        <v>20</v>
      </c>
      <c r="R19" s="59" t="n">
        <v>24</v>
      </c>
      <c r="S19" s="59" t="n">
        <v>24</v>
      </c>
      <c r="T19" s="59" t="n"/>
      <c r="U19" s="59" t="n"/>
      <c r="V19" s="60">
        <f>SUM(J19:U19)</f>
        <v>86</v>
      </c>
    </row>
    <row r="20">
      <c r="F20" s="30" t="inlineStr">
        <is>
          <t>FE &amp; BE Integration</t>
        </is>
      </c>
      <c r="G20" s="24" t="n"/>
      <c r="H20" s="58" t="inlineStr">
        <is>
          <t>India</t>
        </is>
      </c>
      <c r="I20" s="58" t="inlineStr">
        <is>
          <t>R&amp;C</t>
        </is>
      </c>
      <c r="J20" s="59" t="n"/>
      <c r="K20" s="59" t="n"/>
      <c r="L20" s="59" t="n"/>
      <c r="M20" s="59" t="n">
        <v>4</v>
      </c>
      <c r="N20" s="59" t="n"/>
      <c r="O20" s="59" t="n"/>
      <c r="P20" s="59" t="n">
        <v>8</v>
      </c>
      <c r="Q20" s="59" t="n">
        <v>12</v>
      </c>
      <c r="R20" s="59" t="n">
        <v>16</v>
      </c>
      <c r="S20" s="59" t="n">
        <v>16</v>
      </c>
      <c r="T20" s="59" t="n"/>
      <c r="U20" s="59" t="n"/>
      <c r="V20" s="60">
        <f>SUM(J20:U20)</f>
        <v>56</v>
      </c>
    </row>
    <row r="21">
      <c r="F21" s="30" t="inlineStr">
        <is>
          <t>Auth, RBAC, Audit Trail &amp; NFR Implementation</t>
        </is>
      </c>
      <c r="G21" s="24" t="n"/>
      <c r="H21" s="58" t="inlineStr">
        <is>
          <t>India</t>
        </is>
      </c>
      <c r="I21" s="58" t="inlineStr">
        <is>
          <t>R&amp;C</t>
        </is>
      </c>
      <c r="J21" s="59" t="n"/>
      <c r="K21" s="59" t="n"/>
      <c r="L21" s="59" t="n"/>
      <c r="M21" s="59" t="n">
        <v>4</v>
      </c>
      <c r="N21" s="59" t="n"/>
      <c r="O21" s="59" t="n"/>
      <c r="P21" s="59" t="n">
        <v>8</v>
      </c>
      <c r="Q21" s="59" t="n">
        <v>12</v>
      </c>
      <c r="R21" s="59" t="n">
        <v>12</v>
      </c>
      <c r="S21" s="59" t="n">
        <v>12</v>
      </c>
      <c r="T21" s="59" t="n"/>
      <c r="U21" s="59" t="n"/>
      <c r="V21" s="60">
        <f>SUM(J21:U21)</f>
        <v>48</v>
      </c>
    </row>
    <row r="22">
      <c r="F22" s="30" t="inlineStr">
        <is>
          <t>Component Testing &amp; SIT</t>
        </is>
      </c>
      <c r="G22" s="24" t="n"/>
      <c r="H22" s="58" t="inlineStr">
        <is>
          <t>India</t>
        </is>
      </c>
      <c r="I22" s="58" t="inlineStr">
        <is>
          <t>R&amp;C</t>
        </is>
      </c>
      <c r="J22" s="59" t="n"/>
      <c r="K22" s="59" t="n"/>
      <c r="L22" s="59" t="n">
        <v>1</v>
      </c>
      <c r="M22" s="59" t="n">
        <v>4</v>
      </c>
      <c r="N22" s="59" t="n"/>
      <c r="O22" s="59" t="n"/>
      <c r="P22" s="59" t="n">
        <v>8</v>
      </c>
      <c r="Q22" s="59" t="n">
        <v>16</v>
      </c>
      <c r="R22" s="59" t="n">
        <v>20</v>
      </c>
      <c r="S22" s="59" t="n">
        <v>20</v>
      </c>
      <c r="T22" s="59" t="n"/>
      <c r="U22" s="59" t="n"/>
      <c r="V22" s="60">
        <f>SUM(J22:U22)</f>
        <v>69</v>
      </c>
    </row>
    <row r="23">
      <c r="F23" s="30" t="inlineStr">
        <is>
          <t>User Acceptance Testing (incl. Bug Fixing)</t>
        </is>
      </c>
      <c r="G23" s="24" t="n"/>
      <c r="H23" s="58" t="inlineStr">
        <is>
          <t>India</t>
        </is>
      </c>
      <c r="I23" s="58" t="inlineStr">
        <is>
          <t>R&amp;C</t>
        </is>
      </c>
      <c r="J23" s="59" t="n"/>
      <c r="K23" s="59" t="n"/>
      <c r="L23" s="59" t="n">
        <v>1</v>
      </c>
      <c r="M23" s="59" t="n">
        <v>4</v>
      </c>
      <c r="N23" s="59" t="n"/>
      <c r="O23" s="59" t="n"/>
      <c r="P23" s="59" t="n">
        <v>8</v>
      </c>
      <c r="Q23" s="59" t="n">
        <v>12</v>
      </c>
      <c r="R23" s="59" t="n">
        <v>16</v>
      </c>
      <c r="S23" s="59" t="n">
        <v>16</v>
      </c>
      <c r="T23" s="59" t="n"/>
      <c r="U23" s="59" t="n"/>
      <c r="V23" s="60">
        <f>SUM(J23:U23)</f>
        <v>57</v>
      </c>
    </row>
    <row r="24">
      <c r="F24" s="30" t="inlineStr">
        <is>
          <t>Documentation (Technical, User)</t>
        </is>
      </c>
      <c r="G24" s="24" t="n"/>
      <c r="H24" s="58" t="inlineStr">
        <is>
          <t>India</t>
        </is>
      </c>
      <c r="I24" s="58" t="inlineStr">
        <is>
          <t>R&amp;C</t>
        </is>
      </c>
      <c r="J24" s="59" t="n"/>
      <c r="K24" s="59" t="n"/>
      <c r="L24" s="59" t="n"/>
      <c r="M24" s="59" t="n">
        <v>2</v>
      </c>
      <c r="N24" s="59" t="n"/>
      <c r="O24" s="59" t="n"/>
      <c r="P24" s="59" t="n">
        <v>8</v>
      </c>
      <c r="Q24" s="59" t="n">
        <v>8</v>
      </c>
      <c r="R24" s="59" t="n">
        <v>12</v>
      </c>
      <c r="S24" s="59" t="n">
        <v>12</v>
      </c>
      <c r="T24" s="59" t="n"/>
      <c r="U24" s="59" t="n"/>
      <c r="V24" s="60">
        <f>SUM(J24:U24)</f>
        <v>42</v>
      </c>
    </row>
    <row r="25">
      <c r="F25" s="30" t="inlineStr">
        <is>
          <t>PMO &amp; Programme Governance</t>
        </is>
      </c>
      <c r="G25" s="24" t="n"/>
      <c r="H25" s="58" t="inlineStr">
        <is>
          <t>India</t>
        </is>
      </c>
      <c r="I25" s="58" t="inlineStr">
        <is>
          <t>R&amp;C</t>
        </is>
      </c>
      <c r="J25" s="59" t="n"/>
      <c r="K25" s="59" t="n"/>
      <c r="L25" s="59" t="n"/>
      <c r="M25" s="59" t="n"/>
      <c r="N25" s="59" t="n">
        <v>60</v>
      </c>
      <c r="O25" s="59" t="n"/>
      <c r="P25" s="59" t="n"/>
      <c r="Q25" s="59" t="n"/>
      <c r="R25" s="59" t="n"/>
      <c r="S25" s="59" t="n"/>
      <c r="T25" s="59" t="n"/>
      <c r="U25" s="59" t="n"/>
      <c r="V25" s="60">
        <f>SUM(J25:U25)</f>
        <v>60</v>
      </c>
    </row>
    <row r="26">
      <c r="F26" s="30" t="inlineStr">
        <is>
          <t>Go-live &amp; Hypercare Support</t>
        </is>
      </c>
      <c r="G26" s="24" t="n"/>
      <c r="H26" s="58" t="inlineStr">
        <is>
          <t>India</t>
        </is>
      </c>
      <c r="I26" s="58" t="inlineStr">
        <is>
          <t>R&amp;C</t>
        </is>
      </c>
      <c r="J26" s="59" t="n"/>
      <c r="K26" s="59" t="n"/>
      <c r="L26" s="59" t="n"/>
      <c r="M26" s="59" t="n">
        <v>2</v>
      </c>
      <c r="N26" s="59" t="n"/>
      <c r="O26" s="59" t="n"/>
      <c r="P26" s="59" t="n">
        <v>4</v>
      </c>
      <c r="Q26" s="59" t="n">
        <v>8</v>
      </c>
      <c r="R26" s="59" t="n">
        <v>8</v>
      </c>
      <c r="S26" s="59" t="n">
        <v>8</v>
      </c>
      <c r="T26" s="59" t="n"/>
      <c r="U26" s="59" t="n"/>
      <c r="V26" s="60">
        <f>SUM(J26:U26)</f>
        <v>30</v>
      </c>
    </row>
    <row r="27">
      <c r="F27" s="30" t="inlineStr">
        <is>
          <t>Handover &amp; Knowledge Transfer</t>
        </is>
      </c>
      <c r="G27" s="24" t="n"/>
      <c r="H27" s="58" t="inlineStr">
        <is>
          <t>India</t>
        </is>
      </c>
      <c r="I27" s="58" t="inlineStr">
        <is>
          <t>R&amp;C</t>
        </is>
      </c>
      <c r="J27" s="59" t="n">
        <v>1</v>
      </c>
      <c r="K27" s="59" t="n"/>
      <c r="L27" s="59" t="n">
        <v>2</v>
      </c>
      <c r="M27" s="59" t="n">
        <v>4</v>
      </c>
      <c r="N27" s="59" t="n"/>
      <c r="O27" s="59" t="n"/>
      <c r="P27" s="59" t="n">
        <v>4</v>
      </c>
      <c r="Q27" s="59" t="n">
        <v>8</v>
      </c>
      <c r="R27" s="59" t="n">
        <v>8</v>
      </c>
      <c r="S27" s="59" t="n">
        <v>8</v>
      </c>
      <c r="T27" s="59" t="n"/>
      <c r="U27" s="59" t="n"/>
      <c r="V27" s="60">
        <f>SUM(J27:U27)</f>
        <v>35</v>
      </c>
    </row>
    <row r="28">
      <c r="F28" s="33" t="inlineStr">
        <is>
          <t>Total</t>
        </is>
      </c>
      <c r="G28" s="24" t="n"/>
      <c r="H28" s="34" t="n"/>
      <c r="I28" s="34" t="n"/>
      <c r="J28" s="61">
        <f>SUM(J8:J27)</f>
        <v>3</v>
      </c>
      <c r="K28" s="61">
        <f>SUM(K8:K27)</f>
        <v>0</v>
      </c>
      <c r="L28" s="61">
        <f>SUM(L8:L27)</f>
        <v>28</v>
      </c>
      <c r="M28" s="61">
        <f>SUM(M8:M27)</f>
        <v>92</v>
      </c>
      <c r="N28" s="61">
        <f>SUM(N8:N27)</f>
        <v>60</v>
      </c>
      <c r="O28" s="61">
        <f>SUM(O8:O27)</f>
        <v>0</v>
      </c>
      <c r="P28" s="61">
        <f>SUM(P8:P27)</f>
        <v>184</v>
      </c>
      <c r="Q28" s="61">
        <f>SUM(Q8:Q27)</f>
        <v>256</v>
      </c>
      <c r="R28" s="61">
        <f>SUM(R8:R27)</f>
        <v>332</v>
      </c>
      <c r="S28" s="61">
        <f>SUM(S8:S27)</f>
        <v>332</v>
      </c>
      <c r="T28" s="61">
        <f>SUM(T8:T27)</f>
        <v>0</v>
      </c>
      <c r="U28" s="61">
        <f>SUM(U8:U27)</f>
        <v>0</v>
      </c>
      <c r="V28" s="62">
        <f>SUM(V8:V27)</f>
        <v>1287</v>
      </c>
    </row>
    <row r="30">
      <c r="H30" s="63" t="inlineStr">
        <is>
          <t>Project Mix</t>
        </is>
      </c>
      <c r="J30" s="64">
        <f>IFERROR(J28/$V$28,0)</f>
        <v>0.002331002331002331</v>
      </c>
      <c r="K30" s="64">
        <f>IFERROR(K28/$V$28,0)</f>
        <v>0</v>
      </c>
      <c r="L30" s="64">
        <f>IFERROR(L28/$V$28,0)</f>
        <v>0.021756021756021756</v>
      </c>
      <c r="M30" s="64">
        <f>IFERROR(M28/$V$28,0)</f>
        <v>0.07148407148407149</v>
      </c>
      <c r="N30" s="64">
        <f>IFERROR(N28/$V$28,0)</f>
        <v>0.046620046620046623</v>
      </c>
      <c r="O30" s="64">
        <f>IFERROR(O28/$V$28,0)</f>
        <v>0</v>
      </c>
      <c r="P30" s="64">
        <f>IFERROR(P28/$V$28,0)</f>
        <v>0.14296814296814297</v>
      </c>
      <c r="Q30" s="64">
        <f>IFERROR(Q28/$V$28,0)</f>
        <v>0.1989121989121989</v>
      </c>
      <c r="R30" s="64">
        <f>IFERROR(R28/$V$28,0)</f>
        <v>0.257964257964258</v>
      </c>
      <c r="S30" s="64">
        <f>IFERROR(S28/$V$28,0)</f>
        <v>0.257964257964258</v>
      </c>
      <c r="T30" s="64">
        <f>IFERROR(T28/$V$28,0)</f>
        <v>0</v>
      </c>
      <c r="U30" s="64">
        <f>IFERROR(U28/$V$28,0)</f>
        <v>0</v>
      </c>
    </row>
    <row r="33">
      <c r="A33" s="33" t="inlineStr">
        <is>
          <t>F E E    B R E A K  D O W N</t>
        </is>
      </c>
      <c r="B33" s="65" t="n"/>
      <c r="C33" s="65" t="n"/>
      <c r="D33" s="65" t="n"/>
      <c r="E33" s="65" t="n"/>
      <c r="F33" s="65" t="n"/>
      <c r="G33" s="65" t="n"/>
      <c r="H33" s="66" t="str">
        <f>" All Values in ( "&amp;C7&amp;" )"</f>
        <v> All Values in ( INR )</v>
      </c>
      <c r="I33" s="24" t="n"/>
      <c r="L33" s="67" t="inlineStr">
        <is>
          <t>What if analysis - FYI Only</t>
        </is>
      </c>
      <c r="M33" s="22" t="n"/>
      <c r="N33" s="22" t="n"/>
      <c r="O33" s="22" t="n"/>
      <c r="P33" s="22" t="n"/>
      <c r="Q33" s="22" t="n"/>
      <c r="R33" s="22" t="n"/>
      <c r="S33" s="22" t="n"/>
    </row>
    <row r="34">
      <c r="A34" s="68" t="inlineStr">
        <is>
          <t>Total Engagement Value</t>
        </is>
      </c>
      <c r="B34" s="24" t="n"/>
      <c r="C34" s="24" t="n"/>
      <c r="D34" s="69" t="n">
        <v>3250000</v>
      </c>
      <c r="E34" s="70" t="inlineStr">
        <is>
          <t>Expenses Budgeting</t>
        </is>
      </c>
      <c r="F34" s="24" t="n"/>
      <c r="G34" s="24" t="n"/>
      <c r="H34" s="24" t="n"/>
      <c r="L34" s="66" t="inlineStr">
        <is>
          <t>Pricing Tool - Home Office</t>
        </is>
      </c>
      <c r="M34" s="65" t="n"/>
      <c r="N34" s="65" t="n"/>
      <c r="O34" s="65" t="n"/>
      <c r="P34" s="65" t="n"/>
      <c r="Q34" s="66" t="inlineStr">
        <is>
          <t>Fee Amount</t>
        </is>
      </c>
      <c r="R34" s="24" t="n"/>
      <c r="S34" s="71" t="inlineStr">
        <is>
          <t>Recovery %</t>
        </is>
      </c>
    </row>
    <row r="35">
      <c r="A35" s="66" t="inlineStr">
        <is>
          <t>Description</t>
        </is>
      </c>
      <c r="B35" s="34" t="n"/>
      <c r="C35" s="34" t="n"/>
      <c r="D35" s="66" t="inlineStr">
        <is>
          <t>Org./ Name</t>
        </is>
      </c>
      <c r="E35" s="34" t="n"/>
      <c r="F35" s="66" t="inlineStr">
        <is>
          <t>Hours Breakdown</t>
        </is>
      </c>
      <c r="G35" s="66" t="inlineStr">
        <is>
          <t>Fee Breakdown</t>
        </is>
      </c>
      <c r="H35" s="66" t="inlineStr">
        <is>
          <t>Budgeted Outlays</t>
        </is>
      </c>
      <c r="L35" s="72" t="inlineStr">
        <is>
          <t>Standard Fee</t>
        </is>
      </c>
      <c r="M35" s="24" t="n"/>
      <c r="N35" s="24" t="n"/>
      <c r="O35" s="24" t="n"/>
      <c r="P35" s="24" t="n"/>
      <c r="Q35" s="55">
        <f>$AB$5</f>
        <v>8438810</v>
      </c>
      <c r="R35" s="24" t="n"/>
      <c r="S35" s="55">
        <f>$AB$5</f>
        <v>8438810</v>
      </c>
    </row>
    <row r="36">
      <c r="A36" s="30" t="inlineStr">
        <is>
          <t>Home Office</t>
        </is>
      </c>
      <c r="B36" s="24" t="n"/>
      <c r="C36" s="24" t="n"/>
      <c r="D36" s="8" t="str">
        <f>C4</f>
        <v>India - R&amp;C</v>
      </c>
      <c r="F36" s="31">
        <f>V28</f>
        <v>1287</v>
      </c>
      <c r="G36" s="32">
        <f>D34-(SUM(G37:G40)+H41)</f>
        <v>3250000</v>
      </c>
      <c r="H36" s="32" t="n">
        <v>0</v>
      </c>
      <c r="L36" s="30" t="str">
        <f>"Proposed Fee (Home Office)"&amp;" - "&amp;IF(D36=0,"",D36)</f>
        <v>Proposed Fee (Home Office) - India - R&amp;C</v>
      </c>
      <c r="M36" s="24" t="n"/>
      <c r="N36" s="24" t="n"/>
      <c r="O36" s="24" t="n"/>
      <c r="P36" s="24" t="n"/>
      <c r="Q36" s="12">
        <f>G36</f>
        <v>3250000</v>
      </c>
      <c r="R36" s="73" t="n"/>
      <c r="S36" s="11">
        <f>S35*S39</f>
        <v>3250000</v>
      </c>
    </row>
    <row r="37">
      <c r="A37" s="30" t="inlineStr">
        <is>
          <t>Sub-Contractor (3rd party)</t>
        </is>
      </c>
      <c r="B37" s="24" t="n"/>
      <c r="C37" s="24" t="n"/>
      <c r="D37" s="24" t="n"/>
      <c r="E37" s="24" t="n"/>
      <c r="F37" s="31" t="n">
        <v>0</v>
      </c>
      <c r="G37" s="32" t="n">
        <v>0</v>
      </c>
      <c r="H37" s="32" t="n">
        <v>0</v>
      </c>
      <c r="L37" s="72" t="inlineStr">
        <is>
          <t>Planned Fee Adjustment (PFA)</t>
        </is>
      </c>
      <c r="M37" s="24" t="n"/>
      <c r="N37" s="24" t="n"/>
      <c r="O37" s="24" t="n"/>
      <c r="P37" s="24" t="n"/>
      <c r="Q37" s="11">
        <f>Q35-Q36</f>
        <v>5188810</v>
      </c>
      <c r="R37" s="24" t="n"/>
      <c r="S37" s="11">
        <f>S35-S36</f>
        <v>5188810</v>
      </c>
    </row>
    <row r="38">
      <c r="B38" s="24" t="n"/>
      <c r="C38" s="24" t="n"/>
      <c r="D38" s="24" t="n"/>
      <c r="E38" s="24" t="n"/>
      <c r="F38" s="31" t="n">
        <v>0</v>
      </c>
      <c r="G38" s="32" t="n">
        <v>0</v>
      </c>
      <c r="H38" s="32" t="n">
        <v>0</v>
      </c>
      <c r="L38" s="30" t="inlineStr">
        <is>
          <t>PFA %</t>
        </is>
      </c>
      <c r="M38" s="24" t="n"/>
      <c r="N38" s="24" t="n"/>
      <c r="O38" s="24" t="n"/>
      <c r="P38" s="24" t="n"/>
      <c r="Q38" s="74">
        <f>IFERROR(Q37/Q35,0)</f>
        <v>0.6148746090977283</v>
      </c>
      <c r="R38" s="24" t="n"/>
      <c r="S38" s="74">
        <f>1-S39</f>
        <v>0.6148746090977282</v>
      </c>
    </row>
    <row r="39">
      <c r="B39" s="24" t="n"/>
      <c r="C39" s="24" t="n"/>
      <c r="D39" s="24" t="n"/>
      <c r="E39" s="24" t="n"/>
      <c r="F39" s="31" t="n">
        <v>0</v>
      </c>
      <c r="G39" s="32" t="n">
        <v>0</v>
      </c>
      <c r="H39" s="32" t="n">
        <v>0</v>
      </c>
      <c r="L39" s="72" t="inlineStr">
        <is>
          <t>Recovery %</t>
        </is>
      </c>
      <c r="M39" s="24" t="n"/>
      <c r="N39" s="24" t="n"/>
      <c r="O39" s="24" t="n"/>
      <c r="P39" s="24" t="n"/>
      <c r="Q39" s="75">
        <f>1-Q38</f>
        <v>0.38512539090227177</v>
      </c>
      <c r="R39" s="24" t="n"/>
      <c r="S39" s="76">
        <f>F43</f>
        <v>0.38512539090227177</v>
      </c>
    </row>
    <row r="40">
      <c r="A40" s="77" t="inlineStr">
        <is>
          <t>GST</t>
        </is>
      </c>
      <c r="B40" s="24" t="n"/>
      <c r="C40" s="24" t="n"/>
      <c r="D40" s="24" t="n"/>
      <c r="E40" s="24" t="n"/>
      <c r="F40" s="31" t="n">
        <v>0</v>
      </c>
      <c r="G40" s="32" t="n">
        <v>0</v>
      </c>
      <c r="H40" s="32" t="n">
        <v>0</v>
      </c>
    </row>
    <row r="41">
      <c r="A41" s="41" t="inlineStr">
        <is>
          <t>Total</t>
        </is>
      </c>
      <c r="B41" s="34" t="n"/>
      <c r="C41" s="34" t="n"/>
      <c r="D41" s="34" t="n"/>
      <c r="E41" s="34" t="n"/>
      <c r="F41" s="78">
        <f>SUM(F36:F40)</f>
        <v>1287</v>
      </c>
      <c r="G41" s="79">
        <f>SUM(G36:G40)</f>
        <v>3250000</v>
      </c>
      <c r="H41" s="79">
        <f>SUM(H36:H40)</f>
        <v>0</v>
      </c>
    </row>
    <row r="43">
      <c r="C43" s="80" t="inlineStr">
        <is>
          <t>Budgeted Recovery %</t>
        </is>
      </c>
      <c r="F43" s="81">
        <f>IFERROR(G36/$AB$5,0)</f>
        <v>0.38512539090227177</v>
      </c>
      <c r="G43" s="24" t="n"/>
    </row>
    <row r="44">
      <c r="L44" s="66" t="inlineStr">
        <is>
          <t>Gross Fee</t>
        </is>
      </c>
      <c r="M44" s="24" t="n"/>
      <c r="N44" s="66" t="inlineStr">
        <is>
          <t>Net Fee</t>
        </is>
      </c>
      <c r="O44" s="24" t="n"/>
      <c r="P44" s="66" t="inlineStr">
        <is>
          <t>Net CM</t>
        </is>
      </c>
      <c r="Q44" s="24" t="n"/>
      <c r="R44" s="66" t="inlineStr">
        <is>
          <t>Gross CM</t>
        </is>
      </c>
      <c r="S44" s="24" t="n"/>
    </row>
    <row r="45">
      <c r="L45" s="82" t="inlineStr">
        <is>
          <t>Fee</t>
        </is>
      </c>
      <c r="M45" s="82" t="inlineStr">
        <is>
          <t>Per/Hr</t>
        </is>
      </c>
      <c r="N45" s="82" t="inlineStr">
        <is>
          <t>Fee</t>
        </is>
      </c>
      <c r="O45" s="82" t="inlineStr">
        <is>
          <t>Per/Hr</t>
        </is>
      </c>
      <c r="P45" s="82" t="inlineStr">
        <is>
          <t xml:space="preserve"> %</t>
        </is>
      </c>
      <c r="Q45" s="77" t="n"/>
      <c r="R45" s="82" t="inlineStr">
        <is>
          <t xml:space="preserve"> %</t>
        </is>
      </c>
      <c r="S45" s="77" t="n"/>
      <c r="T45" s="82" t="inlineStr">
        <is>
          <t>Margin</t>
        </is>
      </c>
      <c r="V45" s="82" t="inlineStr">
        <is>
          <t>Staff Cost</t>
        </is>
      </c>
    </row>
    <row r="46">
      <c r="K46" s="67" t="str">
        <f>C7</f>
        <v>INR</v>
      </c>
      <c r="L46" s="11">
        <f>G41</f>
        <v>3250000</v>
      </c>
      <c r="M46" s="10">
        <f>IFERROR(L46/F41,0)</f>
        <v>2525.252525252525</v>
      </c>
      <c r="N46" s="11">
        <f>G36</f>
        <v>3250000</v>
      </c>
      <c r="O46" s="10">
        <f>IFERROR(N46/V28,0)</f>
        <v>2525.252525252525</v>
      </c>
      <c r="P46" s="83">
        <f>IFERROR((T46-(N46*5%))/N46,0)</f>
        <v>0.28758523076923076</v>
      </c>
      <c r="Q46" s="84" t="n"/>
      <c r="R46" s="83">
        <f>IFERROR((L46-V46-(G41-G36)-(N46*5%))/L46,0)</f>
        <v>0.28758523076923076</v>
      </c>
      <c r="S46" s="84" t="n"/>
      <c r="T46" s="11">
        <f>IFERROR(N46-V46,0)</f>
        <v>1097152</v>
      </c>
      <c r="V46" s="11">
        <f>IFERROR($AB$6,0)</f>
        <v>2152848</v>
      </c>
    </row>
    <row r="48">
      <c r="C48" s="85" t="n"/>
      <c r="D48" s="86" t="inlineStr">
        <is>
          <t>Data to be entered / editable</t>
        </is>
      </c>
      <c r="L48" s="87" t="inlineStr">
        <is>
          <t>Gross Contribution Margin is derived after considering direct staff cost, management fees, Sub-contractor cost and other direct cost.
Net Contribution Margin is derived after considering direct staff cost, management fees and other direct cost.</t>
        </is>
      </c>
      <c r="M48" s="22" t="n"/>
      <c r="N48" s="22" t="n"/>
      <c r="O48" s="22" t="n"/>
      <c r="P48" s="22" t="n"/>
      <c r="Q48" s="22" t="n"/>
      <c r="R48" s="22" t="n"/>
      <c r="S48" s="22" t="n"/>
    </row>
    <row r="49">
      <c r="C49" s="34" t="n"/>
      <c r="D49" s="86" t="inlineStr">
        <is>
          <t>Calculated - do not overwrite</t>
        </is>
      </c>
      <c r="L49" s="22" t="n"/>
      <c r="M49" s="22" t="n"/>
      <c r="N49" s="22" t="n"/>
      <c r="O49" s="22" t="n"/>
      <c r="P49" s="22" t="n"/>
      <c r="Q49" s="22" t="n"/>
      <c r="R49" s="22" t="n"/>
      <c r="S49" s="22" t="n"/>
    </row>
  </sheetData>
  <mergeCells count="68">
    <mergeCell ref="F11:G11"/>
    <mergeCell ref="C6:D6"/>
    <mergeCell ref="R44:S44"/>
    <mergeCell ref="F10:G10"/>
    <mergeCell ref="F16:G16"/>
    <mergeCell ref="F19:G19"/>
    <mergeCell ref="C5:D5"/>
    <mergeCell ref="F25:G25"/>
    <mergeCell ref="Q37:R37"/>
    <mergeCell ref="J6:J7"/>
    <mergeCell ref="P6:P7"/>
    <mergeCell ref="P44:Q44"/>
    <mergeCell ref="R6:R7"/>
    <mergeCell ref="C43:E43"/>
    <mergeCell ref="L37:P37"/>
    <mergeCell ref="V6:V7"/>
    <mergeCell ref="Q39:R39"/>
    <mergeCell ref="C4:D4"/>
    <mergeCell ref="F21:G21"/>
    <mergeCell ref="F12:G12"/>
    <mergeCell ref="F24:G24"/>
    <mergeCell ref="H6:I6"/>
    <mergeCell ref="F15:G15"/>
    <mergeCell ref="F20:G20"/>
    <mergeCell ref="F18:G18"/>
    <mergeCell ref="Q38:R38"/>
    <mergeCell ref="P46:Q46"/>
    <mergeCell ref="M6:M7"/>
    <mergeCell ref="L33:S33"/>
    <mergeCell ref="Z4:AB4"/>
    <mergeCell ref="Q6:Q7"/>
    <mergeCell ref="F26:G26"/>
    <mergeCell ref="S6:S7"/>
    <mergeCell ref="F17:G17"/>
    <mergeCell ref="Q35:R35"/>
    <mergeCell ref="L39:P39"/>
    <mergeCell ref="F8:G8"/>
    <mergeCell ref="Q34:R34"/>
    <mergeCell ref="L35:P35"/>
    <mergeCell ref="N44:O44"/>
    <mergeCell ref="L38:P38"/>
    <mergeCell ref="F23:G23"/>
    <mergeCell ref="L6:L7"/>
    <mergeCell ref="F22:G22"/>
    <mergeCell ref="F6:G7"/>
    <mergeCell ref="N6:N7"/>
    <mergeCell ref="T6:T7"/>
    <mergeCell ref="F13:G13"/>
    <mergeCell ref="F28:G28"/>
    <mergeCell ref="F27:G27"/>
    <mergeCell ref="A34:C34"/>
    <mergeCell ref="Q36:R36"/>
    <mergeCell ref="C8:D8"/>
    <mergeCell ref="F9:G9"/>
    <mergeCell ref="L44:M44"/>
    <mergeCell ref="F43:G43"/>
    <mergeCell ref="L34:P34"/>
    <mergeCell ref="L48:S49"/>
    <mergeCell ref="C7:D7"/>
    <mergeCell ref="E34:H34"/>
    <mergeCell ref="R46:S46"/>
    <mergeCell ref="H33:I33"/>
    <mergeCell ref="K6:K7"/>
    <mergeCell ref="F14:G14"/>
    <mergeCell ref="L36:P36"/>
    <mergeCell ref="O6:O7"/>
    <mergeCell ref="U6:U7"/>
    <mergeCell ref="A33:G33"/>
  </mergeCells>
  <hyperlinks>
    <hyperlink ref="X4" ns1:id="rId1"/>
    <hyperlink ref="X6" ns1:id="rId2"/>
  </hyperlinks>
  <pageMargins left="0.75" right="0.75" top="1" bottom="1" header="0.5" footer="0.5"/>
</worksheet>
</file>

<file path=xl/worksheets/sheet8.xml><?xml version="1.0" encoding="utf-8"?>
<worksheet xmlns="http://schemas.openxmlformats.org/spreadsheetml/2006/main" xmlns:ns1="http://schemas.openxmlformats.org/officeDocument/2006/relationships">
  <sheetPr>
    <tabColor rgb="00E57200"/>
    <outlinePr summaryBelow="1" summaryRight="1"/>
    <pageSetUpPr/>
  </sheetPr>
  <dimension ref="A1:AB55"/>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SUMPRODUCT(J34:U34,Ratesheet!$B$23:$M$23)</f>
        <v>16830130</v>
      </c>
    </row>
    <row r="6" ht="26" customHeight="1">
      <c r="A6" s="52" t="inlineStr">
        <is>
          <t>Project Description:</t>
        </is>
      </c>
      <c r="B6" s="24" t="n"/>
      <c r="C6" s="53" t="inlineStr">
        <is>
          <t>Data Analytics for Internal Audit (AI/ML)</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SUMPRODUCT(J34:U34,Ratesheet!$B$24:$M$24)</f>
        <v>4322544</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IFERROR(AB5/V34,0)</f>
        <v>6620.822187254131</v>
      </c>
    </row>
    <row r="8">
      <c r="A8" s="52" t="inlineStr">
        <is>
          <t>Project Type:</t>
        </is>
      </c>
      <c r="B8" s="24" t="n"/>
      <c r="C8" s="53" t="inlineStr">
        <is>
          <t>Fixed Fee (Incl. Outlays)</t>
        </is>
      </c>
      <c r="D8" s="24" t="n"/>
      <c r="F8" s="30" t="inlineStr">
        <is>
          <t>Requirement Gathering &amp; Analytics Use-Case Definition</t>
        </is>
      </c>
      <c r="G8" s="24" t="n"/>
      <c r="H8" s="58" t="inlineStr">
        <is>
          <t>India</t>
        </is>
      </c>
      <c r="I8" s="58" t="inlineStr">
        <is>
          <t>R&amp;C</t>
        </is>
      </c>
      <c r="J8" s="59" t="n">
        <v>2</v>
      </c>
      <c r="K8" s="59" t="n"/>
      <c r="L8" s="59" t="n">
        <v>10</v>
      </c>
      <c r="M8" s="59" t="n">
        <v>10</v>
      </c>
      <c r="N8" s="59" t="n"/>
      <c r="O8" s="59" t="n"/>
      <c r="P8" s="59" t="n">
        <v>16</v>
      </c>
      <c r="Q8" s="59" t="n">
        <v>16</v>
      </c>
      <c r="R8" s="59" t="n">
        <v>20</v>
      </c>
      <c r="S8" s="59" t="n">
        <v>20</v>
      </c>
      <c r="T8" s="59" t="n"/>
      <c r="U8" s="59" t="n"/>
      <c r="V8" s="60">
        <f>SUM(J8:U8)</f>
        <v>94</v>
      </c>
      <c r="Z8" s="30" t="inlineStr">
        <is>
          <t>Blended cost / hr</t>
        </is>
      </c>
      <c r="AA8" s="24" t="n"/>
      <c r="AB8" s="10">
        <f>IFERROR(AB6/V34,0)</f>
        <v>1700.4500393391031</v>
      </c>
    </row>
    <row r="9">
      <c r="F9" s="30" t="inlineStr">
        <is>
          <t>Technical Architecture, Design &amp; Planning (MLOps)</t>
        </is>
      </c>
      <c r="G9" s="24" t="n"/>
      <c r="H9" s="58" t="inlineStr">
        <is>
          <t>India</t>
        </is>
      </c>
      <c r="I9" s="58" t="inlineStr">
        <is>
          <t>R&amp;C</t>
        </is>
      </c>
      <c r="J9" s="59" t="n">
        <v>2</v>
      </c>
      <c r="K9" s="59" t="n"/>
      <c r="L9" s="59" t="n">
        <v>12</v>
      </c>
      <c r="M9" s="59" t="n">
        <v>12</v>
      </c>
      <c r="N9" s="59" t="n"/>
      <c r="O9" s="59" t="n"/>
      <c r="P9" s="59" t="n">
        <v>16</v>
      </c>
      <c r="Q9" s="59" t="n">
        <v>16</v>
      </c>
      <c r="R9" s="59" t="n">
        <v>16</v>
      </c>
      <c r="S9" s="59" t="n">
        <v>16</v>
      </c>
      <c r="T9" s="59" t="n"/>
      <c r="U9" s="59" t="n"/>
      <c r="V9" s="60">
        <f>SUM(J9:U9)</f>
        <v>90</v>
      </c>
    </row>
    <row r="10">
      <c r="F10" s="30" t="inlineStr">
        <is>
          <t>Data Model, Feature Store &amp; Lakehouse Design</t>
        </is>
      </c>
      <c r="G10" s="24" t="n"/>
      <c r="H10" s="58" t="inlineStr">
        <is>
          <t>India</t>
        </is>
      </c>
      <c r="I10" s="58" t="inlineStr">
        <is>
          <t>R&amp;C</t>
        </is>
      </c>
      <c r="J10" s="59" t="n"/>
      <c r="K10" s="59" t="n"/>
      <c r="L10" s="59" t="n">
        <v>6</v>
      </c>
      <c r="M10" s="59" t="n">
        <v>10</v>
      </c>
      <c r="N10" s="59" t="n"/>
      <c r="O10" s="59" t="n"/>
      <c r="P10" s="59" t="n">
        <v>16</v>
      </c>
      <c r="Q10" s="59" t="n">
        <v>20</v>
      </c>
      <c r="R10" s="59" t="n">
        <v>28</v>
      </c>
      <c r="S10" s="59" t="n">
        <v>28</v>
      </c>
      <c r="T10" s="59" t="n"/>
      <c r="U10" s="59" t="n"/>
      <c r="V10" s="60">
        <f>SUM(J10:U10)</f>
        <v>108</v>
      </c>
    </row>
    <row r="11">
      <c r="F11" s="30" t="inlineStr">
        <is>
          <t>Multi-Source Data Ingestion &amp; Pipelines</t>
        </is>
      </c>
      <c r="G11" s="24" t="n"/>
      <c r="H11" s="58" t="inlineStr">
        <is>
          <t>India</t>
        </is>
      </c>
      <c r="I11" s="58" t="inlineStr">
        <is>
          <t>R&amp;C</t>
        </is>
      </c>
      <c r="J11" s="59" t="n"/>
      <c r="K11" s="59" t="n"/>
      <c r="L11" s="59" t="n">
        <v>4</v>
      </c>
      <c r="M11" s="59" t="n">
        <v>8</v>
      </c>
      <c r="N11" s="59" t="n"/>
      <c r="O11" s="59" t="n"/>
      <c r="P11" s="59" t="n">
        <v>20</v>
      </c>
      <c r="Q11" s="59" t="n">
        <v>28</v>
      </c>
      <c r="R11" s="59" t="n">
        <v>44</v>
      </c>
      <c r="S11" s="59" t="n">
        <v>44</v>
      </c>
      <c r="T11" s="59" t="n"/>
      <c r="U11" s="59" t="n"/>
      <c r="V11" s="60">
        <f>SUM(J11:U11)</f>
        <v>148</v>
      </c>
    </row>
    <row r="12">
      <c r="F12" s="30" t="inlineStr">
        <is>
          <t>AI-Enabled Data Profiling &amp; Quality Scoring</t>
        </is>
      </c>
      <c r="G12" s="24" t="n"/>
      <c r="H12" s="58" t="inlineStr">
        <is>
          <t>India</t>
        </is>
      </c>
      <c r="I12" s="58" t="inlineStr">
        <is>
          <t>R&amp;C</t>
        </is>
      </c>
      <c r="J12" s="59" t="n"/>
      <c r="K12" s="59" t="n"/>
      <c r="L12" s="59" t="n">
        <v>2</v>
      </c>
      <c r="M12" s="59" t="n">
        <v>8</v>
      </c>
      <c r="N12" s="59" t="n"/>
      <c r="O12" s="59" t="n"/>
      <c r="P12" s="59" t="n">
        <v>16</v>
      </c>
      <c r="Q12" s="59" t="n">
        <v>20</v>
      </c>
      <c r="R12" s="59" t="n">
        <v>32</v>
      </c>
      <c r="S12" s="59" t="n">
        <v>32</v>
      </c>
      <c r="T12" s="59" t="n"/>
      <c r="U12" s="59" t="n"/>
      <c r="V12" s="60">
        <f>SUM(J12:U12)</f>
        <v>110</v>
      </c>
    </row>
    <row r="13">
      <c r="F13" s="30" t="inlineStr">
        <is>
          <t>Automated Data Cleaning &amp; Transformation Pipelines</t>
        </is>
      </c>
      <c r="G13" s="24" t="n"/>
      <c r="H13" s="58" t="inlineStr">
        <is>
          <t>India</t>
        </is>
      </c>
      <c r="I13" s="58" t="inlineStr">
        <is>
          <t>R&amp;C</t>
        </is>
      </c>
      <c r="J13" s="59" t="n"/>
      <c r="K13" s="59" t="n"/>
      <c r="L13" s="59" t="n"/>
      <c r="M13" s="59" t="n">
        <v>6</v>
      </c>
      <c r="N13" s="59" t="n"/>
      <c r="O13" s="59" t="n"/>
      <c r="P13" s="59" t="n">
        <v>16</v>
      </c>
      <c r="Q13" s="59" t="n">
        <v>20</v>
      </c>
      <c r="R13" s="59" t="n">
        <v>32</v>
      </c>
      <c r="S13" s="59" t="n">
        <v>32</v>
      </c>
      <c r="T13" s="59" t="n"/>
      <c r="U13" s="59" t="n"/>
      <c r="V13" s="60">
        <f>SUM(J13:U13)</f>
        <v>106</v>
      </c>
    </row>
    <row r="14">
      <c r="F14" s="30" t="inlineStr">
        <is>
          <t>Anomaly &amp; Outlier Detection Models</t>
        </is>
      </c>
      <c r="G14" s="24" t="n"/>
      <c r="H14" s="58" t="inlineStr">
        <is>
          <t>India</t>
        </is>
      </c>
      <c r="I14" s="58" t="inlineStr">
        <is>
          <t>R&amp;C</t>
        </is>
      </c>
      <c r="J14" s="59" t="n"/>
      <c r="K14" s="59" t="n"/>
      <c r="L14" s="59" t="n">
        <v>4</v>
      </c>
      <c r="M14" s="59" t="n">
        <v>12</v>
      </c>
      <c r="N14" s="59" t="n"/>
      <c r="O14" s="59" t="n"/>
      <c r="P14" s="59" t="n">
        <v>24</v>
      </c>
      <c r="Q14" s="59" t="n">
        <v>28</v>
      </c>
      <c r="R14" s="59" t="n">
        <v>40</v>
      </c>
      <c r="S14" s="59" t="n">
        <v>40</v>
      </c>
      <c r="T14" s="59" t="n"/>
      <c r="U14" s="59" t="n"/>
      <c r="V14" s="60">
        <f>SUM(J14:U14)</f>
        <v>148</v>
      </c>
    </row>
    <row r="15">
      <c r="F15" s="30" t="inlineStr">
        <is>
          <t>Predictive Risk Modelling &amp; Forecasting</t>
        </is>
      </c>
      <c r="G15" s="24" t="n"/>
      <c r="H15" s="58" t="inlineStr">
        <is>
          <t>India</t>
        </is>
      </c>
      <c r="I15" s="58" t="inlineStr">
        <is>
          <t>R&amp;C</t>
        </is>
      </c>
      <c r="J15" s="59" t="n"/>
      <c r="K15" s="59" t="n"/>
      <c r="L15" s="59" t="n">
        <v>4</v>
      </c>
      <c r="M15" s="59" t="n">
        <v>12</v>
      </c>
      <c r="N15" s="59" t="n"/>
      <c r="O15" s="59" t="n"/>
      <c r="P15" s="59" t="n">
        <v>20</v>
      </c>
      <c r="Q15" s="59" t="n">
        <v>24</v>
      </c>
      <c r="R15" s="59" t="n">
        <v>36</v>
      </c>
      <c r="S15" s="59" t="n">
        <v>36</v>
      </c>
      <c r="T15" s="59" t="n"/>
      <c r="U15" s="59" t="n"/>
      <c r="V15" s="60">
        <f>SUM(J15:U15)</f>
        <v>132</v>
      </c>
    </row>
    <row r="16">
      <c r="F16" s="30" t="inlineStr">
        <is>
          <t>Intelligent Segmentation &amp; Clustering</t>
        </is>
      </c>
      <c r="G16" s="24" t="n"/>
      <c r="H16" s="58" t="inlineStr">
        <is>
          <t>India</t>
        </is>
      </c>
      <c r="I16" s="58" t="inlineStr">
        <is>
          <t>R&amp;C</t>
        </is>
      </c>
      <c r="J16" s="59" t="n"/>
      <c r="K16" s="59" t="n"/>
      <c r="L16" s="59" t="n">
        <v>2</v>
      </c>
      <c r="M16" s="59" t="n">
        <v>8</v>
      </c>
      <c r="N16" s="59" t="n"/>
      <c r="O16" s="59" t="n"/>
      <c r="P16" s="59" t="n">
        <v>16</v>
      </c>
      <c r="Q16" s="59" t="n">
        <v>20</v>
      </c>
      <c r="R16" s="59" t="n">
        <v>28</v>
      </c>
      <c r="S16" s="59" t="n">
        <v>28</v>
      </c>
      <c r="T16" s="59" t="n"/>
      <c r="U16" s="59" t="n"/>
      <c r="V16" s="60">
        <f>SUM(J16:U16)</f>
        <v>102</v>
      </c>
    </row>
    <row r="17">
      <c r="F17" s="30" t="inlineStr">
        <is>
          <t>ML-Based Exception Scoring &amp; Feedback Learning</t>
        </is>
      </c>
      <c r="G17" s="24" t="n"/>
      <c r="H17" s="58" t="inlineStr">
        <is>
          <t>India</t>
        </is>
      </c>
      <c r="I17" s="58" t="inlineStr">
        <is>
          <t>R&amp;C</t>
        </is>
      </c>
      <c r="J17" s="59" t="n"/>
      <c r="K17" s="59" t="n"/>
      <c r="L17" s="59" t="n">
        <v>2</v>
      </c>
      <c r="M17" s="59" t="n">
        <v>8</v>
      </c>
      <c r="N17" s="59" t="n"/>
      <c r="O17" s="59" t="n"/>
      <c r="P17" s="59" t="n">
        <v>16</v>
      </c>
      <c r="Q17" s="59" t="n">
        <v>20</v>
      </c>
      <c r="R17" s="59" t="n">
        <v>28</v>
      </c>
      <c r="S17" s="59" t="n">
        <v>28</v>
      </c>
      <c r="T17" s="59" t="n"/>
      <c r="U17" s="59" t="n"/>
      <c r="V17" s="60">
        <f>SUM(J17:U17)</f>
        <v>102</v>
      </c>
    </row>
    <row r="18">
      <c r="F18" s="30" t="inlineStr">
        <is>
          <t>Intelligent / Risk-Based Sampling Models</t>
        </is>
      </c>
      <c r="G18" s="24" t="n"/>
      <c r="H18" s="58" t="inlineStr">
        <is>
          <t>India</t>
        </is>
      </c>
      <c r="I18" s="58" t="inlineStr">
        <is>
          <t>R&amp;C</t>
        </is>
      </c>
      <c r="J18" s="59" t="n"/>
      <c r="K18" s="59" t="n"/>
      <c r="L18" s="59" t="n">
        <v>2</v>
      </c>
      <c r="M18" s="59" t="n">
        <v>6</v>
      </c>
      <c r="N18" s="59" t="n"/>
      <c r="O18" s="59" t="n"/>
      <c r="P18" s="59" t="n">
        <v>12</v>
      </c>
      <c r="Q18" s="59" t="n">
        <v>16</v>
      </c>
      <c r="R18" s="59" t="n">
        <v>24</v>
      </c>
      <c r="S18" s="59" t="n">
        <v>24</v>
      </c>
      <c r="T18" s="59" t="n"/>
      <c r="U18" s="59" t="n"/>
      <c r="V18" s="60">
        <f>SUM(J18:U18)</f>
        <v>84</v>
      </c>
    </row>
    <row r="19">
      <c r="F19" s="30" t="inlineStr">
        <is>
          <t>NLP Models for Documents, Policies &amp; Circulars</t>
        </is>
      </c>
      <c r="G19" s="24" t="n"/>
      <c r="H19" s="58" t="inlineStr">
        <is>
          <t>India</t>
        </is>
      </c>
      <c r="I19" s="58" t="inlineStr">
        <is>
          <t>R&amp;C</t>
        </is>
      </c>
      <c r="J19" s="59" t="n"/>
      <c r="K19" s="59" t="n"/>
      <c r="L19" s="59" t="n">
        <v>4</v>
      </c>
      <c r="M19" s="59" t="n">
        <v>10</v>
      </c>
      <c r="N19" s="59" t="n"/>
      <c r="O19" s="59" t="n"/>
      <c r="P19" s="59" t="n">
        <v>20</v>
      </c>
      <c r="Q19" s="59" t="n">
        <v>24</v>
      </c>
      <c r="R19" s="59" t="n">
        <v>32</v>
      </c>
      <c r="S19" s="59" t="n">
        <v>32</v>
      </c>
      <c r="T19" s="59" t="n"/>
      <c r="U19" s="59" t="n"/>
      <c r="V19" s="60">
        <f>SUM(J19:U19)</f>
        <v>122</v>
      </c>
    </row>
    <row r="20">
      <c r="F20" s="30" t="inlineStr">
        <is>
          <t>Explainable AI (SHAP / LIME) Layer</t>
        </is>
      </c>
      <c r="G20" s="24" t="n"/>
      <c r="H20" s="58" t="inlineStr">
        <is>
          <t>India</t>
        </is>
      </c>
      <c r="I20" s="58" t="inlineStr">
        <is>
          <t>R&amp;C</t>
        </is>
      </c>
      <c r="J20" s="59" t="n"/>
      <c r="K20" s="59" t="n"/>
      <c r="L20" s="59" t="n">
        <v>2</v>
      </c>
      <c r="M20" s="59" t="n">
        <v>8</v>
      </c>
      <c r="N20" s="59" t="n"/>
      <c r="O20" s="59" t="n"/>
      <c r="P20" s="59" t="n">
        <v>16</v>
      </c>
      <c r="Q20" s="59" t="n">
        <v>20</v>
      </c>
      <c r="R20" s="59" t="n">
        <v>24</v>
      </c>
      <c r="S20" s="59" t="n">
        <v>24</v>
      </c>
      <c r="T20" s="59" t="n"/>
      <c r="U20" s="59" t="n"/>
      <c r="V20" s="60">
        <f>SUM(J20:U20)</f>
        <v>94</v>
      </c>
    </row>
    <row r="21">
      <c r="F21" s="30" t="inlineStr">
        <is>
          <t>Model Registry, Versioning &amp; Governance</t>
        </is>
      </c>
      <c r="G21" s="24" t="n"/>
      <c r="H21" s="58" t="inlineStr">
        <is>
          <t>India</t>
        </is>
      </c>
      <c r="I21" s="58" t="inlineStr">
        <is>
          <t>R&amp;C</t>
        </is>
      </c>
      <c r="J21" s="59" t="n"/>
      <c r="K21" s="59" t="n"/>
      <c r="L21" s="59" t="n">
        <v>2</v>
      </c>
      <c r="M21" s="59" t="n">
        <v>8</v>
      </c>
      <c r="N21" s="59" t="n"/>
      <c r="O21" s="59" t="n"/>
      <c r="P21" s="59" t="n">
        <v>16</v>
      </c>
      <c r="Q21" s="59" t="n">
        <v>20</v>
      </c>
      <c r="R21" s="59" t="n">
        <v>24</v>
      </c>
      <c r="S21" s="59" t="n">
        <v>24</v>
      </c>
      <c r="T21" s="59" t="n"/>
      <c r="U21" s="59" t="n"/>
      <c r="V21" s="60">
        <f>SUM(J21:U21)</f>
        <v>94</v>
      </c>
    </row>
    <row r="22">
      <c r="F22" s="30" t="inlineStr">
        <is>
          <t>Model Drift, Bias &amp; Performance Monitoring</t>
        </is>
      </c>
      <c r="G22" s="24" t="n"/>
      <c r="H22" s="58" t="inlineStr">
        <is>
          <t>India</t>
        </is>
      </c>
      <c r="I22" s="58" t="inlineStr">
        <is>
          <t>R&amp;C</t>
        </is>
      </c>
      <c r="J22" s="59" t="n"/>
      <c r="K22" s="59" t="n"/>
      <c r="L22" s="59" t="n">
        <v>2</v>
      </c>
      <c r="M22" s="59" t="n">
        <v>6</v>
      </c>
      <c r="N22" s="59" t="n"/>
      <c r="O22" s="59" t="n"/>
      <c r="P22" s="59" t="n">
        <v>16</v>
      </c>
      <c r="Q22" s="59" t="n">
        <v>20</v>
      </c>
      <c r="R22" s="59" t="n">
        <v>24</v>
      </c>
      <c r="S22" s="59" t="n">
        <v>24</v>
      </c>
      <c r="T22" s="59" t="n"/>
      <c r="U22" s="59" t="n"/>
      <c r="V22" s="60">
        <f>SUM(J22:U22)</f>
        <v>92</v>
      </c>
    </row>
    <row r="23">
      <c r="F23" s="30" t="inlineStr">
        <is>
          <t>Controlled Re-training &amp; Approval Workflow</t>
        </is>
      </c>
      <c r="G23" s="24" t="n"/>
      <c r="H23" s="58" t="inlineStr">
        <is>
          <t>India</t>
        </is>
      </c>
      <c r="I23" s="58" t="inlineStr">
        <is>
          <t>R&amp;C</t>
        </is>
      </c>
      <c r="J23" s="59" t="n"/>
      <c r="K23" s="59" t="n"/>
      <c r="L23" s="59" t="n"/>
      <c r="M23" s="59" t="n">
        <v>4</v>
      </c>
      <c r="N23" s="59" t="n"/>
      <c r="O23" s="59" t="n"/>
      <c r="P23" s="59" t="n">
        <v>12</v>
      </c>
      <c r="Q23" s="59" t="n">
        <v>16</v>
      </c>
      <c r="R23" s="59" t="n">
        <v>20</v>
      </c>
      <c r="S23" s="59" t="n">
        <v>20</v>
      </c>
      <c r="T23" s="59" t="n"/>
      <c r="U23" s="59" t="n"/>
      <c r="V23" s="60">
        <f>SUM(J23:U23)</f>
        <v>72</v>
      </c>
    </row>
    <row r="24">
      <c r="F24" s="30" t="inlineStr">
        <is>
          <t>API Layer &amp; Microservices Implementation</t>
        </is>
      </c>
      <c r="G24" s="24" t="n"/>
      <c r="H24" s="58" t="inlineStr">
        <is>
          <t>India</t>
        </is>
      </c>
      <c r="I24" s="58" t="inlineStr">
        <is>
          <t>R&amp;C</t>
        </is>
      </c>
      <c r="J24" s="59" t="n"/>
      <c r="K24" s="59" t="n"/>
      <c r="L24" s="59" t="n"/>
      <c r="M24" s="59" t="n">
        <v>6</v>
      </c>
      <c r="N24" s="59" t="n"/>
      <c r="O24" s="59" t="n"/>
      <c r="P24" s="59" t="n">
        <v>16</v>
      </c>
      <c r="Q24" s="59" t="n">
        <v>20</v>
      </c>
      <c r="R24" s="59" t="n">
        <v>32</v>
      </c>
      <c r="S24" s="59" t="n">
        <v>32</v>
      </c>
      <c r="T24" s="59" t="n"/>
      <c r="U24" s="59" t="n"/>
      <c r="V24" s="60">
        <f>SUM(J24:U24)</f>
        <v>106</v>
      </c>
    </row>
    <row r="25">
      <c r="F25" s="30" t="inlineStr">
        <is>
          <t>Frontend Design &amp; AI Insight Dashboards</t>
        </is>
      </c>
      <c r="G25" s="24" t="n"/>
      <c r="H25" s="58" t="inlineStr">
        <is>
          <t>India</t>
        </is>
      </c>
      <c r="I25" s="58" t="inlineStr">
        <is>
          <t>R&amp;C</t>
        </is>
      </c>
      <c r="J25" s="59" t="n"/>
      <c r="K25" s="59" t="n"/>
      <c r="L25" s="59" t="n"/>
      <c r="M25" s="59" t="n">
        <v>8</v>
      </c>
      <c r="N25" s="59" t="n"/>
      <c r="O25" s="59" t="n"/>
      <c r="P25" s="59" t="n">
        <v>20</v>
      </c>
      <c r="Q25" s="59" t="n">
        <v>24</v>
      </c>
      <c r="R25" s="59" t="n">
        <v>36</v>
      </c>
      <c r="S25" s="59" t="n">
        <v>36</v>
      </c>
      <c r="T25" s="59" t="n"/>
      <c r="U25" s="59" t="n"/>
      <c r="V25" s="60">
        <f>SUM(J25:U25)</f>
        <v>124</v>
      </c>
    </row>
    <row r="26">
      <c r="F26" s="30" t="inlineStr">
        <is>
          <t>FE &amp; BE Integration</t>
        </is>
      </c>
      <c r="G26" s="24" t="n"/>
      <c r="H26" s="58" t="inlineStr">
        <is>
          <t>India</t>
        </is>
      </c>
      <c r="I26" s="58" t="inlineStr">
        <is>
          <t>R&amp;C</t>
        </is>
      </c>
      <c r="J26" s="59" t="n"/>
      <c r="K26" s="59" t="n"/>
      <c r="L26" s="59" t="n"/>
      <c r="M26" s="59" t="n">
        <v>6</v>
      </c>
      <c r="N26" s="59" t="n"/>
      <c r="O26" s="59" t="n"/>
      <c r="P26" s="59" t="n">
        <v>12</v>
      </c>
      <c r="Q26" s="59" t="n">
        <v>20</v>
      </c>
      <c r="R26" s="59" t="n">
        <v>24</v>
      </c>
      <c r="S26" s="59" t="n">
        <v>24</v>
      </c>
      <c r="T26" s="59" t="n"/>
      <c r="U26" s="59" t="n"/>
      <c r="V26" s="60">
        <f>SUM(J26:U26)</f>
        <v>86</v>
      </c>
    </row>
    <row r="27">
      <c r="F27" s="30" t="inlineStr">
        <is>
          <t>Auth, RBAC, Data Lineage &amp; NFR Implementation</t>
        </is>
      </c>
      <c r="G27" s="24" t="n"/>
      <c r="H27" s="58" t="inlineStr">
        <is>
          <t>India</t>
        </is>
      </c>
      <c r="I27" s="58" t="inlineStr">
        <is>
          <t>R&amp;C</t>
        </is>
      </c>
      <c r="J27" s="59" t="n"/>
      <c r="K27" s="59" t="n"/>
      <c r="L27" s="59" t="n"/>
      <c r="M27" s="59" t="n">
        <v>6</v>
      </c>
      <c r="N27" s="59" t="n"/>
      <c r="O27" s="59" t="n"/>
      <c r="P27" s="59" t="n">
        <v>12</v>
      </c>
      <c r="Q27" s="59" t="n">
        <v>16</v>
      </c>
      <c r="R27" s="59" t="n">
        <v>20</v>
      </c>
      <c r="S27" s="59" t="n">
        <v>20</v>
      </c>
      <c r="T27" s="59" t="n"/>
      <c r="U27" s="59" t="n"/>
      <c r="V27" s="60">
        <f>SUM(J27:U27)</f>
        <v>74</v>
      </c>
    </row>
    <row r="28">
      <c r="F28" s="30" t="inlineStr">
        <is>
          <t>Component Testing, Model Validation &amp; SIT</t>
        </is>
      </c>
      <c r="G28" s="24" t="n"/>
      <c r="H28" s="58" t="inlineStr">
        <is>
          <t>India</t>
        </is>
      </c>
      <c r="I28" s="58" t="inlineStr">
        <is>
          <t>R&amp;C</t>
        </is>
      </c>
      <c r="J28" s="59" t="n"/>
      <c r="K28" s="59" t="n"/>
      <c r="L28" s="59" t="n">
        <v>2</v>
      </c>
      <c r="M28" s="59" t="n">
        <v>8</v>
      </c>
      <c r="N28" s="59" t="n"/>
      <c r="O28" s="59" t="n"/>
      <c r="P28" s="59" t="n">
        <v>16</v>
      </c>
      <c r="Q28" s="59" t="n">
        <v>24</v>
      </c>
      <c r="R28" s="59" t="n">
        <v>32</v>
      </c>
      <c r="S28" s="59" t="n">
        <v>32</v>
      </c>
      <c r="T28" s="59" t="n"/>
      <c r="U28" s="59" t="n"/>
      <c r="V28" s="60">
        <f>SUM(J28:U28)</f>
        <v>114</v>
      </c>
    </row>
    <row r="29">
      <c r="F29" s="30" t="inlineStr">
        <is>
          <t>User Acceptance Testing (incl. Bug Fixing)</t>
        </is>
      </c>
      <c r="G29" s="24" t="n"/>
      <c r="H29" s="58" t="inlineStr">
        <is>
          <t>India</t>
        </is>
      </c>
      <c r="I29" s="58" t="inlineStr">
        <is>
          <t>R&amp;C</t>
        </is>
      </c>
      <c r="J29" s="59" t="n"/>
      <c r="K29" s="59" t="n"/>
      <c r="L29" s="59" t="n">
        <v>1</v>
      </c>
      <c r="M29" s="59" t="n">
        <v>4</v>
      </c>
      <c r="N29" s="59" t="n"/>
      <c r="O29" s="59" t="n"/>
      <c r="P29" s="59" t="n">
        <v>12</v>
      </c>
      <c r="Q29" s="59" t="n">
        <v>16</v>
      </c>
      <c r="R29" s="59" t="n">
        <v>20</v>
      </c>
      <c r="S29" s="59" t="n">
        <v>20</v>
      </c>
      <c r="T29" s="59" t="n"/>
      <c r="U29" s="59" t="n"/>
      <c r="V29" s="60">
        <f>SUM(J29:U29)</f>
        <v>73</v>
      </c>
    </row>
    <row r="30">
      <c r="F30" s="30" t="inlineStr">
        <is>
          <t>Documentation (Architecture, Model Cards, Runbooks)</t>
        </is>
      </c>
      <c r="G30" s="24" t="n"/>
      <c r="H30" s="58" t="inlineStr">
        <is>
          <t>India</t>
        </is>
      </c>
      <c r="I30" s="58" t="inlineStr">
        <is>
          <t>R&amp;C</t>
        </is>
      </c>
      <c r="J30" s="59" t="n"/>
      <c r="K30" s="59" t="n"/>
      <c r="L30" s="59" t="n"/>
      <c r="M30" s="59" t="n">
        <v>4</v>
      </c>
      <c r="N30" s="59" t="n"/>
      <c r="O30" s="59" t="n"/>
      <c r="P30" s="59" t="n">
        <v>12</v>
      </c>
      <c r="Q30" s="59" t="n">
        <v>12</v>
      </c>
      <c r="R30" s="59" t="n">
        <v>16</v>
      </c>
      <c r="S30" s="59" t="n">
        <v>16</v>
      </c>
      <c r="T30" s="59" t="n"/>
      <c r="U30" s="59" t="n"/>
      <c r="V30" s="60">
        <f>SUM(J30:U30)</f>
        <v>60</v>
      </c>
    </row>
    <row r="31">
      <c r="F31" s="30" t="inlineStr">
        <is>
          <t>PMO &amp; Programme Governance</t>
        </is>
      </c>
      <c r="G31" s="24" t="n"/>
      <c r="H31" s="58" t="inlineStr">
        <is>
          <t>India</t>
        </is>
      </c>
      <c r="I31" s="58" t="inlineStr">
        <is>
          <t>R&amp;C</t>
        </is>
      </c>
      <c r="J31" s="59" t="n"/>
      <c r="K31" s="59" t="n"/>
      <c r="L31" s="59" t="n"/>
      <c r="M31" s="59" t="n"/>
      <c r="N31" s="59" t="n">
        <v>110</v>
      </c>
      <c r="O31" s="59" t="n"/>
      <c r="P31" s="59" t="n"/>
      <c r="Q31" s="59" t="n"/>
      <c r="R31" s="59" t="n"/>
      <c r="S31" s="59" t="n"/>
      <c r="T31" s="59" t="n"/>
      <c r="U31" s="59" t="n"/>
      <c r="V31" s="60">
        <f>SUM(J31:U31)</f>
        <v>110</v>
      </c>
    </row>
    <row r="32">
      <c r="F32" s="30" t="inlineStr">
        <is>
          <t>Go-live &amp; Hypercare Support</t>
        </is>
      </c>
      <c r="G32" s="24" t="n"/>
      <c r="H32" s="58" t="inlineStr">
        <is>
          <t>India</t>
        </is>
      </c>
      <c r="I32" s="58" t="inlineStr">
        <is>
          <t>R&amp;C</t>
        </is>
      </c>
      <c r="J32" s="59" t="n"/>
      <c r="K32" s="59" t="n"/>
      <c r="L32" s="59" t="n"/>
      <c r="M32" s="59" t="n">
        <v>4</v>
      </c>
      <c r="N32" s="59" t="n"/>
      <c r="O32" s="59" t="n"/>
      <c r="P32" s="59" t="n">
        <v>8</v>
      </c>
      <c r="Q32" s="59" t="n">
        <v>12</v>
      </c>
      <c r="R32" s="59" t="n">
        <v>12</v>
      </c>
      <c r="S32" s="59" t="n">
        <v>12</v>
      </c>
      <c r="T32" s="59" t="n"/>
      <c r="U32" s="59" t="n"/>
      <c r="V32" s="60">
        <f>SUM(J32:U32)</f>
        <v>48</v>
      </c>
    </row>
    <row r="33">
      <c r="F33" s="30" t="inlineStr">
        <is>
          <t>Handover &amp; Knowledge Transfer</t>
        </is>
      </c>
      <c r="G33" s="24" t="n"/>
      <c r="H33" s="58" t="inlineStr">
        <is>
          <t>India</t>
        </is>
      </c>
      <c r="I33" s="58" t="inlineStr">
        <is>
          <t>R&amp;C</t>
        </is>
      </c>
      <c r="J33" s="59" t="n">
        <v>1</v>
      </c>
      <c r="K33" s="59" t="n"/>
      <c r="L33" s="59" t="n">
        <v>4</v>
      </c>
      <c r="M33" s="59" t="n">
        <v>4</v>
      </c>
      <c r="N33" s="59" t="n"/>
      <c r="O33" s="59" t="n"/>
      <c r="P33" s="59" t="n">
        <v>8</v>
      </c>
      <c r="Q33" s="59" t="n">
        <v>8</v>
      </c>
      <c r="R33" s="59" t="n">
        <v>12</v>
      </c>
      <c r="S33" s="59" t="n">
        <v>12</v>
      </c>
      <c r="T33" s="59" t="n"/>
      <c r="U33" s="59" t="n"/>
      <c r="V33" s="60">
        <f>SUM(J33:U33)</f>
        <v>49</v>
      </c>
    </row>
    <row r="34">
      <c r="F34" s="33" t="inlineStr">
        <is>
          <t>Total</t>
        </is>
      </c>
      <c r="G34" s="24" t="n"/>
      <c r="H34" s="34" t="n"/>
      <c r="I34" s="34" t="n"/>
      <c r="J34" s="61">
        <f>SUM(J8:J33)</f>
        <v>5</v>
      </c>
      <c r="K34" s="61">
        <f>SUM(K8:K33)</f>
        <v>0</v>
      </c>
      <c r="L34" s="61">
        <f>SUM(L8:L33)</f>
        <v>65</v>
      </c>
      <c r="M34" s="61">
        <f>SUM(M8:M33)</f>
        <v>186</v>
      </c>
      <c r="N34" s="61">
        <f>SUM(N8:N33)</f>
        <v>110</v>
      </c>
      <c r="O34" s="61">
        <f>SUM(O8:O33)</f>
        <v>0</v>
      </c>
      <c r="P34" s="61">
        <f>SUM(P8:P33)</f>
        <v>384</v>
      </c>
      <c r="Q34" s="61">
        <f>SUM(Q8:Q33)</f>
        <v>480</v>
      </c>
      <c r="R34" s="61">
        <f>SUM(R8:R33)</f>
        <v>656</v>
      </c>
      <c r="S34" s="61">
        <f>SUM(S8:S33)</f>
        <v>656</v>
      </c>
      <c r="T34" s="61">
        <f>SUM(T8:T33)</f>
        <v>0</v>
      </c>
      <c r="U34" s="61">
        <f>SUM(U8:U33)</f>
        <v>0</v>
      </c>
      <c r="V34" s="62">
        <f>SUM(V8:V33)</f>
        <v>2542</v>
      </c>
    </row>
    <row r="36">
      <c r="H36" s="63" t="inlineStr">
        <is>
          <t>Project Mix</t>
        </is>
      </c>
      <c r="J36" s="64">
        <f>IFERROR(J34/$V$34,0)</f>
        <v>0.001966955153422502</v>
      </c>
      <c r="K36" s="64">
        <f>IFERROR(K34/$V$34,0)</f>
        <v>0</v>
      </c>
      <c r="L36" s="64">
        <f>IFERROR(L34/$V$34,0)</f>
        <v>0.025570416994492525</v>
      </c>
      <c r="M36" s="64">
        <f>IFERROR(M34/$V$34,0)</f>
        <v>0.07317073170731707</v>
      </c>
      <c r="N36" s="64">
        <f>IFERROR(N34/$V$34,0)</f>
        <v>0.043273013375295044</v>
      </c>
      <c r="O36" s="64">
        <f>IFERROR(O34/$V$34,0)</f>
        <v>0</v>
      </c>
      <c r="P36" s="64">
        <f>IFERROR(P34/$V$34,0)</f>
        <v>0.15106215578284815</v>
      </c>
      <c r="Q36" s="64">
        <f>IFERROR(Q34/$V$34,0)</f>
        <v>0.1888276947285602</v>
      </c>
      <c r="R36" s="64">
        <f>IFERROR(R34/$V$34,0)</f>
        <v>0.25806451612903225</v>
      </c>
      <c r="S36" s="64">
        <f>IFERROR(S34/$V$34,0)</f>
        <v>0.25806451612903225</v>
      </c>
      <c r="T36" s="64">
        <f>IFERROR(T34/$V$34,0)</f>
        <v>0</v>
      </c>
      <c r="U36" s="64">
        <f>IFERROR(U34/$V$34,0)</f>
        <v>0</v>
      </c>
    </row>
    <row r="39">
      <c r="A39" s="33" t="inlineStr">
        <is>
          <t>F E E    B R E A K  D O W N</t>
        </is>
      </c>
      <c r="B39" s="65" t="n"/>
      <c r="C39" s="65" t="n"/>
      <c r="D39" s="65" t="n"/>
      <c r="E39" s="65" t="n"/>
      <c r="F39" s="65" t="n"/>
      <c r="G39" s="65" t="n"/>
      <c r="H39" s="66" t="str">
        <f>" All Values in ( "&amp;C7&amp;" )"</f>
        <v> All Values in ( INR )</v>
      </c>
      <c r="I39" s="24" t="n"/>
      <c r="L39" s="67" t="inlineStr">
        <is>
          <t>What if analysis - FYI Only</t>
        </is>
      </c>
      <c r="M39" s="22" t="n"/>
      <c r="N39" s="22" t="n"/>
      <c r="O39" s="22" t="n"/>
      <c r="P39" s="22" t="n"/>
      <c r="Q39" s="22" t="n"/>
      <c r="R39" s="22" t="n"/>
      <c r="S39" s="22" t="n"/>
    </row>
    <row r="40">
      <c r="A40" s="68" t="inlineStr">
        <is>
          <t>Total Engagement Value</t>
        </is>
      </c>
      <c r="B40" s="24" t="n"/>
      <c r="C40" s="24" t="n"/>
      <c r="D40" s="69" t="n">
        <v>6750000</v>
      </c>
      <c r="E40" s="70" t="inlineStr">
        <is>
          <t>Expenses Budgeting</t>
        </is>
      </c>
      <c r="F40" s="24" t="n"/>
      <c r="G40" s="24" t="n"/>
      <c r="H40" s="24" t="n"/>
      <c r="L40" s="66" t="inlineStr">
        <is>
          <t>Pricing Tool - Home Office</t>
        </is>
      </c>
      <c r="M40" s="65" t="n"/>
      <c r="N40" s="65" t="n"/>
      <c r="O40" s="65" t="n"/>
      <c r="P40" s="65" t="n"/>
      <c r="Q40" s="66" t="inlineStr">
        <is>
          <t>Fee Amount</t>
        </is>
      </c>
      <c r="R40" s="24" t="n"/>
      <c r="S40" s="71" t="inlineStr">
        <is>
          <t>Recovery %</t>
        </is>
      </c>
    </row>
    <row r="41">
      <c r="A41" s="66" t="inlineStr">
        <is>
          <t>Description</t>
        </is>
      </c>
      <c r="B41" s="34" t="n"/>
      <c r="C41" s="34" t="n"/>
      <c r="D41" s="66" t="inlineStr">
        <is>
          <t>Org./ Name</t>
        </is>
      </c>
      <c r="E41" s="34" t="n"/>
      <c r="F41" s="66" t="inlineStr">
        <is>
          <t>Hours Breakdown</t>
        </is>
      </c>
      <c r="G41" s="66" t="inlineStr">
        <is>
          <t>Fee Breakdown</t>
        </is>
      </c>
      <c r="H41" s="66" t="inlineStr">
        <is>
          <t>Budgeted Outlays</t>
        </is>
      </c>
      <c r="L41" s="72" t="inlineStr">
        <is>
          <t>Standard Fee</t>
        </is>
      </c>
      <c r="M41" s="24" t="n"/>
      <c r="N41" s="24" t="n"/>
      <c r="O41" s="24" t="n"/>
      <c r="P41" s="24" t="n"/>
      <c r="Q41" s="55">
        <f>$AB$5</f>
        <v>16830130</v>
      </c>
      <c r="R41" s="24" t="n"/>
      <c r="S41" s="55">
        <f>$AB$5</f>
        <v>16830130</v>
      </c>
    </row>
    <row r="42">
      <c r="A42" s="30" t="inlineStr">
        <is>
          <t>Home Office</t>
        </is>
      </c>
      <c r="B42" s="24" t="n"/>
      <c r="C42" s="24" t="n"/>
      <c r="D42" s="8" t="str">
        <f>C4</f>
        <v>India - R&amp;C</v>
      </c>
      <c r="F42" s="31">
        <f>V34</f>
        <v>2542</v>
      </c>
      <c r="G42" s="32">
        <f>D40-(SUM(G43:G46)+H47)</f>
        <v>6750000</v>
      </c>
      <c r="H42" s="32" t="n">
        <v>0</v>
      </c>
      <c r="L42" s="30" t="str">
        <f>"Proposed Fee (Home Office)"&amp;" - "&amp;IF(D42=0,"",D42)</f>
        <v>Proposed Fee (Home Office) - India - R&amp;C</v>
      </c>
      <c r="M42" s="24" t="n"/>
      <c r="N42" s="24" t="n"/>
      <c r="O42" s="24" t="n"/>
      <c r="P42" s="24" t="n"/>
      <c r="Q42" s="12">
        <f>G42</f>
        <v>6750000</v>
      </c>
      <c r="R42" s="73" t="n"/>
      <c r="S42" s="11">
        <f>S41*S45</f>
        <v>6750000</v>
      </c>
    </row>
    <row r="43">
      <c r="A43" s="30" t="inlineStr">
        <is>
          <t>Sub-Contractor (3rd party)</t>
        </is>
      </c>
      <c r="B43" s="24" t="n"/>
      <c r="C43" s="24" t="n"/>
      <c r="D43" s="24" t="n"/>
      <c r="E43" s="24" t="n"/>
      <c r="F43" s="31" t="n">
        <v>0</v>
      </c>
      <c r="G43" s="32" t="n">
        <v>0</v>
      </c>
      <c r="H43" s="32" t="n">
        <v>0</v>
      </c>
      <c r="L43" s="72" t="inlineStr">
        <is>
          <t>Planned Fee Adjustment (PFA)</t>
        </is>
      </c>
      <c r="M43" s="24" t="n"/>
      <c r="N43" s="24" t="n"/>
      <c r="O43" s="24" t="n"/>
      <c r="P43" s="24" t="n"/>
      <c r="Q43" s="11">
        <f>Q41-Q42</f>
        <v>10080130</v>
      </c>
      <c r="R43" s="24" t="n"/>
      <c r="S43" s="11">
        <f>S41-S42</f>
        <v>10080130</v>
      </c>
    </row>
    <row r="44">
      <c r="B44" s="24" t="n"/>
      <c r="C44" s="24" t="n"/>
      <c r="D44" s="24" t="n"/>
      <c r="E44" s="24" t="n"/>
      <c r="F44" s="31" t="n">
        <v>0</v>
      </c>
      <c r="G44" s="32" t="n">
        <v>0</v>
      </c>
      <c r="H44" s="32" t="n">
        <v>0</v>
      </c>
      <c r="L44" s="30" t="inlineStr">
        <is>
          <t>PFA %</t>
        </is>
      </c>
      <c r="M44" s="24" t="n"/>
      <c r="N44" s="24" t="n"/>
      <c r="O44" s="24" t="n"/>
      <c r="P44" s="24" t="n"/>
      <c r="Q44" s="74">
        <f>IFERROR(Q43/Q41,0)</f>
        <v>0.598933579241515</v>
      </c>
      <c r="R44" s="24" t="n"/>
      <c r="S44" s="74">
        <f>1-S45</f>
        <v>0.5989335792415151</v>
      </c>
    </row>
    <row r="45">
      <c r="B45" s="24" t="n"/>
      <c r="C45" s="24" t="n"/>
      <c r="D45" s="24" t="n"/>
      <c r="E45" s="24" t="n"/>
      <c r="F45" s="31" t="n">
        <v>0</v>
      </c>
      <c r="G45" s="32" t="n">
        <v>0</v>
      </c>
      <c r="H45" s="32" t="n">
        <v>0</v>
      </c>
      <c r="L45" s="72" t="inlineStr">
        <is>
          <t>Recovery %</t>
        </is>
      </c>
      <c r="M45" s="24" t="n"/>
      <c r="N45" s="24" t="n"/>
      <c r="O45" s="24" t="n"/>
      <c r="P45" s="24" t="n"/>
      <c r="Q45" s="75">
        <f>1-Q44</f>
        <v>0.4010664207584849</v>
      </c>
      <c r="R45" s="24" t="n"/>
      <c r="S45" s="76">
        <f>F49</f>
        <v>0.4010664207584849</v>
      </c>
    </row>
    <row r="46">
      <c r="A46" s="77" t="inlineStr">
        <is>
          <t>GST</t>
        </is>
      </c>
      <c r="B46" s="24" t="n"/>
      <c r="C46" s="24" t="n"/>
      <c r="D46" s="24" t="n"/>
      <c r="E46" s="24" t="n"/>
      <c r="F46" s="31" t="n">
        <v>0</v>
      </c>
      <c r="G46" s="32" t="n">
        <v>0</v>
      </c>
      <c r="H46" s="32" t="n">
        <v>0</v>
      </c>
    </row>
    <row r="47">
      <c r="A47" s="41" t="inlineStr">
        <is>
          <t>Total</t>
        </is>
      </c>
      <c r="B47" s="34" t="n"/>
      <c r="C47" s="34" t="n"/>
      <c r="D47" s="34" t="n"/>
      <c r="E47" s="34" t="n"/>
      <c r="F47" s="78">
        <f>SUM(F42:F46)</f>
        <v>2542</v>
      </c>
      <c r="G47" s="79">
        <f>SUM(G42:G46)</f>
        <v>6750000</v>
      </c>
      <c r="H47" s="79">
        <f>SUM(H42:H46)</f>
        <v>0</v>
      </c>
    </row>
    <row r="49">
      <c r="C49" s="80" t="inlineStr">
        <is>
          <t>Budgeted Recovery %</t>
        </is>
      </c>
      <c r="F49" s="81">
        <f>IFERROR(G42/$AB$5,0)</f>
        <v>0.4010664207584849</v>
      </c>
      <c r="G49" s="24" t="n"/>
    </row>
    <row r="50">
      <c r="L50" s="66" t="inlineStr">
        <is>
          <t>Gross Fee</t>
        </is>
      </c>
      <c r="M50" s="24" t="n"/>
      <c r="N50" s="66" t="inlineStr">
        <is>
          <t>Net Fee</t>
        </is>
      </c>
      <c r="O50" s="24" t="n"/>
      <c r="P50" s="66" t="inlineStr">
        <is>
          <t>Net CM</t>
        </is>
      </c>
      <c r="Q50" s="24" t="n"/>
      <c r="R50" s="66" t="inlineStr">
        <is>
          <t>Gross CM</t>
        </is>
      </c>
      <c r="S50" s="24" t="n"/>
    </row>
    <row r="51">
      <c r="L51" s="82" t="inlineStr">
        <is>
          <t>Fee</t>
        </is>
      </c>
      <c r="M51" s="82" t="inlineStr">
        <is>
          <t>Per/Hr</t>
        </is>
      </c>
      <c r="N51" s="82" t="inlineStr">
        <is>
          <t>Fee</t>
        </is>
      </c>
      <c r="O51" s="82" t="inlineStr">
        <is>
          <t>Per/Hr</t>
        </is>
      </c>
      <c r="P51" s="82" t="inlineStr">
        <is>
          <t xml:space="preserve"> %</t>
        </is>
      </c>
      <c r="Q51" s="77" t="n"/>
      <c r="R51" s="82" t="inlineStr">
        <is>
          <t xml:space="preserve"> %</t>
        </is>
      </c>
      <c r="S51" s="77" t="n"/>
      <c r="T51" s="82" t="inlineStr">
        <is>
          <t>Margin</t>
        </is>
      </c>
      <c r="V51" s="82" t="inlineStr">
        <is>
          <t>Staff Cost</t>
        </is>
      </c>
    </row>
    <row r="52">
      <c r="K52" s="67" t="str">
        <f>C7</f>
        <v>INR</v>
      </c>
      <c r="L52" s="11">
        <f>G47</f>
        <v>6750000</v>
      </c>
      <c r="M52" s="10">
        <f>IFERROR(L52/F47,0)</f>
        <v>2655.3894571203778</v>
      </c>
      <c r="N52" s="11">
        <f>G42</f>
        <v>6750000</v>
      </c>
      <c r="O52" s="10">
        <f>IFERROR(N52/V34,0)</f>
        <v>2655.3894571203778</v>
      </c>
      <c r="P52" s="83">
        <f>IFERROR((T52-(N52*5%))/N52,0)</f>
        <v>0.3096231111111111</v>
      </c>
      <c r="Q52" s="84" t="n"/>
      <c r="R52" s="83">
        <f>IFERROR((L52-V52-(G47-G42)-(N52*5%))/L52,0)</f>
        <v>0.3096231111111111</v>
      </c>
      <c r="S52" s="84" t="n"/>
      <c r="T52" s="11">
        <f>IFERROR(N52-V52,0)</f>
        <v>2427456</v>
      </c>
      <c r="V52" s="11">
        <f>IFERROR($AB$6,0)</f>
        <v>4322544</v>
      </c>
    </row>
    <row r="54">
      <c r="C54" s="85" t="n"/>
      <c r="D54" s="86" t="inlineStr">
        <is>
          <t>Data to be entered / editable</t>
        </is>
      </c>
      <c r="L54" s="87" t="inlineStr">
        <is>
          <t>Gross Contribution Margin is derived after considering direct staff cost, management fees, Sub-contractor cost and other direct cost.
Net Contribution Margin is derived after considering direct staff cost, management fees and other direct cost.</t>
        </is>
      </c>
      <c r="M54" s="22" t="n"/>
      <c r="N54" s="22" t="n"/>
      <c r="O54" s="22" t="n"/>
      <c r="P54" s="22" t="n"/>
      <c r="Q54" s="22" t="n"/>
      <c r="R54" s="22" t="n"/>
      <c r="S54" s="22" t="n"/>
    </row>
    <row r="55">
      <c r="C55" s="34" t="n"/>
      <c r="D55" s="86" t="inlineStr">
        <is>
          <t>Calculated - do not overwrite</t>
        </is>
      </c>
      <c r="L55" s="22" t="n"/>
      <c r="M55" s="22" t="n"/>
      <c r="N55" s="22" t="n"/>
      <c r="O55" s="22" t="n"/>
      <c r="P55" s="22" t="n"/>
      <c r="Q55" s="22" t="n"/>
      <c r="R55" s="22" t="n"/>
      <c r="S55" s="22" t="n"/>
    </row>
  </sheetData>
  <mergeCells count="74">
    <mergeCell ref="F11:G11"/>
    <mergeCell ref="C6:D6"/>
    <mergeCell ref="F29:G29"/>
    <mergeCell ref="F10:G10"/>
    <mergeCell ref="F16:G16"/>
    <mergeCell ref="Q43:R43"/>
    <mergeCell ref="F19:G19"/>
    <mergeCell ref="C5:D5"/>
    <mergeCell ref="F25:G25"/>
    <mergeCell ref="F34:G34"/>
    <mergeCell ref="N50:O50"/>
    <mergeCell ref="L54:S55"/>
    <mergeCell ref="J6:J7"/>
    <mergeCell ref="P6:P7"/>
    <mergeCell ref="Q42:R42"/>
    <mergeCell ref="P50:Q50"/>
    <mergeCell ref="R6:R7"/>
    <mergeCell ref="V6:V7"/>
    <mergeCell ref="C4:D4"/>
    <mergeCell ref="L50:M50"/>
    <mergeCell ref="F21:G21"/>
    <mergeCell ref="H39:I39"/>
    <mergeCell ref="L43:P43"/>
    <mergeCell ref="F12:G12"/>
    <mergeCell ref="F24:G24"/>
    <mergeCell ref="H6:I6"/>
    <mergeCell ref="F30:G30"/>
    <mergeCell ref="F15:G15"/>
    <mergeCell ref="P52:Q52"/>
    <mergeCell ref="A39:G39"/>
    <mergeCell ref="F20:G20"/>
    <mergeCell ref="F18:G18"/>
    <mergeCell ref="F33:G33"/>
    <mergeCell ref="M6:M7"/>
    <mergeCell ref="L42:P42"/>
    <mergeCell ref="Q44:R44"/>
    <mergeCell ref="Z4:AB4"/>
    <mergeCell ref="Q6:Q7"/>
    <mergeCell ref="F32:G32"/>
    <mergeCell ref="F26:G26"/>
    <mergeCell ref="S6:S7"/>
    <mergeCell ref="R50:S50"/>
    <mergeCell ref="F17:G17"/>
    <mergeCell ref="L45:P45"/>
    <mergeCell ref="F8:G8"/>
    <mergeCell ref="L39:S39"/>
    <mergeCell ref="Q40:R40"/>
    <mergeCell ref="F23:G23"/>
    <mergeCell ref="A40:C40"/>
    <mergeCell ref="F31:G31"/>
    <mergeCell ref="L6:L7"/>
    <mergeCell ref="C49:E49"/>
    <mergeCell ref="F22:G22"/>
    <mergeCell ref="F6:G7"/>
    <mergeCell ref="N6:N7"/>
    <mergeCell ref="T6:T7"/>
    <mergeCell ref="F13:G13"/>
    <mergeCell ref="F28:G28"/>
    <mergeCell ref="F27:G27"/>
    <mergeCell ref="L41:P41"/>
    <mergeCell ref="L44:P44"/>
    <mergeCell ref="C8:D8"/>
    <mergeCell ref="F9:G9"/>
    <mergeCell ref="L40:P40"/>
    <mergeCell ref="E40:H40"/>
    <mergeCell ref="C7:D7"/>
    <mergeCell ref="Q45:R45"/>
    <mergeCell ref="F49:G49"/>
    <mergeCell ref="K6:K7"/>
    <mergeCell ref="F14:G14"/>
    <mergeCell ref="Q41:R41"/>
    <mergeCell ref="R52:S52"/>
    <mergeCell ref="O6:O7"/>
    <mergeCell ref="U6:U7"/>
  </mergeCells>
  <hyperlinks>
    <hyperlink ref="X4" ns1:id="rId1"/>
    <hyperlink ref="X6" ns1:id="rId2"/>
  </hyperlinks>
  <pageMargins left="0.75" right="0.75" top="1" bottom="1" header="0.5" footer="0.5"/>
</worksheet>
</file>

<file path=xl/worksheets/sheet9.xml><?xml version="1.0" encoding="utf-8"?>
<worksheet xmlns="http://schemas.openxmlformats.org/spreadsheetml/2006/main" xmlns:ns1="http://schemas.openxmlformats.org/officeDocument/2006/relationships">
  <sheetPr>
    <tabColor rgb="00E57200"/>
    <outlinePr summaryBelow="1" summaryRight="1"/>
    <pageSetUpPr/>
  </sheetPr>
  <dimension ref="A1:AB52"/>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SUMPRODUCT(J31:U31,Ratesheet!$B$23:$M$23)</f>
        <v>13756660</v>
      </c>
    </row>
    <row r="6" ht="26" customHeight="1">
      <c r="A6" s="52" t="inlineStr">
        <is>
          <t>Project Description:</t>
        </is>
      </c>
      <c r="B6" s="24" t="n"/>
      <c r="C6" s="53" t="inlineStr">
        <is>
          <t>Audit Life Cycle Management (ALCM)</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SUMPRODUCT(J31:U31,Ratesheet!$B$24:$M$24)</f>
        <v>3493176</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IFERROR(AB5/V31,0)</f>
        <v>6449.442100328176</v>
      </c>
    </row>
    <row r="8">
      <c r="A8" s="52" t="inlineStr">
        <is>
          <t>Project Type:</t>
        </is>
      </c>
      <c r="B8" s="24" t="n"/>
      <c r="C8" s="53" t="inlineStr">
        <is>
          <t>Fixed Fee (Incl. Outlays)</t>
        </is>
      </c>
      <c r="D8" s="24" t="n"/>
      <c r="F8" s="30" t="inlineStr">
        <is>
          <t>Requirement Gathering &amp; Audit Lifecycle Process Study</t>
        </is>
      </c>
      <c r="G8" s="24" t="n"/>
      <c r="H8" s="58" t="inlineStr">
        <is>
          <t>India</t>
        </is>
      </c>
      <c r="I8" s="58" t="inlineStr">
        <is>
          <t>R&amp;C</t>
        </is>
      </c>
      <c r="J8" s="59" t="n">
        <v>2</v>
      </c>
      <c r="K8" s="59" t="n"/>
      <c r="L8" s="59" t="n">
        <v>10</v>
      </c>
      <c r="M8" s="59" t="n">
        <v>10</v>
      </c>
      <c r="N8" s="59" t="n"/>
      <c r="O8" s="59" t="n"/>
      <c r="P8" s="59" t="n">
        <v>16</v>
      </c>
      <c r="Q8" s="59" t="n">
        <v>16</v>
      </c>
      <c r="R8" s="59" t="n">
        <v>20</v>
      </c>
      <c r="S8" s="59" t="n">
        <v>20</v>
      </c>
      <c r="T8" s="59" t="n"/>
      <c r="U8" s="59" t="n"/>
      <c r="V8" s="60">
        <f>SUM(J8:U8)</f>
        <v>94</v>
      </c>
      <c r="Z8" s="30" t="inlineStr">
        <is>
          <t>Blended cost / hr</t>
        </is>
      </c>
      <c r="AA8" s="24" t="n"/>
      <c r="AB8" s="10">
        <f>IFERROR(AB6/V31,0)</f>
        <v>1637.6821378340367</v>
      </c>
    </row>
    <row r="9">
      <c r="F9" s="30" t="inlineStr">
        <is>
          <t>Technical Architecture, Design &amp; Planning</t>
        </is>
      </c>
      <c r="G9" s="24" t="n"/>
      <c r="H9" s="58" t="inlineStr">
        <is>
          <t>India</t>
        </is>
      </c>
      <c r="I9" s="58" t="inlineStr">
        <is>
          <t>R&amp;C</t>
        </is>
      </c>
      <c r="J9" s="59" t="n">
        <v>2</v>
      </c>
      <c r="K9" s="59" t="n"/>
      <c r="L9" s="59" t="n">
        <v>10</v>
      </c>
      <c r="M9" s="59" t="n">
        <v>10</v>
      </c>
      <c r="N9" s="59" t="n"/>
      <c r="O9" s="59" t="n"/>
      <c r="P9" s="59" t="n">
        <v>12</v>
      </c>
      <c r="Q9" s="59" t="n">
        <v>12</v>
      </c>
      <c r="R9" s="59" t="n">
        <v>16</v>
      </c>
      <c r="S9" s="59" t="n">
        <v>16</v>
      </c>
      <c r="T9" s="59" t="n"/>
      <c r="U9" s="59" t="n"/>
      <c r="V9" s="60">
        <f>SUM(J9:U9)</f>
        <v>78</v>
      </c>
    </row>
    <row r="10">
      <c r="F10" s="30" t="inlineStr">
        <is>
          <t>Data Model &amp; Database Design</t>
        </is>
      </c>
      <c r="G10" s="24" t="n"/>
      <c r="H10" s="58" t="inlineStr">
        <is>
          <t>India</t>
        </is>
      </c>
      <c r="I10" s="58" t="inlineStr">
        <is>
          <t>R&amp;C</t>
        </is>
      </c>
      <c r="J10" s="59" t="n">
        <v>1</v>
      </c>
      <c r="K10" s="59" t="n"/>
      <c r="L10" s="59" t="n">
        <v>4</v>
      </c>
      <c r="M10" s="59" t="n">
        <v>6</v>
      </c>
      <c r="N10" s="59" t="n"/>
      <c r="O10" s="59" t="n"/>
      <c r="P10" s="59" t="n">
        <v>12</v>
      </c>
      <c r="Q10" s="59" t="n">
        <v>16</v>
      </c>
      <c r="R10" s="59" t="n">
        <v>20</v>
      </c>
      <c r="S10" s="59" t="n">
        <v>20</v>
      </c>
      <c r="T10" s="59" t="n"/>
      <c r="U10" s="59" t="n"/>
      <c r="V10" s="60">
        <f>SUM(J10:U10)</f>
        <v>79</v>
      </c>
    </row>
    <row r="11">
      <c r="F11" s="30" t="inlineStr">
        <is>
          <t>Audit Planning, Universe &amp; Scheduling Module</t>
        </is>
      </c>
      <c r="G11" s="24" t="n"/>
      <c r="H11" s="58" t="inlineStr">
        <is>
          <t>India</t>
        </is>
      </c>
      <c r="I11" s="58" t="inlineStr">
        <is>
          <t>R&amp;C</t>
        </is>
      </c>
      <c r="J11" s="59" t="n"/>
      <c r="K11" s="59" t="n"/>
      <c r="L11" s="59" t="n">
        <v>2</v>
      </c>
      <c r="M11" s="59" t="n">
        <v>8</v>
      </c>
      <c r="N11" s="59" t="n"/>
      <c r="O11" s="59" t="n"/>
      <c r="P11" s="59" t="n">
        <v>20</v>
      </c>
      <c r="Q11" s="59" t="n">
        <v>24</v>
      </c>
      <c r="R11" s="59" t="n">
        <v>36</v>
      </c>
      <c r="S11" s="59" t="n">
        <v>36</v>
      </c>
      <c r="T11" s="59" t="n"/>
      <c r="U11" s="59" t="n"/>
      <c r="V11" s="60">
        <f>SUM(J11:U11)</f>
        <v>126</v>
      </c>
    </row>
    <row r="12">
      <c r="F12" s="30" t="inlineStr">
        <is>
          <t>Audit Scope &amp; Programme Definition Module</t>
        </is>
      </c>
      <c r="G12" s="24" t="n"/>
      <c r="H12" s="58" t="inlineStr">
        <is>
          <t>India</t>
        </is>
      </c>
      <c r="I12" s="58" t="inlineStr">
        <is>
          <t>R&amp;C</t>
        </is>
      </c>
      <c r="J12" s="59" t="n"/>
      <c r="K12" s="59" t="n"/>
      <c r="L12" s="59" t="n">
        <v>2</v>
      </c>
      <c r="M12" s="59" t="n">
        <v>6</v>
      </c>
      <c r="N12" s="59" t="n"/>
      <c r="O12" s="59" t="n"/>
      <c r="P12" s="59" t="n">
        <v>16</v>
      </c>
      <c r="Q12" s="59" t="n">
        <v>20</v>
      </c>
      <c r="R12" s="59" t="n">
        <v>28</v>
      </c>
      <c r="S12" s="59" t="n">
        <v>28</v>
      </c>
      <c r="T12" s="59" t="n"/>
      <c r="U12" s="59" t="n"/>
      <c r="V12" s="60">
        <f>SUM(J12:U12)</f>
        <v>100</v>
      </c>
    </row>
    <row r="13">
      <c r="F13" s="30" t="inlineStr">
        <is>
          <t>Fieldwork &amp; Workpaper Documentation Module</t>
        </is>
      </c>
      <c r="G13" s="24" t="n"/>
      <c r="H13" s="58" t="inlineStr">
        <is>
          <t>India</t>
        </is>
      </c>
      <c r="I13" s="58" t="inlineStr">
        <is>
          <t>R&amp;C</t>
        </is>
      </c>
      <c r="J13" s="59" t="n"/>
      <c r="K13" s="59" t="n"/>
      <c r="L13" s="59" t="n">
        <v>2</v>
      </c>
      <c r="M13" s="59" t="n">
        <v>8</v>
      </c>
      <c r="N13" s="59" t="n"/>
      <c r="O13" s="59" t="n"/>
      <c r="P13" s="59" t="n">
        <v>20</v>
      </c>
      <c r="Q13" s="59" t="n">
        <v>28</v>
      </c>
      <c r="R13" s="59" t="n">
        <v>40</v>
      </c>
      <c r="S13" s="59" t="n">
        <v>40</v>
      </c>
      <c r="T13" s="59" t="n"/>
      <c r="U13" s="59" t="n"/>
      <c r="V13" s="60">
        <f>SUM(J13:U13)</f>
        <v>138</v>
      </c>
    </row>
    <row r="14">
      <c r="F14" s="30" t="inlineStr">
        <is>
          <t>Findings &amp; Issue Management Module</t>
        </is>
      </c>
      <c r="G14" s="24" t="n"/>
      <c r="H14" s="58" t="inlineStr">
        <is>
          <t>India</t>
        </is>
      </c>
      <c r="I14" s="58" t="inlineStr">
        <is>
          <t>R&amp;C</t>
        </is>
      </c>
      <c r="J14" s="59" t="n"/>
      <c r="K14" s="59" t="n"/>
      <c r="L14" s="59" t="n"/>
      <c r="M14" s="59" t="n">
        <v>6</v>
      </c>
      <c r="N14" s="59" t="n"/>
      <c r="O14" s="59" t="n"/>
      <c r="P14" s="59" t="n">
        <v>16</v>
      </c>
      <c r="Q14" s="59" t="n">
        <v>20</v>
      </c>
      <c r="R14" s="59" t="n">
        <v>32</v>
      </c>
      <c r="S14" s="59" t="n">
        <v>32</v>
      </c>
      <c r="T14" s="59" t="n"/>
      <c r="U14" s="59" t="n"/>
      <c r="V14" s="60">
        <f>SUM(J14:U14)</f>
        <v>106</v>
      </c>
    </row>
    <row r="15">
      <c r="F15" s="30" t="inlineStr">
        <is>
          <t>Reporting, QA Review &amp; Report Release Workflow</t>
        </is>
      </c>
      <c r="G15" s="24" t="n"/>
      <c r="H15" s="58" t="inlineStr">
        <is>
          <t>India</t>
        </is>
      </c>
      <c r="I15" s="58" t="inlineStr">
        <is>
          <t>R&amp;C</t>
        </is>
      </c>
      <c r="J15" s="59" t="n"/>
      <c r="K15" s="59" t="n"/>
      <c r="L15" s="59" t="n">
        <v>2</v>
      </c>
      <c r="M15" s="59" t="n">
        <v>6</v>
      </c>
      <c r="N15" s="59" t="n"/>
      <c r="O15" s="59" t="n"/>
      <c r="P15" s="59" t="n">
        <v>16</v>
      </c>
      <c r="Q15" s="59" t="n">
        <v>20</v>
      </c>
      <c r="R15" s="59" t="n">
        <v>32</v>
      </c>
      <c r="S15" s="59" t="n">
        <v>32</v>
      </c>
      <c r="T15" s="59" t="n"/>
      <c r="U15" s="59" t="n"/>
      <c r="V15" s="60">
        <f>SUM(J15:U15)</f>
        <v>108</v>
      </c>
    </row>
    <row r="16">
      <c r="F16" s="30" t="inlineStr">
        <is>
          <t>Action Tracking, Follow-Up &amp; Audit Closure</t>
        </is>
      </c>
      <c r="G16" s="24" t="n"/>
      <c r="H16" s="58" t="inlineStr">
        <is>
          <t>India</t>
        </is>
      </c>
      <c r="I16" s="58" t="inlineStr">
        <is>
          <t>R&amp;C</t>
        </is>
      </c>
      <c r="J16" s="59" t="n"/>
      <c r="K16" s="59" t="n"/>
      <c r="L16" s="59" t="n"/>
      <c r="M16" s="59" t="n">
        <v>6</v>
      </c>
      <c r="N16" s="59" t="n"/>
      <c r="O16" s="59" t="n"/>
      <c r="P16" s="59" t="n">
        <v>12</v>
      </c>
      <c r="Q16" s="59" t="n">
        <v>16</v>
      </c>
      <c r="R16" s="59" t="n">
        <v>24</v>
      </c>
      <c r="S16" s="59" t="n">
        <v>24</v>
      </c>
      <c r="T16" s="59" t="n"/>
      <c r="U16" s="59" t="n"/>
      <c r="V16" s="60">
        <f>SUM(J16:U16)</f>
        <v>82</v>
      </c>
    </row>
    <row r="17">
      <c r="F17" s="30" t="inlineStr">
        <is>
          <t>Resource Allocation &amp; Schedule Management</t>
        </is>
      </c>
      <c r="G17" s="24" t="n"/>
      <c r="H17" s="58" t="inlineStr">
        <is>
          <t>India</t>
        </is>
      </c>
      <c r="I17" s="58" t="inlineStr">
        <is>
          <t>R&amp;C</t>
        </is>
      </c>
      <c r="J17" s="59" t="n"/>
      <c r="K17" s="59" t="n"/>
      <c r="L17" s="59" t="n"/>
      <c r="M17" s="59" t="n">
        <v>4</v>
      </c>
      <c r="N17" s="59" t="n"/>
      <c r="O17" s="59" t="n"/>
      <c r="P17" s="59" t="n">
        <v>12</v>
      </c>
      <c r="Q17" s="59" t="n">
        <v>16</v>
      </c>
      <c r="R17" s="59" t="n">
        <v>20</v>
      </c>
      <c r="S17" s="59" t="n">
        <v>20</v>
      </c>
      <c r="T17" s="59" t="n"/>
      <c r="U17" s="59" t="n"/>
      <c r="V17" s="60">
        <f>SUM(J17:U17)</f>
        <v>72</v>
      </c>
    </row>
    <row r="18">
      <c r="F18" s="30" t="inlineStr">
        <is>
          <t>Configurable Workflow &amp; Approval Engine</t>
        </is>
      </c>
      <c r="G18" s="24" t="n"/>
      <c r="H18" s="58" t="inlineStr">
        <is>
          <t>India</t>
        </is>
      </c>
      <c r="I18" s="58" t="inlineStr">
        <is>
          <t>R&amp;C</t>
        </is>
      </c>
      <c r="J18" s="59" t="n"/>
      <c r="K18" s="59" t="n"/>
      <c r="L18" s="59" t="n">
        <v>2</v>
      </c>
      <c r="M18" s="59" t="n">
        <v>6</v>
      </c>
      <c r="N18" s="59" t="n"/>
      <c r="O18" s="59" t="n"/>
      <c r="P18" s="59" t="n">
        <v>16</v>
      </c>
      <c r="Q18" s="59" t="n">
        <v>20</v>
      </c>
      <c r="R18" s="59" t="n">
        <v>28</v>
      </c>
      <c r="S18" s="59" t="n">
        <v>28</v>
      </c>
      <c r="T18" s="59" t="n"/>
      <c r="U18" s="59" t="n"/>
      <c r="V18" s="60">
        <f>SUM(J18:U18)</f>
        <v>100</v>
      </c>
    </row>
    <row r="19">
      <c r="F19" s="30" t="inlineStr">
        <is>
          <t>API Layer &amp; Integration with CCM / Analytics / Checklist</t>
        </is>
      </c>
      <c r="G19" s="24" t="n"/>
      <c r="H19" s="58" t="inlineStr">
        <is>
          <t>India</t>
        </is>
      </c>
      <c r="I19" s="58" t="inlineStr">
        <is>
          <t>R&amp;C</t>
        </is>
      </c>
      <c r="J19" s="59" t="n"/>
      <c r="K19" s="59" t="n"/>
      <c r="L19" s="59" t="n">
        <v>2</v>
      </c>
      <c r="M19" s="59" t="n">
        <v>6</v>
      </c>
      <c r="N19" s="59" t="n"/>
      <c r="O19" s="59" t="n"/>
      <c r="P19" s="59" t="n">
        <v>16</v>
      </c>
      <c r="Q19" s="59" t="n">
        <v>20</v>
      </c>
      <c r="R19" s="59" t="n">
        <v>32</v>
      </c>
      <c r="S19" s="59" t="n">
        <v>32</v>
      </c>
      <c r="T19" s="59" t="n"/>
      <c r="U19" s="59" t="n"/>
      <c r="V19" s="60">
        <f>SUM(J19:U19)</f>
        <v>108</v>
      </c>
    </row>
    <row r="20">
      <c r="F20" s="30" t="inlineStr">
        <is>
          <t>Pentana Migration &amp; Historical Data Migration Utility</t>
        </is>
      </c>
      <c r="G20" s="24" t="n"/>
      <c r="H20" s="58" t="inlineStr">
        <is>
          <t>India</t>
        </is>
      </c>
      <c r="I20" s="58" t="inlineStr">
        <is>
          <t>R&amp;C</t>
        </is>
      </c>
      <c r="J20" s="59" t="n"/>
      <c r="K20" s="59" t="n"/>
      <c r="L20" s="59" t="n">
        <v>2</v>
      </c>
      <c r="M20" s="59" t="n">
        <v>6</v>
      </c>
      <c r="N20" s="59" t="n"/>
      <c r="O20" s="59" t="n"/>
      <c r="P20" s="59" t="n">
        <v>16</v>
      </c>
      <c r="Q20" s="59" t="n">
        <v>20</v>
      </c>
      <c r="R20" s="59" t="n">
        <v>28</v>
      </c>
      <c r="S20" s="59" t="n">
        <v>28</v>
      </c>
      <c r="T20" s="59" t="n"/>
      <c r="U20" s="59" t="n"/>
      <c r="V20" s="60">
        <f>SUM(J20:U20)</f>
        <v>100</v>
      </c>
    </row>
    <row r="21">
      <c r="F21" s="30" t="inlineStr">
        <is>
          <t>Frontend Design &amp; Audit Status Dashboards</t>
        </is>
      </c>
      <c r="G21" s="24" t="n"/>
      <c r="H21" s="58" t="inlineStr">
        <is>
          <t>India</t>
        </is>
      </c>
      <c r="I21" s="58" t="inlineStr">
        <is>
          <t>R&amp;C</t>
        </is>
      </c>
      <c r="J21" s="59" t="n"/>
      <c r="K21" s="59" t="n"/>
      <c r="L21" s="59" t="n"/>
      <c r="M21" s="59" t="n">
        <v>8</v>
      </c>
      <c r="N21" s="59" t="n"/>
      <c r="O21" s="59" t="n"/>
      <c r="P21" s="59" t="n">
        <v>20</v>
      </c>
      <c r="Q21" s="59" t="n">
        <v>28</v>
      </c>
      <c r="R21" s="59" t="n">
        <v>40</v>
      </c>
      <c r="S21" s="59" t="n">
        <v>40</v>
      </c>
      <c r="T21" s="59" t="n"/>
      <c r="U21" s="59" t="n"/>
      <c r="V21" s="60">
        <f>SUM(J21:U21)</f>
        <v>136</v>
      </c>
    </row>
    <row r="22">
      <c r="F22" s="30" t="inlineStr">
        <is>
          <t>FE &amp; BE Integration</t>
        </is>
      </c>
      <c r="G22" s="24" t="n"/>
      <c r="H22" s="58" t="inlineStr">
        <is>
          <t>India</t>
        </is>
      </c>
      <c r="I22" s="58" t="inlineStr">
        <is>
          <t>R&amp;C</t>
        </is>
      </c>
      <c r="J22" s="59" t="n"/>
      <c r="K22" s="59" t="n"/>
      <c r="L22" s="59" t="n"/>
      <c r="M22" s="59" t="n">
        <v>6</v>
      </c>
      <c r="N22" s="59" t="n"/>
      <c r="O22" s="59" t="n"/>
      <c r="P22" s="59" t="n">
        <v>16</v>
      </c>
      <c r="Q22" s="59" t="n">
        <v>20</v>
      </c>
      <c r="R22" s="59" t="n">
        <v>24</v>
      </c>
      <c r="S22" s="59" t="n">
        <v>24</v>
      </c>
      <c r="T22" s="59" t="n"/>
      <c r="U22" s="59" t="n"/>
      <c r="V22" s="60">
        <f>SUM(J22:U22)</f>
        <v>90</v>
      </c>
    </row>
    <row r="23">
      <c r="F23" s="30" t="inlineStr">
        <is>
          <t>Mobile-Responsive UI &amp; Offline Sync Capability</t>
        </is>
      </c>
      <c r="G23" s="24" t="n"/>
      <c r="H23" s="58" t="inlineStr">
        <is>
          <t>India</t>
        </is>
      </c>
      <c r="I23" s="58" t="inlineStr">
        <is>
          <t>R&amp;C</t>
        </is>
      </c>
      <c r="J23" s="59" t="n"/>
      <c r="K23" s="59" t="n"/>
      <c r="L23" s="59" t="n"/>
      <c r="M23" s="59" t="n">
        <v>4</v>
      </c>
      <c r="N23" s="59" t="n"/>
      <c r="O23" s="59" t="n"/>
      <c r="P23" s="59" t="n">
        <v>12</v>
      </c>
      <c r="Q23" s="59" t="n">
        <v>16</v>
      </c>
      <c r="R23" s="59" t="n">
        <v>24</v>
      </c>
      <c r="S23" s="59" t="n">
        <v>24</v>
      </c>
      <c r="T23" s="59" t="n"/>
      <c r="U23" s="59" t="n"/>
      <c r="V23" s="60">
        <f>SUM(J23:U23)</f>
        <v>80</v>
      </c>
    </row>
    <row r="24">
      <c r="F24" s="30" t="inlineStr">
        <is>
          <t>Auth, RBAC, SoD, Audit Trail &amp; NFR Implementation</t>
        </is>
      </c>
      <c r="G24" s="24" t="n"/>
      <c r="H24" s="58" t="inlineStr">
        <is>
          <t>India</t>
        </is>
      </c>
      <c r="I24" s="58" t="inlineStr">
        <is>
          <t>R&amp;C</t>
        </is>
      </c>
      <c r="J24" s="59" t="n"/>
      <c r="K24" s="59" t="n"/>
      <c r="L24" s="59" t="n"/>
      <c r="M24" s="59" t="n">
        <v>6</v>
      </c>
      <c r="N24" s="59" t="n"/>
      <c r="O24" s="59" t="n"/>
      <c r="P24" s="59" t="n">
        <v>16</v>
      </c>
      <c r="Q24" s="59" t="n">
        <v>20</v>
      </c>
      <c r="R24" s="59" t="n">
        <v>24</v>
      </c>
      <c r="S24" s="59" t="n">
        <v>24</v>
      </c>
      <c r="T24" s="59" t="n"/>
      <c r="U24" s="59" t="n"/>
      <c r="V24" s="60">
        <f>SUM(J24:U24)</f>
        <v>90</v>
      </c>
    </row>
    <row r="25">
      <c r="F25" s="30" t="inlineStr">
        <is>
          <t>Component Testing &amp; SIT</t>
        </is>
      </c>
      <c r="G25" s="24" t="n"/>
      <c r="H25" s="58" t="inlineStr">
        <is>
          <t>India</t>
        </is>
      </c>
      <c r="I25" s="58" t="inlineStr">
        <is>
          <t>R&amp;C</t>
        </is>
      </c>
      <c r="J25" s="59" t="n"/>
      <c r="K25" s="59" t="n"/>
      <c r="L25" s="59" t="n">
        <v>2</v>
      </c>
      <c r="M25" s="59" t="n">
        <v>6</v>
      </c>
      <c r="N25" s="59" t="n"/>
      <c r="O25" s="59" t="n"/>
      <c r="P25" s="59" t="n">
        <v>16</v>
      </c>
      <c r="Q25" s="59" t="n">
        <v>24</v>
      </c>
      <c r="R25" s="59" t="n">
        <v>32</v>
      </c>
      <c r="S25" s="59" t="n">
        <v>32</v>
      </c>
      <c r="T25" s="59" t="n"/>
      <c r="U25" s="59" t="n"/>
      <c r="V25" s="60">
        <f>SUM(J25:U25)</f>
        <v>112</v>
      </c>
    </row>
    <row r="26">
      <c r="F26" s="30" t="inlineStr">
        <is>
          <t>User Acceptance Testing (incl. Bug Fixing)</t>
        </is>
      </c>
      <c r="G26" s="24" t="n"/>
      <c r="H26" s="58" t="inlineStr">
        <is>
          <t>India</t>
        </is>
      </c>
      <c r="I26" s="58" t="inlineStr">
        <is>
          <t>R&amp;C</t>
        </is>
      </c>
      <c r="J26" s="59" t="n"/>
      <c r="K26" s="59" t="n"/>
      <c r="L26" s="59" t="n">
        <v>1</v>
      </c>
      <c r="M26" s="59" t="n">
        <v>4</v>
      </c>
      <c r="N26" s="59" t="n"/>
      <c r="O26" s="59" t="n"/>
      <c r="P26" s="59" t="n">
        <v>12</v>
      </c>
      <c r="Q26" s="59" t="n">
        <v>16</v>
      </c>
      <c r="R26" s="59" t="n">
        <v>24</v>
      </c>
      <c r="S26" s="59" t="n">
        <v>24</v>
      </c>
      <c r="T26" s="59" t="n"/>
      <c r="U26" s="59" t="n"/>
      <c r="V26" s="60">
        <f>SUM(J26:U26)</f>
        <v>81</v>
      </c>
    </row>
    <row r="27">
      <c r="F27" s="30" t="inlineStr">
        <is>
          <t>Documentation (Technical, User, DR/BCP)</t>
        </is>
      </c>
      <c r="G27" s="24" t="n"/>
      <c r="H27" s="58" t="inlineStr">
        <is>
          <t>India</t>
        </is>
      </c>
      <c r="I27" s="58" t="inlineStr">
        <is>
          <t>R&amp;C</t>
        </is>
      </c>
      <c r="J27" s="59" t="n"/>
      <c r="K27" s="59" t="n"/>
      <c r="L27" s="59" t="n"/>
      <c r="M27" s="59" t="n">
        <v>4</v>
      </c>
      <c r="N27" s="59" t="n"/>
      <c r="O27" s="59" t="n"/>
      <c r="P27" s="59" t="n">
        <v>8</v>
      </c>
      <c r="Q27" s="59" t="n">
        <v>12</v>
      </c>
      <c r="R27" s="59" t="n">
        <v>16</v>
      </c>
      <c r="S27" s="59" t="n">
        <v>16</v>
      </c>
      <c r="T27" s="59" t="n"/>
      <c r="U27" s="59" t="n"/>
      <c r="V27" s="60">
        <f>SUM(J27:U27)</f>
        <v>56</v>
      </c>
    </row>
    <row r="28">
      <c r="F28" s="30" t="inlineStr">
        <is>
          <t>PMO &amp; Programme Governance</t>
        </is>
      </c>
      <c r="G28" s="24" t="n"/>
      <c r="H28" s="58" t="inlineStr">
        <is>
          <t>India</t>
        </is>
      </c>
      <c r="I28" s="58" t="inlineStr">
        <is>
          <t>R&amp;C</t>
        </is>
      </c>
      <c r="J28" s="59" t="n"/>
      <c r="K28" s="59" t="n"/>
      <c r="L28" s="59" t="n"/>
      <c r="M28" s="59" t="n"/>
      <c r="N28" s="59" t="n">
        <v>100</v>
      </c>
      <c r="O28" s="59" t="n"/>
      <c r="P28" s="59" t="n"/>
      <c r="Q28" s="59" t="n"/>
      <c r="R28" s="59" t="n"/>
      <c r="S28" s="59" t="n"/>
      <c r="T28" s="59" t="n"/>
      <c r="U28" s="59" t="n"/>
      <c r="V28" s="60">
        <f>SUM(J28:U28)</f>
        <v>100</v>
      </c>
    </row>
    <row r="29">
      <c r="F29" s="30" t="inlineStr">
        <is>
          <t>Go-live &amp; Hypercare Support</t>
        </is>
      </c>
      <c r="G29" s="24" t="n"/>
      <c r="H29" s="58" t="inlineStr">
        <is>
          <t>India</t>
        </is>
      </c>
      <c r="I29" s="58" t="inlineStr">
        <is>
          <t>R&amp;C</t>
        </is>
      </c>
      <c r="J29" s="59" t="n"/>
      <c r="K29" s="59" t="n"/>
      <c r="L29" s="59" t="n"/>
      <c r="M29" s="59" t="n">
        <v>4</v>
      </c>
      <c r="N29" s="59" t="n"/>
      <c r="O29" s="59" t="n"/>
      <c r="P29" s="59" t="n">
        <v>8</v>
      </c>
      <c r="Q29" s="59" t="n">
        <v>12</v>
      </c>
      <c r="R29" s="59" t="n">
        <v>12</v>
      </c>
      <c r="S29" s="59" t="n">
        <v>12</v>
      </c>
      <c r="T29" s="59" t="n"/>
      <c r="U29" s="59" t="n"/>
      <c r="V29" s="60">
        <f>SUM(J29:U29)</f>
        <v>48</v>
      </c>
    </row>
    <row r="30">
      <c r="F30" s="30" t="inlineStr">
        <is>
          <t>Handover &amp; Knowledge Transfer</t>
        </is>
      </c>
      <c r="G30" s="24" t="n"/>
      <c r="H30" s="58" t="inlineStr">
        <is>
          <t>India</t>
        </is>
      </c>
      <c r="I30" s="58" t="inlineStr">
        <is>
          <t>R&amp;C</t>
        </is>
      </c>
      <c r="J30" s="59" t="n">
        <v>1</v>
      </c>
      <c r="K30" s="59" t="n"/>
      <c r="L30" s="59" t="n">
        <v>4</v>
      </c>
      <c r="M30" s="59" t="n">
        <v>4</v>
      </c>
      <c r="N30" s="59" t="n"/>
      <c r="O30" s="59" t="n"/>
      <c r="P30" s="59" t="n">
        <v>8</v>
      </c>
      <c r="Q30" s="59" t="n">
        <v>8</v>
      </c>
      <c r="R30" s="59" t="n">
        <v>12</v>
      </c>
      <c r="S30" s="59" t="n">
        <v>12</v>
      </c>
      <c r="T30" s="59" t="n"/>
      <c r="U30" s="59" t="n"/>
      <c r="V30" s="60">
        <f>SUM(J30:U30)</f>
        <v>49</v>
      </c>
    </row>
    <row r="31">
      <c r="F31" s="33" t="inlineStr">
        <is>
          <t>Total</t>
        </is>
      </c>
      <c r="G31" s="24" t="n"/>
      <c r="H31" s="34" t="n"/>
      <c r="I31" s="34" t="n"/>
      <c r="J31" s="61">
        <f>SUM(J8:J30)</f>
        <v>6</v>
      </c>
      <c r="K31" s="61">
        <f>SUM(K8:K30)</f>
        <v>0</v>
      </c>
      <c r="L31" s="61">
        <f>SUM(L8:L30)</f>
        <v>45</v>
      </c>
      <c r="M31" s="61">
        <f>SUM(M8:M30)</f>
        <v>134</v>
      </c>
      <c r="N31" s="61">
        <f>SUM(N8:N30)</f>
        <v>100</v>
      </c>
      <c r="O31" s="61">
        <f>SUM(O8:O30)</f>
        <v>0</v>
      </c>
      <c r="P31" s="61">
        <f>SUM(P8:P30)</f>
        <v>316</v>
      </c>
      <c r="Q31" s="61">
        <f>SUM(Q8:Q30)</f>
        <v>404</v>
      </c>
      <c r="R31" s="61">
        <f>SUM(R8:R30)</f>
        <v>564</v>
      </c>
      <c r="S31" s="61">
        <f>SUM(S8:S30)</f>
        <v>564</v>
      </c>
      <c r="T31" s="61">
        <f>SUM(T8:T30)</f>
        <v>0</v>
      </c>
      <c r="U31" s="61">
        <f>SUM(U8:U30)</f>
        <v>0</v>
      </c>
      <c r="V31" s="62">
        <f>SUM(V8:V30)</f>
        <v>2133</v>
      </c>
    </row>
    <row r="33">
      <c r="H33" s="63" t="inlineStr">
        <is>
          <t>Project Mix</t>
        </is>
      </c>
      <c r="J33" s="64">
        <f>IFERROR(J31/$V$31,0)</f>
        <v>0.0028129395218002813</v>
      </c>
      <c r="K33" s="64">
        <f>IFERROR(K31/$V$31,0)</f>
        <v>0</v>
      </c>
      <c r="L33" s="64">
        <f>IFERROR(L31/$V$31,0)</f>
        <v>0.02109704641350211</v>
      </c>
      <c r="M33" s="64">
        <f>IFERROR(M31/$V$31,0)</f>
        <v>0.06282231598687295</v>
      </c>
      <c r="N33" s="64">
        <f>IFERROR(N31/$V$31,0)</f>
        <v>0.04688232536333802</v>
      </c>
      <c r="O33" s="64">
        <f>IFERROR(O31/$V$31,0)</f>
        <v>0</v>
      </c>
      <c r="P33" s="64">
        <f>IFERROR(P31/$V$31,0)</f>
        <v>0.14814814814814814</v>
      </c>
      <c r="Q33" s="64">
        <f>IFERROR(Q31/$V$31,0)</f>
        <v>0.1894045944678856</v>
      </c>
      <c r="R33" s="64">
        <f>IFERROR(R31/$V$31,0)</f>
        <v>0.26441631504922647</v>
      </c>
      <c r="S33" s="64">
        <f>IFERROR(S31/$V$31,0)</f>
        <v>0.26441631504922647</v>
      </c>
      <c r="T33" s="64">
        <f>IFERROR(T31/$V$31,0)</f>
        <v>0</v>
      </c>
      <c r="U33" s="64">
        <f>IFERROR(U31/$V$31,0)</f>
        <v>0</v>
      </c>
    </row>
    <row r="36">
      <c r="A36" s="33" t="inlineStr">
        <is>
          <t>F E E    B R E A K  D O W N</t>
        </is>
      </c>
      <c r="B36" s="65" t="n"/>
      <c r="C36" s="65" t="n"/>
      <c r="D36" s="65" t="n"/>
      <c r="E36" s="65" t="n"/>
      <c r="F36" s="65" t="n"/>
      <c r="G36" s="65" t="n"/>
      <c r="H36" s="66" t="str">
        <f>" All Values in ( "&amp;C7&amp;" )"</f>
        <v> All Values in ( INR )</v>
      </c>
      <c r="I36" s="24" t="n"/>
      <c r="L36" s="67" t="inlineStr">
        <is>
          <t>What if analysis - FYI Only</t>
        </is>
      </c>
      <c r="M36" s="22" t="n"/>
      <c r="N36" s="22" t="n"/>
      <c r="O36" s="22" t="n"/>
      <c r="P36" s="22" t="n"/>
      <c r="Q36" s="22" t="n"/>
      <c r="R36" s="22" t="n"/>
      <c r="S36" s="22" t="n"/>
    </row>
    <row r="37">
      <c r="A37" s="68" t="inlineStr">
        <is>
          <t>Total Engagement Value</t>
        </is>
      </c>
      <c r="B37" s="24" t="n"/>
      <c r="C37" s="24" t="n"/>
      <c r="D37" s="69" t="n">
        <v>4750000</v>
      </c>
      <c r="E37" s="70" t="inlineStr">
        <is>
          <t>Expenses Budgeting</t>
        </is>
      </c>
      <c r="F37" s="24" t="n"/>
      <c r="G37" s="24" t="n"/>
      <c r="H37" s="24" t="n"/>
      <c r="L37" s="66" t="inlineStr">
        <is>
          <t>Pricing Tool - Home Office</t>
        </is>
      </c>
      <c r="M37" s="65" t="n"/>
      <c r="N37" s="65" t="n"/>
      <c r="O37" s="65" t="n"/>
      <c r="P37" s="65" t="n"/>
      <c r="Q37" s="66" t="inlineStr">
        <is>
          <t>Fee Amount</t>
        </is>
      </c>
      <c r="R37" s="24" t="n"/>
      <c r="S37" s="71" t="inlineStr">
        <is>
          <t>Recovery %</t>
        </is>
      </c>
    </row>
    <row r="38">
      <c r="A38" s="66" t="inlineStr">
        <is>
          <t>Description</t>
        </is>
      </c>
      <c r="B38" s="34" t="n"/>
      <c r="C38" s="34" t="n"/>
      <c r="D38" s="66" t="inlineStr">
        <is>
          <t>Org./ Name</t>
        </is>
      </c>
      <c r="E38" s="34" t="n"/>
      <c r="F38" s="66" t="inlineStr">
        <is>
          <t>Hours Breakdown</t>
        </is>
      </c>
      <c r="G38" s="66" t="inlineStr">
        <is>
          <t>Fee Breakdown</t>
        </is>
      </c>
      <c r="H38" s="66" t="inlineStr">
        <is>
          <t>Budgeted Outlays</t>
        </is>
      </c>
      <c r="L38" s="72" t="inlineStr">
        <is>
          <t>Standard Fee</t>
        </is>
      </c>
      <c r="M38" s="24" t="n"/>
      <c r="N38" s="24" t="n"/>
      <c r="O38" s="24" t="n"/>
      <c r="P38" s="24" t="n"/>
      <c r="Q38" s="55">
        <f>$AB$5</f>
        <v>13756660</v>
      </c>
      <c r="R38" s="24" t="n"/>
      <c r="S38" s="55">
        <f>$AB$5</f>
        <v>13756660</v>
      </c>
    </row>
    <row r="39">
      <c r="A39" s="30" t="inlineStr">
        <is>
          <t>Home Office</t>
        </is>
      </c>
      <c r="B39" s="24" t="n"/>
      <c r="C39" s="24" t="n"/>
      <c r="D39" s="8" t="str">
        <f>C4</f>
        <v>India - R&amp;C</v>
      </c>
      <c r="F39" s="31">
        <f>V31</f>
        <v>2133</v>
      </c>
      <c r="G39" s="32">
        <f>D37-(SUM(G40:G43)+H44)</f>
        <v>4750000</v>
      </c>
      <c r="H39" s="32" t="n">
        <v>0</v>
      </c>
      <c r="L39" s="30" t="str">
        <f>"Proposed Fee (Home Office)"&amp;" - "&amp;IF(D39=0,"",D39)</f>
        <v>Proposed Fee (Home Office) - India - R&amp;C</v>
      </c>
      <c r="M39" s="24" t="n"/>
      <c r="N39" s="24" t="n"/>
      <c r="O39" s="24" t="n"/>
      <c r="P39" s="24" t="n"/>
      <c r="Q39" s="12">
        <f>G39</f>
        <v>4750000</v>
      </c>
      <c r="R39" s="73" t="n"/>
      <c r="S39" s="11">
        <f>S38*S42</f>
        <v>4750000</v>
      </c>
    </row>
    <row r="40">
      <c r="A40" s="30" t="inlineStr">
        <is>
          <t>Sub-Contractor (3rd party)</t>
        </is>
      </c>
      <c r="B40" s="24" t="n"/>
      <c r="C40" s="24" t="n"/>
      <c r="D40" s="24" t="n"/>
      <c r="E40" s="24" t="n"/>
      <c r="F40" s="31" t="n">
        <v>0</v>
      </c>
      <c r="G40" s="32" t="n">
        <v>0</v>
      </c>
      <c r="H40" s="32" t="n">
        <v>0</v>
      </c>
      <c r="L40" s="72" t="inlineStr">
        <is>
          <t>Planned Fee Adjustment (PFA)</t>
        </is>
      </c>
      <c r="M40" s="24" t="n"/>
      <c r="N40" s="24" t="n"/>
      <c r="O40" s="24" t="n"/>
      <c r="P40" s="24" t="n"/>
      <c r="Q40" s="11">
        <f>Q38-Q39</f>
        <v>9006660</v>
      </c>
      <c r="R40" s="24" t="n"/>
      <c r="S40" s="11">
        <f>S38-S39</f>
        <v>9006660</v>
      </c>
    </row>
    <row r="41">
      <c r="B41" s="24" t="n"/>
      <c r="C41" s="24" t="n"/>
      <c r="D41" s="24" t="n"/>
      <c r="E41" s="24" t="n"/>
      <c r="F41" s="31" t="n">
        <v>0</v>
      </c>
      <c r="G41" s="32" t="n">
        <v>0</v>
      </c>
      <c r="H41" s="32" t="n">
        <v>0</v>
      </c>
      <c r="L41" s="30" t="inlineStr">
        <is>
          <t>PFA %</t>
        </is>
      </c>
      <c r="M41" s="24" t="n"/>
      <c r="N41" s="24" t="n"/>
      <c r="O41" s="24" t="n"/>
      <c r="P41" s="24" t="n"/>
      <c r="Q41" s="74">
        <f>IFERROR(Q40/Q38,0)</f>
        <v>0.6547126991580805</v>
      </c>
      <c r="R41" s="24" t="n"/>
      <c r="S41" s="74">
        <f>1-S42</f>
        <v>0.6547126991580805</v>
      </c>
    </row>
    <row r="42">
      <c r="B42" s="24" t="n"/>
      <c r="C42" s="24" t="n"/>
      <c r="D42" s="24" t="n"/>
      <c r="E42" s="24" t="n"/>
      <c r="F42" s="31" t="n">
        <v>0</v>
      </c>
      <c r="G42" s="32" t="n">
        <v>0</v>
      </c>
      <c r="H42" s="32" t="n">
        <v>0</v>
      </c>
      <c r="L42" s="72" t="inlineStr">
        <is>
          <t>Recovery %</t>
        </is>
      </c>
      <c r="M42" s="24" t="n"/>
      <c r="N42" s="24" t="n"/>
      <c r="O42" s="24" t="n"/>
      <c r="P42" s="24" t="n"/>
      <c r="Q42" s="75">
        <f>1-Q41</f>
        <v>0.3452873008419195</v>
      </c>
      <c r="R42" s="24" t="n"/>
      <c r="S42" s="76">
        <f>F46</f>
        <v>0.3452873008419195</v>
      </c>
    </row>
    <row r="43">
      <c r="A43" s="77" t="inlineStr">
        <is>
          <t>GST</t>
        </is>
      </c>
      <c r="B43" s="24" t="n"/>
      <c r="C43" s="24" t="n"/>
      <c r="D43" s="24" t="n"/>
      <c r="E43" s="24" t="n"/>
      <c r="F43" s="31" t="n">
        <v>0</v>
      </c>
      <c r="G43" s="32" t="n">
        <v>0</v>
      </c>
      <c r="H43" s="32" t="n">
        <v>0</v>
      </c>
    </row>
    <row r="44">
      <c r="A44" s="41" t="inlineStr">
        <is>
          <t>Total</t>
        </is>
      </c>
      <c r="B44" s="34" t="n"/>
      <c r="C44" s="34" t="n"/>
      <c r="D44" s="34" t="n"/>
      <c r="E44" s="34" t="n"/>
      <c r="F44" s="78">
        <f>SUM(F39:F43)</f>
        <v>2133</v>
      </c>
      <c r="G44" s="79">
        <f>SUM(G39:G43)</f>
        <v>4750000</v>
      </c>
      <c r="H44" s="79">
        <f>SUM(H39:H43)</f>
        <v>0</v>
      </c>
    </row>
    <row r="46">
      <c r="C46" s="80" t="inlineStr">
        <is>
          <t>Budgeted Recovery %</t>
        </is>
      </c>
      <c r="F46" s="81">
        <f>IFERROR(G39/$AB$5,0)</f>
        <v>0.3452873008419195</v>
      </c>
      <c r="G46" s="24" t="n"/>
    </row>
    <row r="47">
      <c r="L47" s="66" t="inlineStr">
        <is>
          <t>Gross Fee</t>
        </is>
      </c>
      <c r="M47" s="24" t="n"/>
      <c r="N47" s="66" t="inlineStr">
        <is>
          <t>Net Fee</t>
        </is>
      </c>
      <c r="O47" s="24" t="n"/>
      <c r="P47" s="66" t="inlineStr">
        <is>
          <t>Net CM</t>
        </is>
      </c>
      <c r="Q47" s="24" t="n"/>
      <c r="R47" s="66" t="inlineStr">
        <is>
          <t>Gross CM</t>
        </is>
      </c>
      <c r="S47" s="24" t="n"/>
    </row>
    <row r="48">
      <c r="L48" s="82" t="inlineStr">
        <is>
          <t>Fee</t>
        </is>
      </c>
      <c r="M48" s="82" t="inlineStr">
        <is>
          <t>Per/Hr</t>
        </is>
      </c>
      <c r="N48" s="82" t="inlineStr">
        <is>
          <t>Fee</t>
        </is>
      </c>
      <c r="O48" s="82" t="inlineStr">
        <is>
          <t>Per/Hr</t>
        </is>
      </c>
      <c r="P48" s="82" t="inlineStr">
        <is>
          <t xml:space="preserve"> %</t>
        </is>
      </c>
      <c r="Q48" s="77" t="n"/>
      <c r="R48" s="82" t="inlineStr">
        <is>
          <t xml:space="preserve"> %</t>
        </is>
      </c>
      <c r="S48" s="77" t="n"/>
      <c r="T48" s="82" t="inlineStr">
        <is>
          <t>Margin</t>
        </is>
      </c>
      <c r="V48" s="82" t="inlineStr">
        <is>
          <t>Staff Cost</t>
        </is>
      </c>
    </row>
    <row r="49">
      <c r="K49" s="67" t="str">
        <f>C7</f>
        <v>INR</v>
      </c>
      <c r="L49" s="11">
        <f>G44</f>
        <v>4750000</v>
      </c>
      <c r="M49" s="10">
        <f>IFERROR(L49/F44,0)</f>
        <v>2226.910454758556</v>
      </c>
      <c r="N49" s="11">
        <f>G39</f>
        <v>4750000</v>
      </c>
      <c r="O49" s="10">
        <f>IFERROR(N49/V31,0)</f>
        <v>2226.910454758556</v>
      </c>
      <c r="P49" s="83">
        <f>IFERROR((T49-(N49*5%))/N49,0)</f>
        <v>0.21459452631578949</v>
      </c>
      <c r="Q49" s="84" t="n"/>
      <c r="R49" s="83">
        <f>IFERROR((L49-V49-(G44-G39)-(N49*5%))/L49,0)</f>
        <v>0.21459452631578949</v>
      </c>
      <c r="S49" s="84" t="n"/>
      <c r="T49" s="11">
        <f>IFERROR(N49-V49,0)</f>
        <v>1256824</v>
      </c>
      <c r="V49" s="11">
        <f>IFERROR($AB$6,0)</f>
        <v>3493176</v>
      </c>
    </row>
    <row r="51">
      <c r="C51" s="85" t="n"/>
      <c r="D51" s="86" t="inlineStr">
        <is>
          <t>Data to be entered / editable</t>
        </is>
      </c>
      <c r="L51" s="87" t="inlineStr">
        <is>
          <t>Gross Contribution Margin is derived after considering direct staff cost, management fees, Sub-contractor cost and other direct cost.
Net Contribution Margin is derived after considering direct staff cost, management fees and other direct cost.</t>
        </is>
      </c>
      <c r="M51" s="22" t="n"/>
      <c r="N51" s="22" t="n"/>
      <c r="O51" s="22" t="n"/>
      <c r="P51" s="22" t="n"/>
      <c r="Q51" s="22" t="n"/>
      <c r="R51" s="22" t="n"/>
      <c r="S51" s="22" t="n"/>
    </row>
    <row r="52">
      <c r="C52" s="34" t="n"/>
      <c r="D52" s="86" t="inlineStr">
        <is>
          <t>Calculated - do not overwrite</t>
        </is>
      </c>
      <c r="L52" s="22" t="n"/>
      <c r="M52" s="22" t="n"/>
      <c r="N52" s="22" t="n"/>
      <c r="O52" s="22" t="n"/>
      <c r="P52" s="22" t="n"/>
      <c r="Q52" s="22" t="n"/>
      <c r="R52" s="22" t="n"/>
      <c r="S52" s="22" t="n"/>
    </row>
  </sheetData>
  <mergeCells count="71">
    <mergeCell ref="F11:G11"/>
    <mergeCell ref="C6:D6"/>
    <mergeCell ref="F29:G29"/>
    <mergeCell ref="F10:G10"/>
    <mergeCell ref="F16:G16"/>
    <mergeCell ref="A37:C37"/>
    <mergeCell ref="N47:O47"/>
    <mergeCell ref="F19:G19"/>
    <mergeCell ref="C5:D5"/>
    <mergeCell ref="F25:G25"/>
    <mergeCell ref="Q37:R37"/>
    <mergeCell ref="J6:J7"/>
    <mergeCell ref="P6:P7"/>
    <mergeCell ref="Q42:R42"/>
    <mergeCell ref="R6:R7"/>
    <mergeCell ref="L37:P37"/>
    <mergeCell ref="L47:M47"/>
    <mergeCell ref="V6:V7"/>
    <mergeCell ref="E37:H37"/>
    <mergeCell ref="C46:E46"/>
    <mergeCell ref="C4:D4"/>
    <mergeCell ref="Q39:R39"/>
    <mergeCell ref="F21:G21"/>
    <mergeCell ref="R49:S49"/>
    <mergeCell ref="L51:S52"/>
    <mergeCell ref="F12:G12"/>
    <mergeCell ref="F24:G24"/>
    <mergeCell ref="H6:I6"/>
    <mergeCell ref="F30:G30"/>
    <mergeCell ref="F15:G15"/>
    <mergeCell ref="F20:G20"/>
    <mergeCell ref="F18:G18"/>
    <mergeCell ref="Q38:R38"/>
    <mergeCell ref="M6:M7"/>
    <mergeCell ref="L42:P42"/>
    <mergeCell ref="P49:Q49"/>
    <mergeCell ref="Z4:AB4"/>
    <mergeCell ref="Q6:Q7"/>
    <mergeCell ref="H36:I36"/>
    <mergeCell ref="F26:G26"/>
    <mergeCell ref="S6:S7"/>
    <mergeCell ref="F17:G17"/>
    <mergeCell ref="L39:P39"/>
    <mergeCell ref="F8:G8"/>
    <mergeCell ref="A36:G36"/>
    <mergeCell ref="L36:S36"/>
    <mergeCell ref="Q40:R40"/>
    <mergeCell ref="L38:P38"/>
    <mergeCell ref="F23:G23"/>
    <mergeCell ref="R47:S47"/>
    <mergeCell ref="F31:G31"/>
    <mergeCell ref="L6:L7"/>
    <mergeCell ref="F46:G46"/>
    <mergeCell ref="F22:G22"/>
    <mergeCell ref="F6:G7"/>
    <mergeCell ref="N6:N7"/>
    <mergeCell ref="T6:T7"/>
    <mergeCell ref="F13:G13"/>
    <mergeCell ref="F28:G28"/>
    <mergeCell ref="F27:G27"/>
    <mergeCell ref="L41:P41"/>
    <mergeCell ref="P47:Q47"/>
    <mergeCell ref="C8:D8"/>
    <mergeCell ref="F9:G9"/>
    <mergeCell ref="L40:P40"/>
    <mergeCell ref="C7:D7"/>
    <mergeCell ref="K6:K7"/>
    <mergeCell ref="F14:G14"/>
    <mergeCell ref="Q41:R41"/>
    <mergeCell ref="O6:O7"/>
    <mergeCell ref="U6:U7"/>
  </mergeCells>
  <hyperlinks>
    <hyperlink ref="X4" ns1:id="rId1"/>
    <hyperlink ref="X6" ns1:id="rId2"/>
  </hyperlinks>
  <pageMargins left="0.75" right="0.75" top="1" bottom="1" header="0.5" footer="0.5"/>
</worksheet>
</file>

<file path=xl/worksheets/sheet10.xml><?xml version="1.0" encoding="utf-8"?>
<worksheet xmlns="http://schemas.openxmlformats.org/spreadsheetml/2006/main" xmlns:ns1="http://schemas.openxmlformats.org/officeDocument/2006/relationships">
  <sheetPr>
    <tabColor rgb="00E57200"/>
    <outlinePr summaryBelow="1" summaryRight="1"/>
    <pageSetUpPr/>
  </sheetPr>
  <dimension ref="A1:AB57"/>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SUMPRODUCT(J36:U36,Ratesheet!$B$23:$M$23)</f>
        <v>21105589.999999996</v>
      </c>
    </row>
    <row r="6" ht="26" customHeight="1">
      <c r="A6" s="52" t="inlineStr">
        <is>
          <t>Project Description:</t>
        </is>
      </c>
      <c r="B6" s="24" t="n"/>
      <c r="C6" s="53" t="inlineStr">
        <is>
          <t>Agentic AI for Audit Functions</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SUMPRODUCT(J36:U36,Ratesheet!$B$24:$M$24)</f>
        <v>5428344</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IFERROR(AB5/V36,0)</f>
        <v>6662.118055555555</v>
      </c>
    </row>
    <row r="8">
      <c r="A8" s="52" t="inlineStr">
        <is>
          <t>Project Type:</t>
        </is>
      </c>
      <c r="B8" s="24" t="n"/>
      <c r="C8" s="53" t="inlineStr">
        <is>
          <t>Fixed Fee (Incl. Outlays)</t>
        </is>
      </c>
      <c r="D8" s="24" t="n"/>
      <c r="F8" s="30" t="inlineStr">
        <is>
          <t>Requirement Gathering &amp; Agentic Use-Case Definition</t>
        </is>
      </c>
      <c r="G8" s="24" t="n"/>
      <c r="H8" s="58" t="inlineStr">
        <is>
          <t>India</t>
        </is>
      </c>
      <c r="I8" s="58" t="inlineStr">
        <is>
          <t>R&amp;C</t>
        </is>
      </c>
      <c r="J8" s="59" t="n">
        <v>2</v>
      </c>
      <c r="K8" s="59" t="n"/>
      <c r="L8" s="59" t="n">
        <v>12</v>
      </c>
      <c r="M8" s="59" t="n">
        <v>12</v>
      </c>
      <c r="N8" s="59" t="n"/>
      <c r="O8" s="59" t="n"/>
      <c r="P8" s="59" t="n">
        <v>16</v>
      </c>
      <c r="Q8" s="59" t="n">
        <v>16</v>
      </c>
      <c r="R8" s="59" t="n">
        <v>20</v>
      </c>
      <c r="S8" s="59" t="n">
        <v>20</v>
      </c>
      <c r="T8" s="59" t="n"/>
      <c r="U8" s="59" t="n"/>
      <c r="V8" s="60">
        <f>SUM(J8:U8)</f>
        <v>98</v>
      </c>
      <c r="Z8" s="30" t="inlineStr">
        <is>
          <t>Blended cost / hr</t>
        </is>
      </c>
      <c r="AA8" s="24" t="n"/>
      <c r="AB8" s="10">
        <f>IFERROR(AB6/V36,0)</f>
        <v>1713.4924242424242</v>
      </c>
    </row>
    <row r="9">
      <c r="F9" s="30" t="inlineStr">
        <is>
          <t>Agentic Architecture, Design &amp; Planning</t>
        </is>
      </c>
      <c r="G9" s="24" t="n"/>
      <c r="H9" s="58" t="inlineStr">
        <is>
          <t>India</t>
        </is>
      </c>
      <c r="I9" s="58" t="inlineStr">
        <is>
          <t>R&amp;C</t>
        </is>
      </c>
      <c r="J9" s="59" t="n">
        <v>2</v>
      </c>
      <c r="K9" s="59" t="n"/>
      <c r="L9" s="59" t="n">
        <v>16</v>
      </c>
      <c r="M9" s="59" t="n">
        <v>16</v>
      </c>
      <c r="N9" s="59" t="n"/>
      <c r="O9" s="59" t="n"/>
      <c r="P9" s="59" t="n">
        <v>20</v>
      </c>
      <c r="Q9" s="59" t="n">
        <v>20</v>
      </c>
      <c r="R9" s="59" t="n">
        <v>20</v>
      </c>
      <c r="S9" s="59" t="n">
        <v>20</v>
      </c>
      <c r="T9" s="59" t="n"/>
      <c r="U9" s="59" t="n"/>
      <c r="V9" s="60">
        <f>SUM(J9:U9)</f>
        <v>114</v>
      </c>
    </row>
    <row r="10">
      <c r="F10" s="30" t="inlineStr">
        <is>
          <t>In-Perimeter LLM Hosting, GPU Sizing &amp; Model Selection</t>
        </is>
      </c>
      <c r="G10" s="24" t="n"/>
      <c r="H10" s="58" t="inlineStr">
        <is>
          <t>India</t>
        </is>
      </c>
      <c r="I10" s="58" t="inlineStr">
        <is>
          <t>R&amp;C</t>
        </is>
      </c>
      <c r="J10" s="59" t="n"/>
      <c r="K10" s="59" t="n"/>
      <c r="L10" s="59" t="n">
        <v>6</v>
      </c>
      <c r="M10" s="59" t="n">
        <v>12</v>
      </c>
      <c r="N10" s="59" t="n"/>
      <c r="O10" s="59" t="n"/>
      <c r="P10" s="59" t="n">
        <v>24</v>
      </c>
      <c r="Q10" s="59" t="n">
        <v>28</v>
      </c>
      <c r="R10" s="59" t="n">
        <v>36</v>
      </c>
      <c r="S10" s="59" t="n">
        <v>36</v>
      </c>
      <c r="T10" s="59" t="n"/>
      <c r="U10" s="59" t="n"/>
      <c r="V10" s="60">
        <f>SUM(J10:U10)</f>
        <v>142</v>
      </c>
    </row>
    <row r="11">
      <c r="F11" s="30" t="inlineStr">
        <is>
          <t>Agent Orchestration Framework &amp; Task Planner</t>
        </is>
      </c>
      <c r="G11" s="24" t="n"/>
      <c r="H11" s="58" t="inlineStr">
        <is>
          <t>India</t>
        </is>
      </c>
      <c r="I11" s="58" t="inlineStr">
        <is>
          <t>R&amp;C</t>
        </is>
      </c>
      <c r="J11" s="59" t="n"/>
      <c r="K11" s="59" t="n"/>
      <c r="L11" s="59" t="n">
        <v>6</v>
      </c>
      <c r="M11" s="59" t="n">
        <v>16</v>
      </c>
      <c r="N11" s="59" t="n"/>
      <c r="O11" s="59" t="n"/>
      <c r="P11" s="59" t="n">
        <v>28</v>
      </c>
      <c r="Q11" s="59" t="n">
        <v>36</v>
      </c>
      <c r="R11" s="59" t="n">
        <v>52</v>
      </c>
      <c r="S11" s="59" t="n">
        <v>52</v>
      </c>
      <c r="T11" s="59" t="n"/>
      <c r="U11" s="59" t="n"/>
      <c r="V11" s="60">
        <f>SUM(J11:U11)</f>
        <v>190</v>
      </c>
    </row>
    <row r="12">
      <c r="F12" s="30" t="inlineStr">
        <is>
          <t>Tool / Function Layer (data, test, evidence connectors)</t>
        </is>
      </c>
      <c r="G12" s="24" t="n"/>
      <c r="H12" s="58" t="inlineStr">
        <is>
          <t>India</t>
        </is>
      </c>
      <c r="I12" s="58" t="inlineStr">
        <is>
          <t>R&amp;C</t>
        </is>
      </c>
      <c r="J12" s="59" t="n"/>
      <c r="K12" s="59" t="n"/>
      <c r="L12" s="59" t="n">
        <v>4</v>
      </c>
      <c r="M12" s="59" t="n">
        <v>12</v>
      </c>
      <c r="N12" s="59" t="n"/>
      <c r="O12" s="59" t="n"/>
      <c r="P12" s="59" t="n">
        <v>24</v>
      </c>
      <c r="Q12" s="59" t="n">
        <v>32</v>
      </c>
      <c r="R12" s="59" t="n">
        <v>48</v>
      </c>
      <c r="S12" s="59" t="n">
        <v>48</v>
      </c>
      <c r="T12" s="59" t="n"/>
      <c r="U12" s="59" t="n"/>
      <c r="V12" s="60">
        <f>SUM(J12:U12)</f>
        <v>168</v>
      </c>
    </row>
    <row r="13">
      <c r="F13" s="30" t="inlineStr">
        <is>
          <t>Contextual Reasoning &amp; Audit Knowledge Grounding</t>
        </is>
      </c>
      <c r="G13" s="24" t="n"/>
      <c r="H13" s="58" t="inlineStr">
        <is>
          <t>India</t>
        </is>
      </c>
      <c r="I13" s="58" t="inlineStr">
        <is>
          <t>R&amp;C</t>
        </is>
      </c>
      <c r="J13" s="59" t="n"/>
      <c r="K13" s="59" t="n"/>
      <c r="L13" s="59" t="n">
        <v>4</v>
      </c>
      <c r="M13" s="59" t="n">
        <v>12</v>
      </c>
      <c r="N13" s="59" t="n"/>
      <c r="O13" s="59" t="n"/>
      <c r="P13" s="59" t="n">
        <v>20</v>
      </c>
      <c r="Q13" s="59" t="n">
        <v>28</v>
      </c>
      <c r="R13" s="59" t="n">
        <v>40</v>
      </c>
      <c r="S13" s="59" t="n">
        <v>40</v>
      </c>
      <c r="T13" s="59" t="n"/>
      <c r="U13" s="59" t="n"/>
      <c r="V13" s="60">
        <f>SUM(J13:U13)</f>
        <v>144</v>
      </c>
    </row>
    <row r="14">
      <c r="F14" s="30" t="inlineStr">
        <is>
          <t>AI-Driven Audit Planning &amp; Scoping Agent</t>
        </is>
      </c>
      <c r="G14" s="24" t="n"/>
      <c r="H14" s="58" t="inlineStr">
        <is>
          <t>India</t>
        </is>
      </c>
      <c r="I14" s="58" t="inlineStr">
        <is>
          <t>R&amp;C</t>
        </is>
      </c>
      <c r="J14" s="59" t="n"/>
      <c r="K14" s="59" t="n"/>
      <c r="L14" s="59" t="n">
        <v>2</v>
      </c>
      <c r="M14" s="59" t="n">
        <v>8</v>
      </c>
      <c r="N14" s="59" t="n"/>
      <c r="O14" s="59" t="n"/>
      <c r="P14" s="59" t="n">
        <v>16</v>
      </c>
      <c r="Q14" s="59" t="n">
        <v>20</v>
      </c>
      <c r="R14" s="59" t="n">
        <v>32</v>
      </c>
      <c r="S14" s="59" t="n">
        <v>32</v>
      </c>
      <c r="T14" s="59" t="n"/>
      <c r="U14" s="59" t="n"/>
      <c r="V14" s="60">
        <f>SUM(J14:U14)</f>
        <v>110</v>
      </c>
    </row>
    <row r="15">
      <c r="F15" s="30" t="inlineStr">
        <is>
          <t>AI-Generated Checklist &amp; Test Procedure Agent</t>
        </is>
      </c>
      <c r="G15" s="24" t="n"/>
      <c r="H15" s="58" t="inlineStr">
        <is>
          <t>India</t>
        </is>
      </c>
      <c r="I15" s="58" t="inlineStr">
        <is>
          <t>R&amp;C</t>
        </is>
      </c>
      <c r="J15" s="59" t="n"/>
      <c r="K15" s="59" t="n"/>
      <c r="L15" s="59" t="n">
        <v>2</v>
      </c>
      <c r="M15" s="59" t="n">
        <v>8</v>
      </c>
      <c r="N15" s="59" t="n"/>
      <c r="O15" s="59" t="n"/>
      <c r="P15" s="59" t="n">
        <v>16</v>
      </c>
      <c r="Q15" s="59" t="n">
        <v>20</v>
      </c>
      <c r="R15" s="59" t="n">
        <v>28</v>
      </c>
      <c r="S15" s="59" t="n">
        <v>28</v>
      </c>
      <c r="T15" s="59" t="n"/>
      <c r="U15" s="59" t="n"/>
      <c r="V15" s="60">
        <f>SUM(J15:U15)</f>
        <v>102</v>
      </c>
    </row>
    <row r="16">
      <c r="F16" s="30" t="inlineStr">
        <is>
          <t>Agentic Data Analytics &amp; Automated Testing Agent</t>
        </is>
      </c>
      <c r="G16" s="24" t="n"/>
      <c r="H16" s="58" t="inlineStr">
        <is>
          <t>India</t>
        </is>
      </c>
      <c r="I16" s="58" t="inlineStr">
        <is>
          <t>R&amp;C</t>
        </is>
      </c>
      <c r="J16" s="59" t="n"/>
      <c r="K16" s="59" t="n"/>
      <c r="L16" s="59" t="n">
        <v>4</v>
      </c>
      <c r="M16" s="59" t="n">
        <v>12</v>
      </c>
      <c r="N16" s="59" t="n"/>
      <c r="O16" s="59" t="n"/>
      <c r="P16" s="59" t="n">
        <v>24</v>
      </c>
      <c r="Q16" s="59" t="n">
        <v>28</v>
      </c>
      <c r="R16" s="59" t="n">
        <v>40</v>
      </c>
      <c r="S16" s="59" t="n">
        <v>40</v>
      </c>
      <c r="T16" s="59" t="n"/>
      <c r="U16" s="59" t="n"/>
      <c r="V16" s="60">
        <f>SUM(J16:U16)</f>
        <v>148</v>
      </c>
    </row>
    <row r="17">
      <c r="F17" s="30" t="inlineStr">
        <is>
          <t>Autonomous Exception Identification &amp; Severity Agent</t>
        </is>
      </c>
      <c r="G17" s="24" t="n"/>
      <c r="H17" s="58" t="inlineStr">
        <is>
          <t>India</t>
        </is>
      </c>
      <c r="I17" s="58" t="inlineStr">
        <is>
          <t>R&amp;C</t>
        </is>
      </c>
      <c r="J17" s="59" t="n"/>
      <c r="K17" s="59" t="n"/>
      <c r="L17" s="59" t="n">
        <v>2</v>
      </c>
      <c r="M17" s="59" t="n">
        <v>8</v>
      </c>
      <c r="N17" s="59" t="n"/>
      <c r="O17" s="59" t="n"/>
      <c r="P17" s="59" t="n">
        <v>16</v>
      </c>
      <c r="Q17" s="59" t="n">
        <v>20</v>
      </c>
      <c r="R17" s="59" t="n">
        <v>32</v>
      </c>
      <c r="S17" s="59" t="n">
        <v>32</v>
      </c>
      <c r="T17" s="59" t="n"/>
      <c r="U17" s="59" t="n"/>
      <c r="V17" s="60">
        <f>SUM(J17:U17)</f>
        <v>110</v>
      </c>
    </row>
    <row r="18">
      <c r="F18" s="30" t="inlineStr">
        <is>
          <t>Intelligent Sampling Agent</t>
        </is>
      </c>
      <c r="G18" s="24" t="n"/>
      <c r="H18" s="58" t="inlineStr">
        <is>
          <t>India</t>
        </is>
      </c>
      <c r="I18" s="58" t="inlineStr">
        <is>
          <t>R&amp;C</t>
        </is>
      </c>
      <c r="J18" s="59" t="n"/>
      <c r="K18" s="59" t="n"/>
      <c r="L18" s="59" t="n"/>
      <c r="M18" s="59" t="n">
        <v>6</v>
      </c>
      <c r="N18" s="59" t="n"/>
      <c r="O18" s="59" t="n"/>
      <c r="P18" s="59" t="n">
        <v>12</v>
      </c>
      <c r="Q18" s="59" t="n">
        <v>16</v>
      </c>
      <c r="R18" s="59" t="n">
        <v>24</v>
      </c>
      <c r="S18" s="59" t="n">
        <v>24</v>
      </c>
      <c r="T18" s="59" t="n"/>
      <c r="U18" s="59" t="n"/>
      <c r="V18" s="60">
        <f>SUM(J18:U18)</f>
        <v>82</v>
      </c>
    </row>
    <row r="19">
      <c r="F19" s="30" t="inlineStr">
        <is>
          <t>Audit Workpaper Generation Agent</t>
        </is>
      </c>
      <c r="G19" s="24" t="n"/>
      <c r="H19" s="58" t="inlineStr">
        <is>
          <t>India</t>
        </is>
      </c>
      <c r="I19" s="58" t="inlineStr">
        <is>
          <t>R&amp;C</t>
        </is>
      </c>
      <c r="J19" s="59" t="n"/>
      <c r="K19" s="59" t="n"/>
      <c r="L19" s="59" t="n">
        <v>2</v>
      </c>
      <c r="M19" s="59" t="n">
        <v>8</v>
      </c>
      <c r="N19" s="59" t="n"/>
      <c r="O19" s="59" t="n"/>
      <c r="P19" s="59" t="n">
        <v>16</v>
      </c>
      <c r="Q19" s="59" t="n">
        <v>20</v>
      </c>
      <c r="R19" s="59" t="n">
        <v>32</v>
      </c>
      <c r="S19" s="59" t="n">
        <v>32</v>
      </c>
      <c r="T19" s="59" t="n"/>
      <c r="U19" s="59" t="n"/>
      <c r="V19" s="60">
        <f>SUM(J19:U19)</f>
        <v>110</v>
      </c>
    </row>
    <row r="20">
      <c r="F20" s="30" t="inlineStr">
        <is>
          <t>Autonomous Query Management Agent</t>
        </is>
      </c>
      <c r="G20" s="24" t="n"/>
      <c r="H20" s="58" t="inlineStr">
        <is>
          <t>India</t>
        </is>
      </c>
      <c r="I20" s="58" t="inlineStr">
        <is>
          <t>R&amp;C</t>
        </is>
      </c>
      <c r="J20" s="59" t="n"/>
      <c r="K20" s="59" t="n"/>
      <c r="L20" s="59" t="n"/>
      <c r="M20" s="59" t="n">
        <v>6</v>
      </c>
      <c r="N20" s="59" t="n"/>
      <c r="O20" s="59" t="n"/>
      <c r="P20" s="59" t="n">
        <v>16</v>
      </c>
      <c r="Q20" s="59" t="n">
        <v>20</v>
      </c>
      <c r="R20" s="59" t="n">
        <v>28</v>
      </c>
      <c r="S20" s="59" t="n">
        <v>28</v>
      </c>
      <c r="T20" s="59" t="n"/>
      <c r="U20" s="59" t="n"/>
      <c r="V20" s="60">
        <f>SUM(J20:U20)</f>
        <v>98</v>
      </c>
    </row>
    <row r="21">
      <c r="F21" s="30" t="inlineStr">
        <is>
          <t>GenAI Report &amp; Narrative Generation (4 summary levels)</t>
        </is>
      </c>
      <c r="G21" s="24" t="n"/>
      <c r="H21" s="58" t="inlineStr">
        <is>
          <t>India</t>
        </is>
      </c>
      <c r="I21" s="58" t="inlineStr">
        <is>
          <t>R&amp;C</t>
        </is>
      </c>
      <c r="J21" s="59" t="n"/>
      <c r="K21" s="59" t="n"/>
      <c r="L21" s="59" t="n">
        <v>4</v>
      </c>
      <c r="M21" s="59" t="n">
        <v>10</v>
      </c>
      <c r="N21" s="59" t="n"/>
      <c r="O21" s="59" t="n"/>
      <c r="P21" s="59" t="n">
        <v>20</v>
      </c>
      <c r="Q21" s="59" t="n">
        <v>24</v>
      </c>
      <c r="R21" s="59" t="n">
        <v>36</v>
      </c>
      <c r="S21" s="59" t="n">
        <v>36</v>
      </c>
      <c r="T21" s="59" t="n"/>
      <c r="U21" s="59" t="n"/>
      <c r="V21" s="60">
        <f>SUM(J21:U21)</f>
        <v>130</v>
      </c>
    </row>
    <row r="22">
      <c r="F22" s="30" t="inlineStr">
        <is>
          <t>Explainability, Reasoning Chains &amp; Immutable Logging</t>
        </is>
      </c>
      <c r="G22" s="24" t="n"/>
      <c r="H22" s="58" t="inlineStr">
        <is>
          <t>India</t>
        </is>
      </c>
      <c r="I22" s="58" t="inlineStr">
        <is>
          <t>R&amp;C</t>
        </is>
      </c>
      <c r="J22" s="59" t="n"/>
      <c r="K22" s="59" t="n"/>
      <c r="L22" s="59" t="n">
        <v>4</v>
      </c>
      <c r="M22" s="59" t="n">
        <v>10</v>
      </c>
      <c r="N22" s="59" t="n"/>
      <c r="O22" s="59" t="n"/>
      <c r="P22" s="59" t="n">
        <v>20</v>
      </c>
      <c r="Q22" s="59" t="n">
        <v>24</v>
      </c>
      <c r="R22" s="59" t="n">
        <v>32</v>
      </c>
      <c r="S22" s="59" t="n">
        <v>32</v>
      </c>
      <c r="T22" s="59" t="n"/>
      <c r="U22" s="59" t="n"/>
      <c r="V22" s="60">
        <f>SUM(J22:U22)</f>
        <v>122</v>
      </c>
    </row>
    <row r="23">
      <c r="F23" s="30" t="inlineStr">
        <is>
          <t>Human-in-the-Loop Control Plane &amp; Override Workflow</t>
        </is>
      </c>
      <c r="G23" s="24" t="n"/>
      <c r="H23" s="58" t="inlineStr">
        <is>
          <t>India</t>
        </is>
      </c>
      <c r="I23" s="58" t="inlineStr">
        <is>
          <t>R&amp;C</t>
        </is>
      </c>
      <c r="J23" s="59" t="n"/>
      <c r="K23" s="59" t="n"/>
      <c r="L23" s="59" t="n">
        <v>2</v>
      </c>
      <c r="M23" s="59" t="n">
        <v>8</v>
      </c>
      <c r="N23" s="59" t="n"/>
      <c r="O23" s="59" t="n"/>
      <c r="P23" s="59" t="n">
        <v>16</v>
      </c>
      <c r="Q23" s="59" t="n">
        <v>20</v>
      </c>
      <c r="R23" s="59" t="n">
        <v>28</v>
      </c>
      <c r="S23" s="59" t="n">
        <v>28</v>
      </c>
      <c r="T23" s="59" t="n"/>
      <c r="U23" s="59" t="n"/>
      <c r="V23" s="60">
        <f>SUM(J23:U23)</f>
        <v>102</v>
      </c>
    </row>
    <row r="24">
      <c r="F24" s="30" t="inlineStr">
        <is>
          <t>Guardrails: Prompt Injection, Data Leakage, Adversarial</t>
        </is>
      </c>
      <c r="G24" s="24" t="n"/>
      <c r="H24" s="58" t="inlineStr">
        <is>
          <t>India</t>
        </is>
      </c>
      <c r="I24" s="58" t="inlineStr">
        <is>
          <t>R&amp;C</t>
        </is>
      </c>
      <c r="J24" s="59" t="n"/>
      <c r="K24" s="59" t="n"/>
      <c r="L24" s="59" t="n">
        <v>4</v>
      </c>
      <c r="M24" s="59" t="n">
        <v>12</v>
      </c>
      <c r="N24" s="59" t="n"/>
      <c r="O24" s="59" t="n"/>
      <c r="P24" s="59" t="n">
        <v>20</v>
      </c>
      <c r="Q24" s="59" t="n">
        <v>24</v>
      </c>
      <c r="R24" s="59" t="n">
        <v>32</v>
      </c>
      <c r="S24" s="59" t="n">
        <v>32</v>
      </c>
      <c r="T24" s="59" t="n"/>
      <c r="U24" s="59" t="n"/>
      <c r="V24" s="60">
        <f>SUM(J24:U24)</f>
        <v>124</v>
      </c>
    </row>
    <row r="25">
      <c r="F25" s="30" t="inlineStr">
        <is>
          <t>Agent / Model Registry, Versioning, Rollback &amp; Drift</t>
        </is>
      </c>
      <c r="G25" s="24" t="n"/>
      <c r="H25" s="58" t="inlineStr">
        <is>
          <t>India</t>
        </is>
      </c>
      <c r="I25" s="58" t="inlineStr">
        <is>
          <t>R&amp;C</t>
        </is>
      </c>
      <c r="J25" s="59" t="n"/>
      <c r="K25" s="59" t="n"/>
      <c r="L25" s="59" t="n">
        <v>2</v>
      </c>
      <c r="M25" s="59" t="n">
        <v>8</v>
      </c>
      <c r="N25" s="59" t="n"/>
      <c r="O25" s="59" t="n"/>
      <c r="P25" s="59" t="n">
        <v>16</v>
      </c>
      <c r="Q25" s="59" t="n">
        <v>20</v>
      </c>
      <c r="R25" s="59" t="n">
        <v>24</v>
      </c>
      <c r="S25" s="59" t="n">
        <v>24</v>
      </c>
      <c r="T25" s="59" t="n"/>
      <c r="U25" s="59" t="n"/>
      <c r="V25" s="60">
        <f>SUM(J25:U25)</f>
        <v>94</v>
      </c>
    </row>
    <row r="26">
      <c r="F26" s="30" t="inlineStr">
        <is>
          <t>API Layer &amp; Microservices Implementation</t>
        </is>
      </c>
      <c r="G26" s="24" t="n"/>
      <c r="H26" s="58" t="inlineStr">
        <is>
          <t>India</t>
        </is>
      </c>
      <c r="I26" s="58" t="inlineStr">
        <is>
          <t>R&amp;C</t>
        </is>
      </c>
      <c r="J26" s="59" t="n"/>
      <c r="K26" s="59" t="n"/>
      <c r="L26" s="59" t="n"/>
      <c r="M26" s="59" t="n">
        <v>6</v>
      </c>
      <c r="N26" s="59" t="n"/>
      <c r="O26" s="59" t="n"/>
      <c r="P26" s="59" t="n">
        <v>16</v>
      </c>
      <c r="Q26" s="59" t="n">
        <v>20</v>
      </c>
      <c r="R26" s="59" t="n">
        <v>32</v>
      </c>
      <c r="S26" s="59" t="n">
        <v>32</v>
      </c>
      <c r="T26" s="59" t="n"/>
      <c r="U26" s="59" t="n"/>
      <c r="V26" s="60">
        <f>SUM(J26:U26)</f>
        <v>106</v>
      </c>
    </row>
    <row r="27">
      <c r="F27" s="30" t="inlineStr">
        <is>
          <t>Frontend Design &amp; Agent Console / Trace Viewer</t>
        </is>
      </c>
      <c r="G27" s="24" t="n"/>
      <c r="H27" s="58" t="inlineStr">
        <is>
          <t>India</t>
        </is>
      </c>
      <c r="I27" s="58" t="inlineStr">
        <is>
          <t>R&amp;C</t>
        </is>
      </c>
      <c r="J27" s="59" t="n"/>
      <c r="K27" s="59" t="n"/>
      <c r="L27" s="59" t="n"/>
      <c r="M27" s="59" t="n">
        <v>8</v>
      </c>
      <c r="N27" s="59" t="n"/>
      <c r="O27" s="59" t="n"/>
      <c r="P27" s="59" t="n">
        <v>20</v>
      </c>
      <c r="Q27" s="59" t="n">
        <v>28</v>
      </c>
      <c r="R27" s="59" t="n">
        <v>40</v>
      </c>
      <c r="S27" s="59" t="n">
        <v>40</v>
      </c>
      <c r="T27" s="59" t="n"/>
      <c r="U27" s="59" t="n"/>
      <c r="V27" s="60">
        <f>SUM(J27:U27)</f>
        <v>136</v>
      </c>
    </row>
    <row r="28">
      <c r="F28" s="30" t="inlineStr">
        <is>
          <t>FE &amp; BE Integration</t>
        </is>
      </c>
      <c r="G28" s="24" t="n"/>
      <c r="H28" s="58" t="inlineStr">
        <is>
          <t>India</t>
        </is>
      </c>
      <c r="I28" s="58" t="inlineStr">
        <is>
          <t>R&amp;C</t>
        </is>
      </c>
      <c r="J28" s="59" t="n"/>
      <c r="K28" s="59" t="n"/>
      <c r="L28" s="59" t="n"/>
      <c r="M28" s="59" t="n">
        <v>6</v>
      </c>
      <c r="N28" s="59" t="n"/>
      <c r="O28" s="59" t="n"/>
      <c r="P28" s="59" t="n">
        <v>16</v>
      </c>
      <c r="Q28" s="59" t="n">
        <v>20</v>
      </c>
      <c r="R28" s="59" t="n">
        <v>24</v>
      </c>
      <c r="S28" s="59" t="n">
        <v>24</v>
      </c>
      <c r="T28" s="59" t="n"/>
      <c r="U28" s="59" t="n"/>
      <c r="V28" s="60">
        <f>SUM(J28:U28)</f>
        <v>90</v>
      </c>
    </row>
    <row r="29">
      <c r="F29" s="30" t="inlineStr">
        <is>
          <t>Auth, RBAC, NFR &amp; Enterprise Security Implementation</t>
        </is>
      </c>
      <c r="G29" s="24" t="n"/>
      <c r="H29" s="58" t="inlineStr">
        <is>
          <t>India</t>
        </is>
      </c>
      <c r="I29" s="58" t="inlineStr">
        <is>
          <t>R&amp;C</t>
        </is>
      </c>
      <c r="J29" s="59" t="n"/>
      <c r="K29" s="59" t="n"/>
      <c r="L29" s="59" t="n"/>
      <c r="M29" s="59" t="n">
        <v>6</v>
      </c>
      <c r="N29" s="59" t="n"/>
      <c r="O29" s="59" t="n"/>
      <c r="P29" s="59" t="n">
        <v>16</v>
      </c>
      <c r="Q29" s="59" t="n">
        <v>20</v>
      </c>
      <c r="R29" s="59" t="n">
        <v>24</v>
      </c>
      <c r="S29" s="59" t="n">
        <v>24</v>
      </c>
      <c r="T29" s="59" t="n"/>
      <c r="U29" s="59" t="n"/>
      <c r="V29" s="60">
        <f>SUM(J29:U29)</f>
        <v>90</v>
      </c>
    </row>
    <row r="30">
      <c r="F30" s="30" t="inlineStr">
        <is>
          <t>Component Testing, Red-Teaming &amp; SIT</t>
        </is>
      </c>
      <c r="G30" s="24" t="n"/>
      <c r="H30" s="58" t="inlineStr">
        <is>
          <t>India</t>
        </is>
      </c>
      <c r="I30" s="58" t="inlineStr">
        <is>
          <t>R&amp;C</t>
        </is>
      </c>
      <c r="J30" s="59" t="n"/>
      <c r="K30" s="59" t="n"/>
      <c r="L30" s="59" t="n">
        <v>4</v>
      </c>
      <c r="M30" s="59" t="n">
        <v>10</v>
      </c>
      <c r="N30" s="59" t="n"/>
      <c r="O30" s="59" t="n"/>
      <c r="P30" s="59" t="n">
        <v>20</v>
      </c>
      <c r="Q30" s="59" t="n">
        <v>28</v>
      </c>
      <c r="R30" s="59" t="n">
        <v>36</v>
      </c>
      <c r="S30" s="59" t="n">
        <v>36</v>
      </c>
      <c r="T30" s="59" t="n"/>
      <c r="U30" s="59" t="n"/>
      <c r="V30" s="60">
        <f>SUM(J30:U30)</f>
        <v>134</v>
      </c>
    </row>
    <row r="31">
      <c r="F31" s="30" t="inlineStr">
        <is>
          <t>User Acceptance Testing (incl. Bug Fixing)</t>
        </is>
      </c>
      <c r="G31" s="24" t="n"/>
      <c r="H31" s="58" t="inlineStr">
        <is>
          <t>India</t>
        </is>
      </c>
      <c r="I31" s="58" t="inlineStr">
        <is>
          <t>R&amp;C</t>
        </is>
      </c>
      <c r="J31" s="59" t="n"/>
      <c r="K31" s="59" t="n"/>
      <c r="L31" s="59" t="n">
        <v>1</v>
      </c>
      <c r="M31" s="59" t="n">
        <v>6</v>
      </c>
      <c r="N31" s="59" t="n"/>
      <c r="O31" s="59" t="n"/>
      <c r="P31" s="59" t="n">
        <v>12</v>
      </c>
      <c r="Q31" s="59" t="n">
        <v>20</v>
      </c>
      <c r="R31" s="59" t="n">
        <v>28</v>
      </c>
      <c r="S31" s="59" t="n">
        <v>28</v>
      </c>
      <c r="T31" s="59" t="n"/>
      <c r="U31" s="59" t="n"/>
      <c r="V31" s="60">
        <f>SUM(J31:U31)</f>
        <v>95</v>
      </c>
    </row>
    <row r="32">
      <c r="F32" s="30" t="inlineStr">
        <is>
          <t>Documentation (Architecture, Agent Cards, AI Governance)</t>
        </is>
      </c>
      <c r="G32" s="24" t="n"/>
      <c r="H32" s="58" t="inlineStr">
        <is>
          <t>India</t>
        </is>
      </c>
      <c r="I32" s="58" t="inlineStr">
        <is>
          <t>R&amp;C</t>
        </is>
      </c>
      <c r="J32" s="59" t="n"/>
      <c r="K32" s="59" t="n"/>
      <c r="L32" s="59" t="n"/>
      <c r="M32" s="59" t="n">
        <v>4</v>
      </c>
      <c r="N32" s="59" t="n"/>
      <c r="O32" s="59" t="n"/>
      <c r="P32" s="59" t="n">
        <v>12</v>
      </c>
      <c r="Q32" s="59" t="n">
        <v>16</v>
      </c>
      <c r="R32" s="59" t="n">
        <v>20</v>
      </c>
      <c r="S32" s="59" t="n">
        <v>20</v>
      </c>
      <c r="T32" s="59" t="n"/>
      <c r="U32" s="59" t="n"/>
      <c r="V32" s="60">
        <f>SUM(J32:U32)</f>
        <v>72</v>
      </c>
    </row>
    <row r="33">
      <c r="F33" s="30" t="inlineStr">
        <is>
          <t>PMO &amp; Programme Governance</t>
        </is>
      </c>
      <c r="G33" s="24" t="n"/>
      <c r="H33" s="58" t="inlineStr">
        <is>
          <t>India</t>
        </is>
      </c>
      <c r="I33" s="58" t="inlineStr">
        <is>
          <t>R&amp;C</t>
        </is>
      </c>
      <c r="J33" s="59" t="n"/>
      <c r="K33" s="59" t="n"/>
      <c r="L33" s="59" t="n"/>
      <c r="M33" s="59" t="n"/>
      <c r="N33" s="59" t="n">
        <v>140</v>
      </c>
      <c r="O33" s="59" t="n"/>
      <c r="P33" s="59" t="n"/>
      <c r="Q33" s="59" t="n"/>
      <c r="R33" s="59" t="n"/>
      <c r="S33" s="59" t="n"/>
      <c r="T33" s="59" t="n"/>
      <c r="U33" s="59" t="n"/>
      <c r="V33" s="60">
        <f>SUM(J33:U33)</f>
        <v>140</v>
      </c>
    </row>
    <row r="34">
      <c r="F34" s="30" t="inlineStr">
        <is>
          <t>Go-live &amp; Hypercare Support</t>
        </is>
      </c>
      <c r="G34" s="24" t="n"/>
      <c r="H34" s="58" t="inlineStr">
        <is>
          <t>India</t>
        </is>
      </c>
      <c r="I34" s="58" t="inlineStr">
        <is>
          <t>R&amp;C</t>
        </is>
      </c>
      <c r="J34" s="59" t="n"/>
      <c r="K34" s="59" t="n"/>
      <c r="L34" s="59" t="n"/>
      <c r="M34" s="59" t="n">
        <v>4</v>
      </c>
      <c r="N34" s="59" t="n"/>
      <c r="O34" s="59" t="n"/>
      <c r="P34" s="59" t="n">
        <v>12</v>
      </c>
      <c r="Q34" s="59" t="n">
        <v>16</v>
      </c>
      <c r="R34" s="59" t="n">
        <v>16</v>
      </c>
      <c r="S34" s="59" t="n">
        <v>16</v>
      </c>
      <c r="T34" s="59" t="n"/>
      <c r="U34" s="59" t="n"/>
      <c r="V34" s="60">
        <f>SUM(J34:U34)</f>
        <v>64</v>
      </c>
    </row>
    <row r="35">
      <c r="F35" s="30" t="inlineStr">
        <is>
          <t>Handover &amp; Knowledge Transfer</t>
        </is>
      </c>
      <c r="G35" s="24" t="n"/>
      <c r="H35" s="58" t="inlineStr">
        <is>
          <t>India</t>
        </is>
      </c>
      <c r="I35" s="58" t="inlineStr">
        <is>
          <t>R&amp;C</t>
        </is>
      </c>
      <c r="J35" s="59" t="n">
        <v>1</v>
      </c>
      <c r="K35" s="59" t="n"/>
      <c r="L35" s="59" t="n">
        <v>4</v>
      </c>
      <c r="M35" s="59" t="n">
        <v>4</v>
      </c>
      <c r="N35" s="59" t="n"/>
      <c r="O35" s="59" t="n"/>
      <c r="P35" s="59" t="n">
        <v>8</v>
      </c>
      <c r="Q35" s="59" t="n">
        <v>12</v>
      </c>
      <c r="R35" s="59" t="n">
        <v>12</v>
      </c>
      <c r="S35" s="59" t="n">
        <v>12</v>
      </c>
      <c r="T35" s="59" t="n"/>
      <c r="U35" s="59" t="n"/>
      <c r="V35" s="60">
        <f>SUM(J35:U35)</f>
        <v>53</v>
      </c>
    </row>
    <row r="36">
      <c r="F36" s="33" t="inlineStr">
        <is>
          <t>Total</t>
        </is>
      </c>
      <c r="G36" s="24" t="n"/>
      <c r="H36" s="34" t="n"/>
      <c r="I36" s="34" t="n"/>
      <c r="J36" s="61">
        <f>SUM(J8:J35)</f>
        <v>5</v>
      </c>
      <c r="K36" s="61">
        <f>SUM(K8:K35)</f>
        <v>0</v>
      </c>
      <c r="L36" s="61">
        <f>SUM(L8:L35)</f>
        <v>85</v>
      </c>
      <c r="M36" s="61">
        <f>SUM(M8:M35)</f>
        <v>238</v>
      </c>
      <c r="N36" s="61">
        <f>SUM(N8:N35)</f>
        <v>140</v>
      </c>
      <c r="O36" s="61">
        <f>SUM(O8:O35)</f>
        <v>0</v>
      </c>
      <c r="P36" s="61">
        <f>SUM(P8:P35)</f>
        <v>472</v>
      </c>
      <c r="Q36" s="61">
        <f>SUM(Q8:Q35)</f>
        <v>596</v>
      </c>
      <c r="R36" s="61">
        <f>SUM(R8:R35)</f>
        <v>816</v>
      </c>
      <c r="S36" s="61">
        <f>SUM(S8:S35)</f>
        <v>816</v>
      </c>
      <c r="T36" s="61">
        <f>SUM(T8:T35)</f>
        <v>0</v>
      </c>
      <c r="U36" s="61">
        <f>SUM(U8:U35)</f>
        <v>0</v>
      </c>
      <c r="V36" s="62">
        <f>SUM(V8:V35)</f>
        <v>3168</v>
      </c>
    </row>
    <row r="38">
      <c r="H38" s="63" t="inlineStr">
        <is>
          <t>Project Mix</t>
        </is>
      </c>
      <c r="J38" s="64">
        <f>IFERROR(J36/$V$36,0)</f>
        <v>0.0015782828282828283</v>
      </c>
      <c r="K38" s="64">
        <f>IFERROR(K36/$V$36,0)</f>
        <v>0</v>
      </c>
      <c r="L38" s="64">
        <f>IFERROR(L36/$V$36,0)</f>
        <v>0.02683080808080808</v>
      </c>
      <c r="M38" s="64">
        <f>IFERROR(M36/$V$36,0)</f>
        <v>0.07512626262626262</v>
      </c>
      <c r="N38" s="64">
        <f>IFERROR(N36/$V$36,0)</f>
        <v>0.04419191919191919</v>
      </c>
      <c r="O38" s="64">
        <f>IFERROR(O36/$V$36,0)</f>
        <v>0</v>
      </c>
      <c r="P38" s="64">
        <f>IFERROR(P36/$V$36,0)</f>
        <v>0.14898989898989898</v>
      </c>
      <c r="Q38" s="64">
        <f>IFERROR(Q36/$V$36,0)</f>
        <v>0.18813131313131312</v>
      </c>
      <c r="R38" s="64">
        <f>IFERROR(R36/$V$36,0)</f>
        <v>0.25757575757575757</v>
      </c>
      <c r="S38" s="64">
        <f>IFERROR(S36/$V$36,0)</f>
        <v>0.25757575757575757</v>
      </c>
      <c r="T38" s="64">
        <f>IFERROR(T36/$V$36,0)</f>
        <v>0</v>
      </c>
      <c r="U38" s="64">
        <f>IFERROR(U36/$V$36,0)</f>
        <v>0</v>
      </c>
    </row>
    <row r="41">
      <c r="A41" s="33" t="inlineStr">
        <is>
          <t>F E E    B R E A K  D O W N</t>
        </is>
      </c>
      <c r="B41" s="65" t="n"/>
      <c r="C41" s="65" t="n"/>
      <c r="D41" s="65" t="n"/>
      <c r="E41" s="65" t="n"/>
      <c r="F41" s="65" t="n"/>
      <c r="G41" s="65" t="n"/>
      <c r="H41" s="66" t="str">
        <f>" All Values in ( "&amp;C7&amp;" )"</f>
        <v> All Values in ( INR )</v>
      </c>
      <c r="I41" s="24" t="n"/>
      <c r="L41" s="67" t="inlineStr">
        <is>
          <t>What if analysis - FYI Only</t>
        </is>
      </c>
      <c r="M41" s="22" t="n"/>
      <c r="N41" s="22" t="n"/>
      <c r="O41" s="22" t="n"/>
      <c r="P41" s="22" t="n"/>
      <c r="Q41" s="22" t="n"/>
      <c r="R41" s="22" t="n"/>
      <c r="S41" s="22" t="n"/>
    </row>
    <row r="42">
      <c r="A42" s="68" t="inlineStr">
        <is>
          <t>Total Engagement Value</t>
        </is>
      </c>
      <c r="B42" s="24" t="n"/>
      <c r="C42" s="24" t="n"/>
      <c r="D42" s="69" t="n">
        <v>8750000</v>
      </c>
      <c r="E42" s="70" t="inlineStr">
        <is>
          <t>Expenses Budgeting</t>
        </is>
      </c>
      <c r="F42" s="24" t="n"/>
      <c r="G42" s="24" t="n"/>
      <c r="H42" s="24" t="n"/>
      <c r="L42" s="66" t="inlineStr">
        <is>
          <t>Pricing Tool - Home Office</t>
        </is>
      </c>
      <c r="M42" s="65" t="n"/>
      <c r="N42" s="65" t="n"/>
      <c r="O42" s="65" t="n"/>
      <c r="P42" s="65" t="n"/>
      <c r="Q42" s="66" t="inlineStr">
        <is>
          <t>Fee Amount</t>
        </is>
      </c>
      <c r="R42" s="24" t="n"/>
      <c r="S42" s="71" t="inlineStr">
        <is>
          <t>Recovery %</t>
        </is>
      </c>
    </row>
    <row r="43">
      <c r="A43" s="66" t="inlineStr">
        <is>
          <t>Description</t>
        </is>
      </c>
      <c r="B43" s="34" t="n"/>
      <c r="C43" s="34" t="n"/>
      <c r="D43" s="66" t="inlineStr">
        <is>
          <t>Org./ Name</t>
        </is>
      </c>
      <c r="E43" s="34" t="n"/>
      <c r="F43" s="66" t="inlineStr">
        <is>
          <t>Hours Breakdown</t>
        </is>
      </c>
      <c r="G43" s="66" t="inlineStr">
        <is>
          <t>Fee Breakdown</t>
        </is>
      </c>
      <c r="H43" s="66" t="inlineStr">
        <is>
          <t>Budgeted Outlays</t>
        </is>
      </c>
      <c r="L43" s="72" t="inlineStr">
        <is>
          <t>Standard Fee</t>
        </is>
      </c>
      <c r="M43" s="24" t="n"/>
      <c r="N43" s="24" t="n"/>
      <c r="O43" s="24" t="n"/>
      <c r="P43" s="24" t="n"/>
      <c r="Q43" s="55">
        <f>$AB$5</f>
        <v>21105589.999999996</v>
      </c>
      <c r="R43" s="24" t="n"/>
      <c r="S43" s="55">
        <f>$AB$5</f>
        <v>21105589.999999996</v>
      </c>
    </row>
    <row r="44">
      <c r="A44" s="30" t="inlineStr">
        <is>
          <t>Home Office</t>
        </is>
      </c>
      <c r="B44" s="24" t="n"/>
      <c r="C44" s="24" t="n"/>
      <c r="D44" s="8" t="str">
        <f>C4</f>
        <v>India - R&amp;C</v>
      </c>
      <c r="F44" s="31">
        <f>V36</f>
        <v>3168</v>
      </c>
      <c r="G44" s="32">
        <f>D42-(SUM(G45:G48)+H49)</f>
        <v>8750000</v>
      </c>
      <c r="H44" s="32" t="n">
        <v>0</v>
      </c>
      <c r="L44" s="30" t="str">
        <f>"Proposed Fee (Home Office)"&amp;" - "&amp;IF(D44=0,"",D44)</f>
        <v>Proposed Fee (Home Office) - India - R&amp;C</v>
      </c>
      <c r="M44" s="24" t="n"/>
      <c r="N44" s="24" t="n"/>
      <c r="O44" s="24" t="n"/>
      <c r="P44" s="24" t="n"/>
      <c r="Q44" s="12">
        <f>G44</f>
        <v>8750000</v>
      </c>
      <c r="R44" s="73" t="n"/>
      <c r="S44" s="11">
        <f>S43*S47</f>
        <v>8750000</v>
      </c>
    </row>
    <row r="45">
      <c r="A45" s="30" t="inlineStr">
        <is>
          <t>Sub-Contractor (3rd party)</t>
        </is>
      </c>
      <c r="B45" s="24" t="n"/>
      <c r="C45" s="24" t="n"/>
      <c r="D45" s="24" t="n"/>
      <c r="E45" s="24" t="n"/>
      <c r="F45" s="31" t="n">
        <v>0</v>
      </c>
      <c r="G45" s="32" t="n">
        <v>0</v>
      </c>
      <c r="H45" s="32" t="n">
        <v>0</v>
      </c>
      <c r="L45" s="72" t="inlineStr">
        <is>
          <t>Planned Fee Adjustment (PFA)</t>
        </is>
      </c>
      <c r="M45" s="24" t="n"/>
      <c r="N45" s="24" t="n"/>
      <c r="O45" s="24" t="n"/>
      <c r="P45" s="24" t="n"/>
      <c r="Q45" s="11">
        <f>Q43-Q44</f>
        <v>12355589.999999996</v>
      </c>
      <c r="R45" s="24" t="n"/>
      <c r="S45" s="11">
        <f>S43-S44</f>
        <v>12355589.999999996</v>
      </c>
    </row>
    <row r="46">
      <c r="B46" s="24" t="n"/>
      <c r="C46" s="24" t="n"/>
      <c r="D46" s="24" t="n"/>
      <c r="E46" s="24" t="n"/>
      <c r="F46" s="31" t="n">
        <v>0</v>
      </c>
      <c r="G46" s="32" t="n">
        <v>0</v>
      </c>
      <c r="H46" s="32" t="n">
        <v>0</v>
      </c>
      <c r="L46" s="30" t="inlineStr">
        <is>
          <t>PFA %</t>
        </is>
      </c>
      <c r="M46" s="24" t="n"/>
      <c r="N46" s="24" t="n"/>
      <c r="O46" s="24" t="n"/>
      <c r="P46" s="24" t="n"/>
      <c r="Q46" s="74">
        <f>IFERROR(Q45/Q43,0)</f>
        <v>0.5854178916580867</v>
      </c>
      <c r="R46" s="24" t="n"/>
      <c r="S46" s="74">
        <f>1-S47</f>
        <v>0.5854178916580868</v>
      </c>
    </row>
    <row r="47">
      <c r="B47" s="24" t="n"/>
      <c r="C47" s="24" t="n"/>
      <c r="D47" s="24" t="n"/>
      <c r="E47" s="24" t="n"/>
      <c r="F47" s="31" t="n">
        <v>0</v>
      </c>
      <c r="G47" s="32" t="n">
        <v>0</v>
      </c>
      <c r="H47" s="32" t="n">
        <v>0</v>
      </c>
      <c r="L47" s="72" t="inlineStr">
        <is>
          <t>Recovery %</t>
        </is>
      </c>
      <c r="M47" s="24" t="n"/>
      <c r="N47" s="24" t="n"/>
      <c r="O47" s="24" t="n"/>
      <c r="P47" s="24" t="n"/>
      <c r="Q47" s="75">
        <f>1-Q46</f>
        <v>0.4145821083419133</v>
      </c>
      <c r="R47" s="24" t="n"/>
      <c r="S47" s="76">
        <f>F51</f>
        <v>0.4145821083419133</v>
      </c>
    </row>
    <row r="48">
      <c r="A48" s="77" t="inlineStr">
        <is>
          <t>GST</t>
        </is>
      </c>
      <c r="B48" s="24" t="n"/>
      <c r="C48" s="24" t="n"/>
      <c r="D48" s="24" t="n"/>
      <c r="E48" s="24" t="n"/>
      <c r="F48" s="31" t="n">
        <v>0</v>
      </c>
      <c r="G48" s="32" t="n">
        <v>0</v>
      </c>
      <c r="H48" s="32" t="n">
        <v>0</v>
      </c>
    </row>
    <row r="49">
      <c r="A49" s="41" t="inlineStr">
        <is>
          <t>Total</t>
        </is>
      </c>
      <c r="B49" s="34" t="n"/>
      <c r="C49" s="34" t="n"/>
      <c r="D49" s="34" t="n"/>
      <c r="E49" s="34" t="n"/>
      <c r="F49" s="78">
        <f>SUM(F44:F48)</f>
        <v>3168</v>
      </c>
      <c r="G49" s="79">
        <f>SUM(G44:G48)</f>
        <v>8750000</v>
      </c>
      <c r="H49" s="79">
        <f>SUM(H44:H48)</f>
        <v>0</v>
      </c>
    </row>
    <row r="51">
      <c r="C51" s="80" t="inlineStr">
        <is>
          <t>Budgeted Recovery %</t>
        </is>
      </c>
      <c r="F51" s="81">
        <f>IFERROR(G44/$AB$5,0)</f>
        <v>0.4145821083419133</v>
      </c>
      <c r="G51" s="24" t="n"/>
    </row>
    <row r="52">
      <c r="L52" s="66" t="inlineStr">
        <is>
          <t>Gross Fee</t>
        </is>
      </c>
      <c r="M52" s="24" t="n"/>
      <c r="N52" s="66" t="inlineStr">
        <is>
          <t>Net Fee</t>
        </is>
      </c>
      <c r="O52" s="24" t="n"/>
      <c r="P52" s="66" t="inlineStr">
        <is>
          <t>Net CM</t>
        </is>
      </c>
      <c r="Q52" s="24" t="n"/>
      <c r="R52" s="66" t="inlineStr">
        <is>
          <t>Gross CM</t>
        </is>
      </c>
      <c r="S52" s="24" t="n"/>
    </row>
    <row r="53">
      <c r="L53" s="82" t="inlineStr">
        <is>
          <t>Fee</t>
        </is>
      </c>
      <c r="M53" s="82" t="inlineStr">
        <is>
          <t>Per/Hr</t>
        </is>
      </c>
      <c r="N53" s="82" t="inlineStr">
        <is>
          <t>Fee</t>
        </is>
      </c>
      <c r="O53" s="82" t="inlineStr">
        <is>
          <t>Per/Hr</t>
        </is>
      </c>
      <c r="P53" s="82" t="inlineStr">
        <is>
          <t xml:space="preserve"> %</t>
        </is>
      </c>
      <c r="Q53" s="77" t="n"/>
      <c r="R53" s="82" t="inlineStr">
        <is>
          <t xml:space="preserve"> %</t>
        </is>
      </c>
      <c r="S53" s="77" t="n"/>
      <c r="T53" s="82" t="inlineStr">
        <is>
          <t>Margin</t>
        </is>
      </c>
      <c r="V53" s="82" t="inlineStr">
        <is>
          <t>Staff Cost</t>
        </is>
      </c>
    </row>
    <row r="54">
      <c r="K54" s="67" t="str">
        <f>C7</f>
        <v>INR</v>
      </c>
      <c r="L54" s="11">
        <f>G49</f>
        <v>8750000</v>
      </c>
      <c r="M54" s="10">
        <f>IFERROR(L54/F49,0)</f>
        <v>2761.9949494949497</v>
      </c>
      <c r="N54" s="11">
        <f>G44</f>
        <v>8750000</v>
      </c>
      <c r="O54" s="10">
        <f>IFERROR(N54/V36,0)</f>
        <v>2761.9949494949497</v>
      </c>
      <c r="P54" s="83">
        <f>IFERROR((T54-(N54*5%))/N54,0)</f>
        <v>0.3296178285714286</v>
      </c>
      <c r="Q54" s="84" t="n"/>
      <c r="R54" s="83">
        <f>IFERROR((L54-V54-(G49-G44)-(N54*5%))/L54,0)</f>
        <v>0.3296178285714286</v>
      </c>
      <c r="S54" s="84" t="n"/>
      <c r="T54" s="11">
        <f>IFERROR(N54-V54,0)</f>
        <v>3321656</v>
      </c>
      <c r="V54" s="11">
        <f>IFERROR($AB$6,0)</f>
        <v>5428344</v>
      </c>
    </row>
    <row r="56">
      <c r="C56" s="85" t="n"/>
      <c r="D56" s="86" t="inlineStr">
        <is>
          <t>Data to be entered / editable</t>
        </is>
      </c>
      <c r="L56" s="87" t="inlineStr">
        <is>
          <t>Gross Contribution Margin is derived after considering direct staff cost, management fees, Sub-contractor cost and other direct cost.
Net Contribution Margin is derived after considering direct staff cost, management fees and other direct cost.</t>
        </is>
      </c>
      <c r="M56" s="22" t="n"/>
      <c r="N56" s="22" t="n"/>
      <c r="O56" s="22" t="n"/>
      <c r="P56" s="22" t="n"/>
      <c r="Q56" s="22" t="n"/>
      <c r="R56" s="22" t="n"/>
      <c r="S56" s="22" t="n"/>
    </row>
    <row r="57">
      <c r="C57" s="34" t="n"/>
      <c r="D57" s="86" t="inlineStr">
        <is>
          <t>Calculated - do not overwrite</t>
        </is>
      </c>
      <c r="L57" s="22" t="n"/>
      <c r="M57" s="22" t="n"/>
      <c r="N57" s="22" t="n"/>
      <c r="O57" s="22" t="n"/>
      <c r="P57" s="22" t="n"/>
      <c r="Q57" s="22" t="n"/>
      <c r="R57" s="22" t="n"/>
      <c r="S57" s="22" t="n"/>
    </row>
  </sheetData>
  <mergeCells count="76">
    <mergeCell ref="F11:G11"/>
    <mergeCell ref="C6:D6"/>
    <mergeCell ref="F29:G29"/>
    <mergeCell ref="F10:G10"/>
    <mergeCell ref="F16:G16"/>
    <mergeCell ref="Q43:R43"/>
    <mergeCell ref="F19:G19"/>
    <mergeCell ref="C5:D5"/>
    <mergeCell ref="F25:G25"/>
    <mergeCell ref="F34:G34"/>
    <mergeCell ref="H41:I41"/>
    <mergeCell ref="J6:J7"/>
    <mergeCell ref="P6:P7"/>
    <mergeCell ref="Q42:R42"/>
    <mergeCell ref="R6:R7"/>
    <mergeCell ref="V6:V7"/>
    <mergeCell ref="C51:E51"/>
    <mergeCell ref="L47:P47"/>
    <mergeCell ref="C4:D4"/>
    <mergeCell ref="F21:G21"/>
    <mergeCell ref="A42:C42"/>
    <mergeCell ref="L43:P43"/>
    <mergeCell ref="F12:G12"/>
    <mergeCell ref="F24:G24"/>
    <mergeCell ref="H6:I6"/>
    <mergeCell ref="F30:G30"/>
    <mergeCell ref="F15:G15"/>
    <mergeCell ref="P52:Q52"/>
    <mergeCell ref="L56:S57"/>
    <mergeCell ref="F51:G51"/>
    <mergeCell ref="F20:G20"/>
    <mergeCell ref="F18:G18"/>
    <mergeCell ref="F33:G33"/>
    <mergeCell ref="M6:M7"/>
    <mergeCell ref="L42:P42"/>
    <mergeCell ref="F36:G36"/>
    <mergeCell ref="Z4:AB4"/>
    <mergeCell ref="Q6:Q7"/>
    <mergeCell ref="F32:G32"/>
    <mergeCell ref="F26:G26"/>
    <mergeCell ref="S6:S7"/>
    <mergeCell ref="F17:G17"/>
    <mergeCell ref="F35:G35"/>
    <mergeCell ref="E42:H42"/>
    <mergeCell ref="F8:G8"/>
    <mergeCell ref="L45:P45"/>
    <mergeCell ref="N52:O52"/>
    <mergeCell ref="F23:G23"/>
    <mergeCell ref="R54:S54"/>
    <mergeCell ref="F31:G31"/>
    <mergeCell ref="L6:L7"/>
    <mergeCell ref="Q44:R44"/>
    <mergeCell ref="F22:G22"/>
    <mergeCell ref="F6:G7"/>
    <mergeCell ref="N6:N7"/>
    <mergeCell ref="T6:T7"/>
    <mergeCell ref="F13:G13"/>
    <mergeCell ref="F28:G28"/>
    <mergeCell ref="F27:G27"/>
    <mergeCell ref="A41:G41"/>
    <mergeCell ref="L41:S41"/>
    <mergeCell ref="C8:D8"/>
    <mergeCell ref="F9:G9"/>
    <mergeCell ref="L44:P44"/>
    <mergeCell ref="Q46:R46"/>
    <mergeCell ref="L52:M52"/>
    <mergeCell ref="C7:D7"/>
    <mergeCell ref="P54:Q54"/>
    <mergeCell ref="Q45:R45"/>
    <mergeCell ref="L46:P46"/>
    <mergeCell ref="K6:K7"/>
    <mergeCell ref="F14:G14"/>
    <mergeCell ref="R52:S52"/>
    <mergeCell ref="O6:O7"/>
    <mergeCell ref="U6:U7"/>
    <mergeCell ref="Q47:R47"/>
  </mergeCells>
  <hyperlinks>
    <hyperlink ref="X4" ns1:id="rId1"/>
    <hyperlink ref="X6" ns1:id="rId2"/>
  </hyperlinks>
  <pageMargins left="0.75" right="0.75" top="1" bottom="1" header="0.5" footer="0.5"/>
</worksheet>
</file>

<file path=xl/worksheets/sheet11.xml><?xml version="1.0" encoding="utf-8"?>
<worksheet xmlns="http://schemas.openxmlformats.org/spreadsheetml/2006/main" xmlns:ns1="http://schemas.openxmlformats.org/officeDocument/2006/relationships">
  <sheetPr>
    <tabColor rgb="00E57200"/>
    <outlinePr summaryBelow="1" summaryRight="1"/>
    <pageSetUpPr/>
  </sheetPr>
  <dimension ref="A1:AB49"/>
  <sheetViews>
    <sheetView showGridLines="0" workbookViewId="0">
      <pane ySplit="7" topLeftCell="A8" activePane="bottomLeft" state="frozen"/>
      <selection pane="bottomLeft" activeCell="A1" sqref="A1"/>
    </sheetView>
  </sheetViews>
  <sheetFormatPr baseColWidth="8" defaultRowHeight="15"/>
  <cols>
    <col width="26" customWidth="1" min="1" max="1"/>
    <col width="3" customWidth="1" min="2" max="2"/>
    <col width="15" customWidth="1" min="3" max="3"/>
    <col width="15" customWidth="1" min="4" max="4"/>
    <col width="11" customWidth="1" min="5" max="5"/>
    <col width="44" customWidth="1" min="6" max="6"/>
    <col width="7" customWidth="1" min="7" max="7"/>
    <col width="9" customWidth="1" min="8" max="8"/>
    <col width="11"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13" customWidth="1" min="20" max="20"/>
    <col width="8" customWidth="1" min="21" max="21"/>
    <col width="10" customWidth="1" min="22" max="22"/>
    <col width="2" customWidth="1" min="23" max="23"/>
    <col width="13" customWidth="1" min="24" max="24"/>
    <col width="2" customWidth="1" min="25" max="25"/>
    <col width="24" customWidth="1" min="26" max="26"/>
    <col width="3" customWidth="1" min="27" max="27"/>
    <col width="16" customWidth="1" min="28" max="28"/>
  </cols>
  <sheetData>
    <row r="1">
      <c r="A1" s="50" t="inlineStr">
        <is>
          <t>Protiviti Member Firm (India)</t>
        </is>
      </c>
      <c r="V1" s="51" t="inlineStr">
        <is>
          <t>Project Template  2023  Apr.23</t>
        </is>
      </c>
    </row>
    <row r="2">
      <c r="A2" s="50" t="inlineStr">
        <is>
          <t>Project Template - Fixed Fee Inclusive Outlays</t>
        </is>
      </c>
    </row>
    <row r="4">
      <c r="A4" s="52" t="inlineStr">
        <is>
          <t>Organisation:</t>
        </is>
      </c>
      <c r="B4" s="24" t="n"/>
      <c r="C4" s="53" t="inlineStr">
        <is>
          <t>India - R&amp;C</t>
        </is>
      </c>
      <c r="D4" s="24" t="n"/>
      <c r="X4" s="3" t="inlineStr">
        <is>
          <t>&lt; Summary</t>
        </is>
      </c>
      <c r="Z4" s="46" t="inlineStr">
        <is>
          <t>RATE ENGINE  (auto)</t>
        </is>
      </c>
      <c r="AA4" s="24" t="n"/>
      <c r="AB4" s="24" t="n"/>
    </row>
    <row r="5">
      <c r="A5" s="52" t="inlineStr">
        <is>
          <t>Client Legal Name:</t>
        </is>
      </c>
      <c r="B5" s="24" t="n"/>
      <c r="C5" s="53" t="inlineStr">
        <is>
          <t>YES BANK Ltd.</t>
        </is>
      </c>
      <c r="D5" s="24" t="n"/>
      <c r="F5" s="54" t="inlineStr">
        <is>
          <t>Resource Plan (Home Office) - Budgeted Hours by Task and Resource Category</t>
        </is>
      </c>
      <c r="Z5" s="30" t="inlineStr">
        <is>
          <t>Standard Revenue (INR)</t>
        </is>
      </c>
      <c r="AA5" s="24" t="n"/>
      <c r="AB5" s="55">
        <f>SUMPRODUCT(J28:U28,Ratesheet!$B$23:$M$23)</f>
        <v>8575590</v>
      </c>
    </row>
    <row r="6" ht="26" customHeight="1">
      <c r="A6" s="52" t="inlineStr">
        <is>
          <t>Project Description:</t>
        </is>
      </c>
      <c r="B6" s="24" t="n"/>
      <c r="C6" s="53" t="inlineStr">
        <is>
          <t>ChatBot for Policies, SOPs &amp; Document Retrieval</t>
        </is>
      </c>
      <c r="D6" s="24" t="n"/>
      <c r="F6" s="7" t="inlineStr">
        <is>
          <t>Task Name</t>
        </is>
      </c>
      <c r="G6" s="24" t="n"/>
      <c r="H6" s="28" t="inlineStr">
        <is>
          <t>Business Unit</t>
        </is>
      </c>
      <c r="I6" s="24" t="n"/>
      <c r="J6" s="56" t="inlineStr">
        <is>
          <t>MD</t>
        </is>
      </c>
      <c r="K6" s="56" t="inlineStr">
        <is>
          <t>SD</t>
        </is>
      </c>
      <c r="L6" s="56" t="inlineStr">
        <is>
          <t>DIR</t>
        </is>
      </c>
      <c r="M6" s="56" t="inlineStr">
        <is>
          <t>AD</t>
        </is>
      </c>
      <c r="N6" s="56" t="inlineStr">
        <is>
          <t>SR. MGR</t>
        </is>
      </c>
      <c r="O6" s="56" t="inlineStr">
        <is>
          <t>MGR</t>
        </is>
      </c>
      <c r="P6" s="56" t="inlineStr">
        <is>
          <t>DM</t>
        </is>
      </c>
      <c r="Q6" s="56" t="inlineStr">
        <is>
          <t>SR. CONS.</t>
        </is>
      </c>
      <c r="R6" s="56" t="inlineStr">
        <is>
          <t>CON3</t>
        </is>
      </c>
      <c r="S6" s="56" t="inlineStr">
        <is>
          <t>CON2</t>
        </is>
      </c>
      <c r="T6" s="56" t="inlineStr">
        <is>
          <t>CON1</t>
        </is>
      </c>
      <c r="U6" s="56" t="inlineStr">
        <is>
          <t>ANLST.</t>
        </is>
      </c>
      <c r="V6" s="57" t="inlineStr">
        <is>
          <t>TOTAL</t>
        </is>
      </c>
      <c r="X6" s="3" t="inlineStr">
        <is>
          <t>Ratesheet</t>
        </is>
      </c>
      <c r="Z6" s="30" t="inlineStr">
        <is>
          <t>Standard Staff Cost (INR)</t>
        </is>
      </c>
      <c r="AA6" s="24" t="n"/>
      <c r="AB6" s="55">
        <f>SUMPRODUCT(J28:U28,Ratesheet!$B$24:$M$24)</f>
        <v>2198736</v>
      </c>
    </row>
    <row r="7">
      <c r="A7" s="52" t="inlineStr">
        <is>
          <t>Billing Currency:</t>
        </is>
      </c>
      <c r="B7" s="24" t="n"/>
      <c r="C7" s="53" t="inlineStr">
        <is>
          <t>INR</t>
        </is>
      </c>
      <c r="D7" s="24" t="n"/>
      <c r="F7" s="24" t="n"/>
      <c r="G7" s="24" t="n"/>
      <c r="H7" s="47" t="inlineStr">
        <is>
          <t>Country</t>
        </is>
      </c>
      <c r="I7" s="47" t="inlineStr">
        <is>
          <t>Service line</t>
        </is>
      </c>
      <c r="J7" s="24" t="n"/>
      <c r="K7" s="24" t="n"/>
      <c r="L7" s="24" t="n"/>
      <c r="M7" s="24" t="n"/>
      <c r="N7" s="24" t="n"/>
      <c r="O7" s="24" t="n"/>
      <c r="P7" s="24" t="n"/>
      <c r="Q7" s="24" t="n"/>
      <c r="R7" s="24" t="n"/>
      <c r="S7" s="24" t="n"/>
      <c r="T7" s="24" t="n"/>
      <c r="U7" s="24" t="n"/>
      <c r="V7" s="24" t="n"/>
      <c r="Z7" s="30" t="inlineStr">
        <is>
          <t>Blended chargeout / hr</t>
        </is>
      </c>
      <c r="AA7" s="24" t="n"/>
      <c r="AB7" s="10">
        <f>IFERROR(AB5/V28,0)</f>
        <v>6501.58453373768</v>
      </c>
    </row>
    <row r="8">
      <c r="A8" s="52" t="inlineStr">
        <is>
          <t>Project Type:</t>
        </is>
      </c>
      <c r="B8" s="24" t="n"/>
      <c r="C8" s="53" t="inlineStr">
        <is>
          <t>Fixed Fee (Incl. Outlays)</t>
        </is>
      </c>
      <c r="D8" s="24" t="n"/>
      <c r="F8" s="30" t="inlineStr">
        <is>
          <t>Requirement Gathering &amp; Document Corpus Study</t>
        </is>
      </c>
      <c r="G8" s="24" t="n"/>
      <c r="H8" s="58" t="inlineStr">
        <is>
          <t>India</t>
        </is>
      </c>
      <c r="I8" s="58" t="inlineStr">
        <is>
          <t>R&amp;C</t>
        </is>
      </c>
      <c r="J8" s="59" t="n">
        <v>1</v>
      </c>
      <c r="K8" s="59" t="n"/>
      <c r="L8" s="59" t="n">
        <v>6</v>
      </c>
      <c r="M8" s="59" t="n">
        <v>6</v>
      </c>
      <c r="N8" s="59" t="n"/>
      <c r="O8" s="59" t="n"/>
      <c r="P8" s="59" t="n">
        <v>12</v>
      </c>
      <c r="Q8" s="59" t="n">
        <v>12</v>
      </c>
      <c r="R8" s="59" t="n">
        <v>16</v>
      </c>
      <c r="S8" s="59" t="n">
        <v>16</v>
      </c>
      <c r="T8" s="59" t="n"/>
      <c r="U8" s="59" t="n"/>
      <c r="V8" s="60">
        <f>SUM(J8:U8)</f>
        <v>69</v>
      </c>
      <c r="Z8" s="30" t="inlineStr">
        <is>
          <t>Blended cost / hr</t>
        </is>
      </c>
      <c r="AA8" s="24" t="n"/>
      <c r="AB8" s="10">
        <f>IFERROR(AB6/V28,0)</f>
        <v>1666.9719484457923</v>
      </c>
    </row>
    <row r="9">
      <c r="F9" s="30" t="inlineStr">
        <is>
          <t>Technical Architecture, Design &amp; Planning (RAG)</t>
        </is>
      </c>
      <c r="G9" s="24" t="n"/>
      <c r="H9" s="58" t="inlineStr">
        <is>
          <t>India</t>
        </is>
      </c>
      <c r="I9" s="58" t="inlineStr">
        <is>
          <t>R&amp;C</t>
        </is>
      </c>
      <c r="J9" s="59" t="n">
        <v>1</v>
      </c>
      <c r="K9" s="59" t="n"/>
      <c r="L9" s="59" t="n">
        <v>6</v>
      </c>
      <c r="M9" s="59" t="n">
        <v>8</v>
      </c>
      <c r="N9" s="59" t="n"/>
      <c r="O9" s="59" t="n"/>
      <c r="P9" s="59" t="n">
        <v>12</v>
      </c>
      <c r="Q9" s="59" t="n">
        <v>12</v>
      </c>
      <c r="R9" s="59" t="n">
        <v>12</v>
      </c>
      <c r="S9" s="59" t="n">
        <v>12</v>
      </c>
      <c r="T9" s="59" t="n"/>
      <c r="U9" s="59" t="n"/>
      <c r="V9" s="60">
        <f>SUM(J9:U9)</f>
        <v>63</v>
      </c>
    </row>
    <row r="10">
      <c r="F10" s="30" t="inlineStr">
        <is>
          <t>Document Corpus Ingestion, Parsing &amp; Chunking</t>
        </is>
      </c>
      <c r="G10" s="24" t="n"/>
      <c r="H10" s="58" t="inlineStr">
        <is>
          <t>India</t>
        </is>
      </c>
      <c r="I10" s="58" t="inlineStr">
        <is>
          <t>R&amp;C</t>
        </is>
      </c>
      <c r="J10" s="59" t="n"/>
      <c r="K10" s="59" t="n"/>
      <c r="L10" s="59" t="n">
        <v>2</v>
      </c>
      <c r="M10" s="59" t="n">
        <v>6</v>
      </c>
      <c r="N10" s="59" t="n"/>
      <c r="O10" s="59" t="n"/>
      <c r="P10" s="59" t="n">
        <v>16</v>
      </c>
      <c r="Q10" s="59" t="n">
        <v>20</v>
      </c>
      <c r="R10" s="59" t="n">
        <v>28</v>
      </c>
      <c r="S10" s="59" t="n">
        <v>28</v>
      </c>
      <c r="T10" s="59" t="n"/>
      <c r="U10" s="59" t="n"/>
      <c r="V10" s="60">
        <f>SUM(J10:U10)</f>
        <v>100</v>
      </c>
    </row>
    <row r="11">
      <c r="F11" s="30" t="inlineStr">
        <is>
          <t>Embedding Pipeline &amp; Vector Store Setup</t>
        </is>
      </c>
      <c r="G11" s="24" t="n"/>
      <c r="H11" s="58" t="inlineStr">
        <is>
          <t>India</t>
        </is>
      </c>
      <c r="I11" s="58" t="inlineStr">
        <is>
          <t>R&amp;C</t>
        </is>
      </c>
      <c r="J11" s="59" t="n"/>
      <c r="K11" s="59" t="n"/>
      <c r="L11" s="59" t="n">
        <v>2</v>
      </c>
      <c r="M11" s="59" t="n">
        <v>6</v>
      </c>
      <c r="N11" s="59" t="n"/>
      <c r="O11" s="59" t="n"/>
      <c r="P11" s="59" t="n">
        <v>12</v>
      </c>
      <c r="Q11" s="59" t="n">
        <v>16</v>
      </c>
      <c r="R11" s="59" t="n">
        <v>24</v>
      </c>
      <c r="S11" s="59" t="n">
        <v>24</v>
      </c>
      <c r="T11" s="59" t="n"/>
      <c r="U11" s="59" t="n"/>
      <c r="V11" s="60">
        <f>SUM(J11:U11)</f>
        <v>84</v>
      </c>
    </row>
    <row r="12">
      <c r="F12" s="30" t="inlineStr">
        <is>
          <t>Retrieval, Re-ranking &amp; Answer Synthesis</t>
        </is>
      </c>
      <c r="G12" s="24" t="n"/>
      <c r="H12" s="58" t="inlineStr">
        <is>
          <t>India</t>
        </is>
      </c>
      <c r="I12" s="58" t="inlineStr">
        <is>
          <t>R&amp;C</t>
        </is>
      </c>
      <c r="J12" s="59" t="n"/>
      <c r="K12" s="59" t="n"/>
      <c r="L12" s="59" t="n">
        <v>4</v>
      </c>
      <c r="M12" s="59" t="n">
        <v>8</v>
      </c>
      <c r="N12" s="59" t="n"/>
      <c r="O12" s="59" t="n"/>
      <c r="P12" s="59" t="n">
        <v>16</v>
      </c>
      <c r="Q12" s="59" t="n">
        <v>20</v>
      </c>
      <c r="R12" s="59" t="n">
        <v>28</v>
      </c>
      <c r="S12" s="59" t="n">
        <v>28</v>
      </c>
      <c r="T12" s="59" t="n"/>
      <c r="U12" s="59" t="n"/>
      <c r="V12" s="60">
        <f>SUM(J12:U12)</f>
        <v>104</v>
      </c>
    </row>
    <row r="13">
      <c r="F13" s="30" t="inlineStr">
        <is>
          <t>Citation, Grounding &amp; Hallucination Controls</t>
        </is>
      </c>
      <c r="G13" s="24" t="n"/>
      <c r="H13" s="58" t="inlineStr">
        <is>
          <t>India</t>
        </is>
      </c>
      <c r="I13" s="58" t="inlineStr">
        <is>
          <t>R&amp;C</t>
        </is>
      </c>
      <c r="J13" s="59" t="n"/>
      <c r="K13" s="59" t="n"/>
      <c r="L13" s="59" t="n">
        <v>2</v>
      </c>
      <c r="M13" s="59" t="n">
        <v>6</v>
      </c>
      <c r="N13" s="59" t="n"/>
      <c r="O13" s="59" t="n"/>
      <c r="P13" s="59" t="n">
        <v>12</v>
      </c>
      <c r="Q13" s="59" t="n">
        <v>16</v>
      </c>
      <c r="R13" s="59" t="n">
        <v>20</v>
      </c>
      <c r="S13" s="59" t="n">
        <v>20</v>
      </c>
      <c r="T13" s="59" t="n"/>
      <c r="U13" s="59" t="n"/>
      <c r="V13" s="60">
        <f>SUM(J13:U13)</f>
        <v>76</v>
      </c>
    </row>
    <row r="14">
      <c r="F14" s="30" t="inlineStr">
        <is>
          <t>Role-Based Document ACL &amp; Secure Information Delivery</t>
        </is>
      </c>
      <c r="G14" s="24" t="n"/>
      <c r="H14" s="58" t="inlineStr">
        <is>
          <t>India</t>
        </is>
      </c>
      <c r="I14" s="58" t="inlineStr">
        <is>
          <t>R&amp;C</t>
        </is>
      </c>
      <c r="J14" s="59" t="n"/>
      <c r="K14" s="59" t="n"/>
      <c r="L14" s="59" t="n">
        <v>2</v>
      </c>
      <c r="M14" s="59" t="n">
        <v>6</v>
      </c>
      <c r="N14" s="59" t="n"/>
      <c r="O14" s="59" t="n"/>
      <c r="P14" s="59" t="n">
        <v>12</v>
      </c>
      <c r="Q14" s="59" t="n">
        <v>16</v>
      </c>
      <c r="R14" s="59" t="n">
        <v>20</v>
      </c>
      <c r="S14" s="59" t="n">
        <v>20</v>
      </c>
      <c r="T14" s="59" t="n"/>
      <c r="U14" s="59" t="n"/>
      <c r="V14" s="60">
        <f>SUM(J14:U14)</f>
        <v>76</v>
      </c>
    </row>
    <row r="15">
      <c r="F15" s="30" t="inlineStr">
        <is>
          <t>Conversational UI &amp; Chat Console</t>
        </is>
      </c>
      <c r="G15" s="24" t="n"/>
      <c r="H15" s="58" t="inlineStr">
        <is>
          <t>India</t>
        </is>
      </c>
      <c r="I15" s="58" t="inlineStr">
        <is>
          <t>R&amp;C</t>
        </is>
      </c>
      <c r="J15" s="59" t="n"/>
      <c r="K15" s="59" t="n"/>
      <c r="L15" s="59" t="n"/>
      <c r="M15" s="59" t="n">
        <v>6</v>
      </c>
      <c r="N15" s="59" t="n"/>
      <c r="O15" s="59" t="n"/>
      <c r="P15" s="59" t="n">
        <v>12</v>
      </c>
      <c r="Q15" s="59" t="n">
        <v>20</v>
      </c>
      <c r="R15" s="59" t="n">
        <v>24</v>
      </c>
      <c r="S15" s="59" t="n">
        <v>24</v>
      </c>
      <c r="T15" s="59" t="n"/>
      <c r="U15" s="59" t="n"/>
      <c r="V15" s="60">
        <f>SUM(J15:U15)</f>
        <v>86</v>
      </c>
    </row>
    <row r="16">
      <c r="F16" s="30" t="inlineStr">
        <is>
          <t>FE &amp; BE Integration</t>
        </is>
      </c>
      <c r="G16" s="24" t="n"/>
      <c r="H16" s="58" t="inlineStr">
        <is>
          <t>India</t>
        </is>
      </c>
      <c r="I16" s="58" t="inlineStr">
        <is>
          <t>R&amp;C</t>
        </is>
      </c>
      <c r="J16" s="59" t="n"/>
      <c r="K16" s="59" t="n"/>
      <c r="L16" s="59" t="n"/>
      <c r="M16" s="59" t="n">
        <v>4</v>
      </c>
      <c r="N16" s="59" t="n"/>
      <c r="O16" s="59" t="n"/>
      <c r="P16" s="59" t="n">
        <v>8</v>
      </c>
      <c r="Q16" s="59" t="n">
        <v>12</v>
      </c>
      <c r="R16" s="59" t="n">
        <v>16</v>
      </c>
      <c r="S16" s="59" t="n">
        <v>16</v>
      </c>
      <c r="T16" s="59" t="n"/>
      <c r="U16" s="59" t="n"/>
      <c r="V16" s="60">
        <f>SUM(J16:U16)</f>
        <v>56</v>
      </c>
    </row>
    <row r="17">
      <c r="F17" s="30" t="inlineStr">
        <is>
          <t>Summarisation &amp; Audit Artefact Retrieval Features</t>
        </is>
      </c>
      <c r="G17" s="24" t="n"/>
      <c r="H17" s="58" t="inlineStr">
        <is>
          <t>India</t>
        </is>
      </c>
      <c r="I17" s="58" t="inlineStr">
        <is>
          <t>R&amp;C</t>
        </is>
      </c>
      <c r="J17" s="59" t="n"/>
      <c r="K17" s="59" t="n"/>
      <c r="L17" s="59" t="n"/>
      <c r="M17" s="59" t="n">
        <v>4</v>
      </c>
      <c r="N17" s="59" t="n"/>
      <c r="O17" s="59" t="n"/>
      <c r="P17" s="59" t="n">
        <v>8</v>
      </c>
      <c r="Q17" s="59" t="n">
        <v>12</v>
      </c>
      <c r="R17" s="59" t="n">
        <v>20</v>
      </c>
      <c r="S17" s="59" t="n">
        <v>20</v>
      </c>
      <c r="T17" s="59" t="n"/>
      <c r="U17" s="59" t="n"/>
      <c r="V17" s="60">
        <f>SUM(J17:U17)</f>
        <v>64</v>
      </c>
    </row>
    <row r="18">
      <c r="F18" s="30" t="inlineStr">
        <is>
          <t>API Layer &amp; Integration with ALCM / Checklist</t>
        </is>
      </c>
      <c r="G18" s="24" t="n"/>
      <c r="H18" s="58" t="inlineStr">
        <is>
          <t>India</t>
        </is>
      </c>
      <c r="I18" s="58" t="inlineStr">
        <is>
          <t>R&amp;C</t>
        </is>
      </c>
      <c r="J18" s="59" t="n"/>
      <c r="K18" s="59" t="n"/>
      <c r="L18" s="59" t="n"/>
      <c r="M18" s="59" t="n">
        <v>4</v>
      </c>
      <c r="N18" s="59" t="n"/>
      <c r="O18" s="59" t="n"/>
      <c r="P18" s="59" t="n">
        <v>8</v>
      </c>
      <c r="Q18" s="59" t="n">
        <v>12</v>
      </c>
      <c r="R18" s="59" t="n">
        <v>16</v>
      </c>
      <c r="S18" s="59" t="n">
        <v>16</v>
      </c>
      <c r="T18" s="59" t="n"/>
      <c r="U18" s="59" t="n"/>
      <c r="V18" s="60">
        <f>SUM(J18:U18)</f>
        <v>56</v>
      </c>
    </row>
    <row r="19">
      <c r="F19" s="30" t="inlineStr">
        <is>
          <t>Guardrails, Prompt Injection Defence &amp; PII Redaction</t>
        </is>
      </c>
      <c r="G19" s="24" t="n"/>
      <c r="H19" s="58" t="inlineStr">
        <is>
          <t>India</t>
        </is>
      </c>
      <c r="I19" s="58" t="inlineStr">
        <is>
          <t>R&amp;C</t>
        </is>
      </c>
      <c r="J19" s="59" t="n"/>
      <c r="K19" s="59" t="n"/>
      <c r="L19" s="59" t="n">
        <v>2</v>
      </c>
      <c r="M19" s="59" t="n">
        <v>6</v>
      </c>
      <c r="N19" s="59" t="n"/>
      <c r="O19" s="59" t="n"/>
      <c r="P19" s="59" t="n">
        <v>12</v>
      </c>
      <c r="Q19" s="59" t="n">
        <v>16</v>
      </c>
      <c r="R19" s="59" t="n">
        <v>20</v>
      </c>
      <c r="S19" s="59" t="n">
        <v>20</v>
      </c>
      <c r="T19" s="59" t="n"/>
      <c r="U19" s="59" t="n"/>
      <c r="V19" s="60">
        <f>SUM(J19:U19)</f>
        <v>76</v>
      </c>
    </row>
    <row r="20">
      <c r="F20" s="30" t="inlineStr">
        <is>
          <t>Auth, RBAC, Audit Trail &amp; NFR Implementation</t>
        </is>
      </c>
      <c r="G20" s="24" t="n"/>
      <c r="H20" s="58" t="inlineStr">
        <is>
          <t>India</t>
        </is>
      </c>
      <c r="I20" s="58" t="inlineStr">
        <is>
          <t>R&amp;C</t>
        </is>
      </c>
      <c r="J20" s="59" t="n"/>
      <c r="K20" s="59" t="n"/>
      <c r="L20" s="59" t="n"/>
      <c r="M20" s="59" t="n">
        <v>4</v>
      </c>
      <c r="N20" s="59" t="n"/>
      <c r="O20" s="59" t="n"/>
      <c r="P20" s="59" t="n">
        <v>8</v>
      </c>
      <c r="Q20" s="59" t="n">
        <v>12</v>
      </c>
      <c r="R20" s="59" t="n">
        <v>16</v>
      </c>
      <c r="S20" s="59" t="n">
        <v>16</v>
      </c>
      <c r="T20" s="59" t="n"/>
      <c r="U20" s="59" t="n"/>
      <c r="V20" s="60">
        <f>SUM(J20:U20)</f>
        <v>56</v>
      </c>
    </row>
    <row r="21">
      <c r="F21" s="30" t="inlineStr">
        <is>
          <t>Accuracy Evaluation &amp; Response Quality Tuning</t>
        </is>
      </c>
      <c r="G21" s="24" t="n"/>
      <c r="H21" s="58" t="inlineStr">
        <is>
          <t>India</t>
        </is>
      </c>
      <c r="I21" s="58" t="inlineStr">
        <is>
          <t>R&amp;C</t>
        </is>
      </c>
      <c r="J21" s="59" t="n"/>
      <c r="K21" s="59" t="n"/>
      <c r="L21" s="59" t="n">
        <v>2</v>
      </c>
      <c r="M21" s="59" t="n">
        <v>6</v>
      </c>
      <c r="N21" s="59" t="n"/>
      <c r="O21" s="59" t="n"/>
      <c r="P21" s="59" t="n">
        <v>12</v>
      </c>
      <c r="Q21" s="59" t="n">
        <v>16</v>
      </c>
      <c r="R21" s="59" t="n">
        <v>20</v>
      </c>
      <c r="S21" s="59" t="n">
        <v>20</v>
      </c>
      <c r="T21" s="59" t="n"/>
      <c r="U21" s="59" t="n"/>
      <c r="V21" s="60">
        <f>SUM(J21:U21)</f>
        <v>76</v>
      </c>
    </row>
    <row r="22">
      <c r="F22" s="30" t="inlineStr">
        <is>
          <t>Component Testing &amp; SIT</t>
        </is>
      </c>
      <c r="G22" s="24" t="n"/>
      <c r="H22" s="58" t="inlineStr">
        <is>
          <t>India</t>
        </is>
      </c>
      <c r="I22" s="58" t="inlineStr">
        <is>
          <t>R&amp;C</t>
        </is>
      </c>
      <c r="J22" s="59" t="n"/>
      <c r="K22" s="59" t="n"/>
      <c r="L22" s="59" t="n">
        <v>1</v>
      </c>
      <c r="M22" s="59" t="n">
        <v>4</v>
      </c>
      <c r="N22" s="59" t="n"/>
      <c r="O22" s="59" t="n"/>
      <c r="P22" s="59" t="n">
        <v>8</v>
      </c>
      <c r="Q22" s="59" t="n">
        <v>16</v>
      </c>
      <c r="R22" s="59" t="n">
        <v>20</v>
      </c>
      <c r="S22" s="59" t="n">
        <v>20</v>
      </c>
      <c r="T22" s="59" t="n"/>
      <c r="U22" s="59" t="n"/>
      <c r="V22" s="60">
        <f>SUM(J22:U22)</f>
        <v>69</v>
      </c>
    </row>
    <row r="23">
      <c r="F23" s="30" t="inlineStr">
        <is>
          <t>User Acceptance Testing (incl. Bug Fixing)</t>
        </is>
      </c>
      <c r="G23" s="24" t="n"/>
      <c r="H23" s="58" t="inlineStr">
        <is>
          <t>India</t>
        </is>
      </c>
      <c r="I23" s="58" t="inlineStr">
        <is>
          <t>R&amp;C</t>
        </is>
      </c>
      <c r="J23" s="59" t="n"/>
      <c r="K23" s="59" t="n"/>
      <c r="L23" s="59" t="n">
        <v>1</v>
      </c>
      <c r="M23" s="59" t="n">
        <v>4</v>
      </c>
      <c r="N23" s="59" t="n"/>
      <c r="O23" s="59" t="n"/>
      <c r="P23" s="59" t="n">
        <v>8</v>
      </c>
      <c r="Q23" s="59" t="n">
        <v>12</v>
      </c>
      <c r="R23" s="59" t="n">
        <v>16</v>
      </c>
      <c r="S23" s="59" t="n">
        <v>16</v>
      </c>
      <c r="T23" s="59" t="n"/>
      <c r="U23" s="59" t="n"/>
      <c r="V23" s="60">
        <f>SUM(J23:U23)</f>
        <v>57</v>
      </c>
    </row>
    <row r="24">
      <c r="F24" s="30" t="inlineStr">
        <is>
          <t>Documentation (Technical, User)</t>
        </is>
      </c>
      <c r="G24" s="24" t="n"/>
      <c r="H24" s="58" t="inlineStr">
        <is>
          <t>India</t>
        </is>
      </c>
      <c r="I24" s="58" t="inlineStr">
        <is>
          <t>R&amp;C</t>
        </is>
      </c>
      <c r="J24" s="59" t="n"/>
      <c r="K24" s="59" t="n"/>
      <c r="L24" s="59" t="n"/>
      <c r="M24" s="59" t="n">
        <v>2</v>
      </c>
      <c r="N24" s="59" t="n"/>
      <c r="O24" s="59" t="n"/>
      <c r="P24" s="59" t="n">
        <v>4</v>
      </c>
      <c r="Q24" s="59" t="n">
        <v>8</v>
      </c>
      <c r="R24" s="59" t="n">
        <v>12</v>
      </c>
      <c r="S24" s="59" t="n">
        <v>12</v>
      </c>
      <c r="T24" s="59" t="n"/>
      <c r="U24" s="59" t="n"/>
      <c r="V24" s="60">
        <f>SUM(J24:U24)</f>
        <v>38</v>
      </c>
    </row>
    <row r="25">
      <c r="F25" s="30" t="inlineStr">
        <is>
          <t>PMO &amp; Programme Governance</t>
        </is>
      </c>
      <c r="G25" s="24" t="n"/>
      <c r="H25" s="58" t="inlineStr">
        <is>
          <t>India</t>
        </is>
      </c>
      <c r="I25" s="58" t="inlineStr">
        <is>
          <t>R&amp;C</t>
        </is>
      </c>
      <c r="J25" s="59" t="n"/>
      <c r="K25" s="59" t="n"/>
      <c r="L25" s="59" t="n"/>
      <c r="M25" s="59" t="n"/>
      <c r="N25" s="59" t="n">
        <v>50</v>
      </c>
      <c r="O25" s="59" t="n"/>
      <c r="P25" s="59" t="n"/>
      <c r="Q25" s="59" t="n"/>
      <c r="R25" s="59" t="n"/>
      <c r="S25" s="59" t="n"/>
      <c r="T25" s="59" t="n"/>
      <c r="U25" s="59" t="n"/>
      <c r="V25" s="60">
        <f>SUM(J25:U25)</f>
        <v>50</v>
      </c>
    </row>
    <row r="26">
      <c r="F26" s="30" t="inlineStr">
        <is>
          <t>Go-live &amp; Hypercare Support</t>
        </is>
      </c>
      <c r="G26" s="24" t="n"/>
      <c r="H26" s="58" t="inlineStr">
        <is>
          <t>India</t>
        </is>
      </c>
      <c r="I26" s="58" t="inlineStr">
        <is>
          <t>R&amp;C</t>
        </is>
      </c>
      <c r="J26" s="59" t="n"/>
      <c r="K26" s="59" t="n"/>
      <c r="L26" s="59" t="n"/>
      <c r="M26" s="59" t="n">
        <v>2</v>
      </c>
      <c r="N26" s="59" t="n"/>
      <c r="O26" s="59" t="n"/>
      <c r="P26" s="59" t="n">
        <v>4</v>
      </c>
      <c r="Q26" s="59" t="n">
        <v>8</v>
      </c>
      <c r="R26" s="59" t="n">
        <v>8</v>
      </c>
      <c r="S26" s="59" t="n">
        <v>8</v>
      </c>
      <c r="T26" s="59" t="n"/>
      <c r="U26" s="59" t="n"/>
      <c r="V26" s="60">
        <f>SUM(J26:U26)</f>
        <v>30</v>
      </c>
    </row>
    <row r="27">
      <c r="F27" s="30" t="inlineStr">
        <is>
          <t>Handover &amp; Knowledge Transfer</t>
        </is>
      </c>
      <c r="G27" s="24" t="n"/>
      <c r="H27" s="58" t="inlineStr">
        <is>
          <t>India</t>
        </is>
      </c>
      <c r="I27" s="58" t="inlineStr">
        <is>
          <t>R&amp;C</t>
        </is>
      </c>
      <c r="J27" s="59" t="n">
        <v>1</v>
      </c>
      <c r="K27" s="59" t="n"/>
      <c r="L27" s="59" t="n">
        <v>2</v>
      </c>
      <c r="M27" s="59" t="n">
        <v>2</v>
      </c>
      <c r="N27" s="59" t="n"/>
      <c r="O27" s="59" t="n"/>
      <c r="P27" s="59" t="n">
        <v>4</v>
      </c>
      <c r="Q27" s="59" t="n">
        <v>8</v>
      </c>
      <c r="R27" s="59" t="n">
        <v>8</v>
      </c>
      <c r="S27" s="59" t="n">
        <v>8</v>
      </c>
      <c r="T27" s="59" t="n"/>
      <c r="U27" s="59" t="n"/>
      <c r="V27" s="60">
        <f>SUM(J27:U27)</f>
        <v>33</v>
      </c>
    </row>
    <row r="28">
      <c r="F28" s="33" t="inlineStr">
        <is>
          <t>Total</t>
        </is>
      </c>
      <c r="G28" s="24" t="n"/>
      <c r="H28" s="34" t="n"/>
      <c r="I28" s="34" t="n"/>
      <c r="J28" s="61">
        <f>SUM(J8:J27)</f>
        <v>3</v>
      </c>
      <c r="K28" s="61">
        <f>SUM(K8:K27)</f>
        <v>0</v>
      </c>
      <c r="L28" s="61">
        <f>SUM(L8:L27)</f>
        <v>32</v>
      </c>
      <c r="M28" s="61">
        <f>SUM(M8:M27)</f>
        <v>94</v>
      </c>
      <c r="N28" s="61">
        <f>SUM(N8:N27)</f>
        <v>50</v>
      </c>
      <c r="O28" s="61">
        <f>SUM(O8:O27)</f>
        <v>0</v>
      </c>
      <c r="P28" s="61">
        <f>SUM(P8:P27)</f>
        <v>188</v>
      </c>
      <c r="Q28" s="61">
        <f>SUM(Q8:Q27)</f>
        <v>264</v>
      </c>
      <c r="R28" s="61">
        <f>SUM(R8:R27)</f>
        <v>344</v>
      </c>
      <c r="S28" s="61">
        <f>SUM(S8:S27)</f>
        <v>344</v>
      </c>
      <c r="T28" s="61">
        <f>SUM(T8:T27)</f>
        <v>0</v>
      </c>
      <c r="U28" s="61">
        <f>SUM(U8:U27)</f>
        <v>0</v>
      </c>
      <c r="V28" s="62">
        <f>SUM(V8:V27)</f>
        <v>1319</v>
      </c>
    </row>
    <row r="30">
      <c r="H30" s="63" t="inlineStr">
        <is>
          <t>Project Mix</t>
        </is>
      </c>
      <c r="J30" s="64">
        <f>IFERROR(J28/$V$28,0)</f>
        <v>0.002274450341167551</v>
      </c>
      <c r="K30" s="64">
        <f>IFERROR(K28/$V$28,0)</f>
        <v>0</v>
      </c>
      <c r="L30" s="64">
        <f>IFERROR(L28/$V$28,0)</f>
        <v>0.024260803639120546</v>
      </c>
      <c r="M30" s="64">
        <f>IFERROR(M28/$V$28,0)</f>
        <v>0.0712661106899166</v>
      </c>
      <c r="N30" s="64">
        <f>IFERROR(N28/$V$28,0)</f>
        <v>0.03790750568612585</v>
      </c>
      <c r="O30" s="64">
        <f>IFERROR(O28/$V$28,0)</f>
        <v>0</v>
      </c>
      <c r="P30" s="64">
        <f>IFERROR(P28/$V$28,0)</f>
        <v>0.1425322213798332</v>
      </c>
      <c r="Q30" s="64">
        <f>IFERROR(Q28/$V$28,0)</f>
        <v>0.2001516300227445</v>
      </c>
      <c r="R30" s="64">
        <f>IFERROR(R28/$V$28,0)</f>
        <v>0.2608036391205459</v>
      </c>
      <c r="S30" s="64">
        <f>IFERROR(S28/$V$28,0)</f>
        <v>0.2608036391205459</v>
      </c>
      <c r="T30" s="64">
        <f>IFERROR(T28/$V$28,0)</f>
        <v>0</v>
      </c>
      <c r="U30" s="64">
        <f>IFERROR(U28/$V$28,0)</f>
        <v>0</v>
      </c>
    </row>
    <row r="33">
      <c r="A33" s="33" t="inlineStr">
        <is>
          <t>F E E    B R E A K  D O W N</t>
        </is>
      </c>
      <c r="B33" s="65" t="n"/>
      <c r="C33" s="65" t="n"/>
      <c r="D33" s="65" t="n"/>
      <c r="E33" s="65" t="n"/>
      <c r="F33" s="65" t="n"/>
      <c r="G33" s="65" t="n"/>
      <c r="H33" s="66" t="str">
        <f>" All Values in ( "&amp;C7&amp;" )"</f>
        <v> All Values in ( INR )</v>
      </c>
      <c r="I33" s="24" t="n"/>
      <c r="L33" s="67" t="inlineStr">
        <is>
          <t>What if analysis - FYI Only</t>
        </is>
      </c>
      <c r="M33" s="22" t="n"/>
      <c r="N33" s="22" t="n"/>
      <c r="O33" s="22" t="n"/>
      <c r="P33" s="22" t="n"/>
      <c r="Q33" s="22" t="n"/>
      <c r="R33" s="22" t="n"/>
      <c r="S33" s="22" t="n"/>
    </row>
    <row r="34">
      <c r="A34" s="68" t="inlineStr">
        <is>
          <t>Total Engagement Value</t>
        </is>
      </c>
      <c r="B34" s="24" t="n"/>
      <c r="C34" s="24" t="n"/>
      <c r="D34" s="69" t="n">
        <v>3250000</v>
      </c>
      <c r="E34" s="70" t="inlineStr">
        <is>
          <t>Expenses Budgeting</t>
        </is>
      </c>
      <c r="F34" s="24" t="n"/>
      <c r="G34" s="24" t="n"/>
      <c r="H34" s="24" t="n"/>
      <c r="L34" s="66" t="inlineStr">
        <is>
          <t>Pricing Tool - Home Office</t>
        </is>
      </c>
      <c r="M34" s="65" t="n"/>
      <c r="N34" s="65" t="n"/>
      <c r="O34" s="65" t="n"/>
      <c r="P34" s="65" t="n"/>
      <c r="Q34" s="66" t="inlineStr">
        <is>
          <t>Fee Amount</t>
        </is>
      </c>
      <c r="R34" s="24" t="n"/>
      <c r="S34" s="71" t="inlineStr">
        <is>
          <t>Recovery %</t>
        </is>
      </c>
    </row>
    <row r="35">
      <c r="A35" s="66" t="inlineStr">
        <is>
          <t>Description</t>
        </is>
      </c>
      <c r="B35" s="34" t="n"/>
      <c r="C35" s="34" t="n"/>
      <c r="D35" s="66" t="inlineStr">
        <is>
          <t>Org./ Name</t>
        </is>
      </c>
      <c r="E35" s="34" t="n"/>
      <c r="F35" s="66" t="inlineStr">
        <is>
          <t>Hours Breakdown</t>
        </is>
      </c>
      <c r="G35" s="66" t="inlineStr">
        <is>
          <t>Fee Breakdown</t>
        </is>
      </c>
      <c r="H35" s="66" t="inlineStr">
        <is>
          <t>Budgeted Outlays</t>
        </is>
      </c>
      <c r="L35" s="72" t="inlineStr">
        <is>
          <t>Standard Fee</t>
        </is>
      </c>
      <c r="M35" s="24" t="n"/>
      <c r="N35" s="24" t="n"/>
      <c r="O35" s="24" t="n"/>
      <c r="P35" s="24" t="n"/>
      <c r="Q35" s="55">
        <f>$AB$5</f>
        <v>8575590</v>
      </c>
      <c r="R35" s="24" t="n"/>
      <c r="S35" s="55">
        <f>$AB$5</f>
        <v>8575590</v>
      </c>
    </row>
    <row r="36">
      <c r="A36" s="30" t="inlineStr">
        <is>
          <t>Home Office</t>
        </is>
      </c>
      <c r="B36" s="24" t="n"/>
      <c r="C36" s="24" t="n"/>
      <c r="D36" s="8" t="str">
        <f>C4</f>
        <v>India - R&amp;C</v>
      </c>
      <c r="F36" s="31">
        <f>V28</f>
        <v>1319</v>
      </c>
      <c r="G36" s="32">
        <f>D34-(SUM(G37:G40)+H41)</f>
        <v>3250000</v>
      </c>
      <c r="H36" s="32" t="n">
        <v>0</v>
      </c>
      <c r="L36" s="30" t="str">
        <f>"Proposed Fee (Home Office)"&amp;" - "&amp;IF(D36=0,"",D36)</f>
        <v>Proposed Fee (Home Office) - India - R&amp;C</v>
      </c>
      <c r="M36" s="24" t="n"/>
      <c r="N36" s="24" t="n"/>
      <c r="O36" s="24" t="n"/>
      <c r="P36" s="24" t="n"/>
      <c r="Q36" s="12">
        <f>G36</f>
        <v>3250000</v>
      </c>
      <c r="R36" s="73" t="n"/>
      <c r="S36" s="11">
        <f>S35*S39</f>
        <v>3250000</v>
      </c>
    </row>
    <row r="37">
      <c r="A37" s="30" t="inlineStr">
        <is>
          <t>Sub-Contractor (3rd party)</t>
        </is>
      </c>
      <c r="B37" s="24" t="n"/>
      <c r="C37" s="24" t="n"/>
      <c r="D37" s="24" t="n"/>
      <c r="E37" s="24" t="n"/>
      <c r="F37" s="31" t="n">
        <v>0</v>
      </c>
      <c r="G37" s="32" t="n">
        <v>0</v>
      </c>
      <c r="H37" s="32" t="n">
        <v>0</v>
      </c>
      <c r="L37" s="72" t="inlineStr">
        <is>
          <t>Planned Fee Adjustment (PFA)</t>
        </is>
      </c>
      <c r="M37" s="24" t="n"/>
      <c r="N37" s="24" t="n"/>
      <c r="O37" s="24" t="n"/>
      <c r="P37" s="24" t="n"/>
      <c r="Q37" s="11">
        <f>Q35-Q36</f>
        <v>5325590</v>
      </c>
      <c r="R37" s="24" t="n"/>
      <c r="S37" s="11">
        <f>S35-S36</f>
        <v>5325590</v>
      </c>
    </row>
    <row r="38">
      <c r="B38" s="24" t="n"/>
      <c r="C38" s="24" t="n"/>
      <c r="D38" s="24" t="n"/>
      <c r="E38" s="24" t="n"/>
      <c r="F38" s="31" t="n">
        <v>0</v>
      </c>
      <c r="G38" s="32" t="n">
        <v>0</v>
      </c>
      <c r="H38" s="32" t="n">
        <v>0</v>
      </c>
      <c r="L38" s="30" t="inlineStr">
        <is>
          <t>PFA %</t>
        </is>
      </c>
      <c r="M38" s="24" t="n"/>
      <c r="N38" s="24" t="n"/>
      <c r="O38" s="24" t="n"/>
      <c r="P38" s="24" t="n"/>
      <c r="Q38" s="74">
        <f>IFERROR(Q37/Q35,0)</f>
        <v>0.6210173294199</v>
      </c>
      <c r="R38" s="24" t="n"/>
      <c r="S38" s="74">
        <f>1-S39</f>
        <v>0.6210173294199</v>
      </c>
    </row>
    <row r="39">
      <c r="B39" s="24" t="n"/>
      <c r="C39" s="24" t="n"/>
      <c r="D39" s="24" t="n"/>
      <c r="E39" s="24" t="n"/>
      <c r="F39" s="31" t="n">
        <v>0</v>
      </c>
      <c r="G39" s="32" t="n">
        <v>0</v>
      </c>
      <c r="H39" s="32" t="n">
        <v>0</v>
      </c>
      <c r="L39" s="72" t="inlineStr">
        <is>
          <t>Recovery %</t>
        </is>
      </c>
      <c r="M39" s="24" t="n"/>
      <c r="N39" s="24" t="n"/>
      <c r="O39" s="24" t="n"/>
      <c r="P39" s="24" t="n"/>
      <c r="Q39" s="75">
        <f>1-Q38</f>
        <v>0.37898267058010005</v>
      </c>
      <c r="R39" s="24" t="n"/>
      <c r="S39" s="76">
        <f>F43</f>
        <v>0.37898267058010005</v>
      </c>
    </row>
    <row r="40">
      <c r="A40" s="77" t="inlineStr">
        <is>
          <t>GST</t>
        </is>
      </c>
      <c r="B40" s="24" t="n"/>
      <c r="C40" s="24" t="n"/>
      <c r="D40" s="24" t="n"/>
      <c r="E40" s="24" t="n"/>
      <c r="F40" s="31" t="n">
        <v>0</v>
      </c>
      <c r="G40" s="32" t="n">
        <v>0</v>
      </c>
      <c r="H40" s="32" t="n">
        <v>0</v>
      </c>
    </row>
    <row r="41">
      <c r="A41" s="41" t="inlineStr">
        <is>
          <t>Total</t>
        </is>
      </c>
      <c r="B41" s="34" t="n"/>
      <c r="C41" s="34" t="n"/>
      <c r="D41" s="34" t="n"/>
      <c r="E41" s="34" t="n"/>
      <c r="F41" s="78">
        <f>SUM(F36:F40)</f>
        <v>1319</v>
      </c>
      <c r="G41" s="79">
        <f>SUM(G36:G40)</f>
        <v>3250000</v>
      </c>
      <c r="H41" s="79">
        <f>SUM(H36:H40)</f>
        <v>0</v>
      </c>
    </row>
    <row r="43">
      <c r="C43" s="80" t="inlineStr">
        <is>
          <t>Budgeted Recovery %</t>
        </is>
      </c>
      <c r="F43" s="81">
        <f>IFERROR(G36/$AB$5,0)</f>
        <v>0.37898267058010005</v>
      </c>
      <c r="G43" s="24" t="n"/>
    </row>
    <row r="44">
      <c r="L44" s="66" t="inlineStr">
        <is>
          <t>Gross Fee</t>
        </is>
      </c>
      <c r="M44" s="24" t="n"/>
      <c r="N44" s="66" t="inlineStr">
        <is>
          <t>Net Fee</t>
        </is>
      </c>
      <c r="O44" s="24" t="n"/>
      <c r="P44" s="66" t="inlineStr">
        <is>
          <t>Net CM</t>
        </is>
      </c>
      <c r="Q44" s="24" t="n"/>
      <c r="R44" s="66" t="inlineStr">
        <is>
          <t>Gross CM</t>
        </is>
      </c>
      <c r="S44" s="24" t="n"/>
    </row>
    <row r="45">
      <c r="L45" s="82" t="inlineStr">
        <is>
          <t>Fee</t>
        </is>
      </c>
      <c r="M45" s="82" t="inlineStr">
        <is>
          <t>Per/Hr</t>
        </is>
      </c>
      <c r="N45" s="82" t="inlineStr">
        <is>
          <t>Fee</t>
        </is>
      </c>
      <c r="O45" s="82" t="inlineStr">
        <is>
          <t>Per/Hr</t>
        </is>
      </c>
      <c r="P45" s="82" t="inlineStr">
        <is>
          <t xml:space="preserve"> %</t>
        </is>
      </c>
      <c r="Q45" s="77" t="n"/>
      <c r="R45" s="82" t="inlineStr">
        <is>
          <t xml:space="preserve"> %</t>
        </is>
      </c>
      <c r="S45" s="77" t="n"/>
      <c r="T45" s="82" t="inlineStr">
        <is>
          <t>Margin</t>
        </is>
      </c>
      <c r="V45" s="82" t="inlineStr">
        <is>
          <t>Staff Cost</t>
        </is>
      </c>
    </row>
    <row r="46">
      <c r="K46" s="67" t="str">
        <f>C7</f>
        <v>INR</v>
      </c>
      <c r="L46" s="11">
        <f>G41</f>
        <v>3250000</v>
      </c>
      <c r="M46" s="10">
        <f>IFERROR(L46/F41,0)</f>
        <v>2463.9878695981806</v>
      </c>
      <c r="N46" s="11">
        <f>G36</f>
        <v>3250000</v>
      </c>
      <c r="O46" s="10">
        <f>IFERROR(N46/V28,0)</f>
        <v>2463.9878695981806</v>
      </c>
      <c r="P46" s="83">
        <f>IFERROR((T46-(N46*5%))/N46,0)</f>
        <v>0.27346584615384617</v>
      </c>
      <c r="Q46" s="84" t="n"/>
      <c r="R46" s="83">
        <f>IFERROR((L46-V46-(G41-G36)-(N46*5%))/L46,0)</f>
        <v>0.27346584615384617</v>
      </c>
      <c r="S46" s="84" t="n"/>
      <c r="T46" s="11">
        <f>IFERROR(N46-V46,0)</f>
        <v>1051264</v>
      </c>
      <c r="V46" s="11">
        <f>IFERROR($AB$6,0)</f>
        <v>2198736</v>
      </c>
    </row>
    <row r="48">
      <c r="C48" s="85" t="n"/>
      <c r="D48" s="86" t="inlineStr">
        <is>
          <t>Data to be entered / editable</t>
        </is>
      </c>
      <c r="L48" s="87" t="inlineStr">
        <is>
          <t>Gross Contribution Margin is derived after considering direct staff cost, management fees, Sub-contractor cost and other direct cost.
Net Contribution Margin is derived after considering direct staff cost, management fees and other direct cost.</t>
        </is>
      </c>
      <c r="M48" s="22" t="n"/>
      <c r="N48" s="22" t="n"/>
      <c r="O48" s="22" t="n"/>
      <c r="P48" s="22" t="n"/>
      <c r="Q48" s="22" t="n"/>
      <c r="R48" s="22" t="n"/>
      <c r="S48" s="22" t="n"/>
    </row>
    <row r="49">
      <c r="C49" s="34" t="n"/>
      <c r="D49" s="86" t="inlineStr">
        <is>
          <t>Calculated - do not overwrite</t>
        </is>
      </c>
      <c r="L49" s="22" t="n"/>
      <c r="M49" s="22" t="n"/>
      <c r="N49" s="22" t="n"/>
      <c r="O49" s="22" t="n"/>
      <c r="P49" s="22" t="n"/>
      <c r="Q49" s="22" t="n"/>
      <c r="R49" s="22" t="n"/>
      <c r="S49" s="22" t="n"/>
    </row>
  </sheetData>
  <mergeCells count="68">
    <mergeCell ref="F11:G11"/>
    <mergeCell ref="C6:D6"/>
    <mergeCell ref="R44:S44"/>
    <mergeCell ref="F10:G10"/>
    <mergeCell ref="F16:G16"/>
    <mergeCell ref="F19:G19"/>
    <mergeCell ref="C5:D5"/>
    <mergeCell ref="F25:G25"/>
    <mergeCell ref="Q37:R37"/>
    <mergeCell ref="J6:J7"/>
    <mergeCell ref="P6:P7"/>
    <mergeCell ref="P44:Q44"/>
    <mergeCell ref="R6:R7"/>
    <mergeCell ref="C43:E43"/>
    <mergeCell ref="L37:P37"/>
    <mergeCell ref="V6:V7"/>
    <mergeCell ref="Q39:R39"/>
    <mergeCell ref="C4:D4"/>
    <mergeCell ref="F21:G21"/>
    <mergeCell ref="F12:G12"/>
    <mergeCell ref="F24:G24"/>
    <mergeCell ref="H6:I6"/>
    <mergeCell ref="F15:G15"/>
    <mergeCell ref="F20:G20"/>
    <mergeCell ref="F18:G18"/>
    <mergeCell ref="Q38:R38"/>
    <mergeCell ref="P46:Q46"/>
    <mergeCell ref="M6:M7"/>
    <mergeCell ref="L33:S33"/>
    <mergeCell ref="Z4:AB4"/>
    <mergeCell ref="Q6:Q7"/>
    <mergeCell ref="F26:G26"/>
    <mergeCell ref="S6:S7"/>
    <mergeCell ref="F17:G17"/>
    <mergeCell ref="Q35:R35"/>
    <mergeCell ref="L39:P39"/>
    <mergeCell ref="F8:G8"/>
    <mergeCell ref="Q34:R34"/>
    <mergeCell ref="L35:P35"/>
    <mergeCell ref="N44:O44"/>
    <mergeCell ref="L38:P38"/>
    <mergeCell ref="F23:G23"/>
    <mergeCell ref="L6:L7"/>
    <mergeCell ref="F22:G22"/>
    <mergeCell ref="F6:G7"/>
    <mergeCell ref="N6:N7"/>
    <mergeCell ref="T6:T7"/>
    <mergeCell ref="F13:G13"/>
    <mergeCell ref="F28:G28"/>
    <mergeCell ref="F27:G27"/>
    <mergeCell ref="A34:C34"/>
    <mergeCell ref="Q36:R36"/>
    <mergeCell ref="C8:D8"/>
    <mergeCell ref="F9:G9"/>
    <mergeCell ref="L44:M44"/>
    <mergeCell ref="F43:G43"/>
    <mergeCell ref="L34:P34"/>
    <mergeCell ref="L48:S49"/>
    <mergeCell ref="C7:D7"/>
    <mergeCell ref="E34:H34"/>
    <mergeCell ref="R46:S46"/>
    <mergeCell ref="H33:I33"/>
    <mergeCell ref="K6:K7"/>
    <mergeCell ref="F14:G14"/>
    <mergeCell ref="L36:P36"/>
    <mergeCell ref="O6:O7"/>
    <mergeCell ref="U6:U7"/>
    <mergeCell ref="A33:G33"/>
  </mergeCells>
  <hyperlinks>
    <hyperlink ref="X4" ns1:id="rId1"/>
    <hyperlink ref="X6" ns1: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2026-09-04T08:27:00Z</dcterms:created>
  <dcterms:modified xmlns:dcterms="http://purl.org/dc/terms/" xmlns:xsi="http://www.w3.org/2001/XMLSchema-instance" xsi:type="dcterms:W3CDTF">2026-09-04T08:27:01Z</dcterms:modified>
</cp:coreProperties>
</file>